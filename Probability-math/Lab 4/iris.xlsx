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sktop\IMPORTANT_STUDY\Мат. Статистика\Lab 4\"/>
    </mc:Choice>
  </mc:AlternateContent>
  <bookViews>
    <workbookView xWindow="0" yWindow="0" windowWidth="16728" windowHeight="5784"/>
  </bookViews>
  <sheets>
    <sheet name="iris" sheetId="1" r:id="rId1"/>
    <sheet name="total" sheetId="2" r:id="rId2"/>
  </sheets>
  <calcPr calcId="162913"/>
</workbook>
</file>

<file path=xl/calcChain.xml><?xml version="1.0" encoding="utf-8"?>
<calcChain xmlns="http://schemas.openxmlformats.org/spreadsheetml/2006/main">
  <c r="Q126" i="2" l="1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Q2" i="2"/>
  <c r="P2" i="2"/>
  <c r="N2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K2" i="2" s="1"/>
  <c r="L72" i="2" l="1"/>
  <c r="L88" i="2"/>
  <c r="L104" i="2"/>
  <c r="L112" i="2"/>
  <c r="L65" i="2"/>
  <c r="L81" i="2"/>
  <c r="L105" i="2"/>
  <c r="L52" i="2"/>
  <c r="L83" i="2"/>
  <c r="L54" i="2"/>
  <c r="L78" i="2"/>
  <c r="L94" i="2"/>
  <c r="L110" i="2"/>
  <c r="L126" i="2"/>
  <c r="L91" i="2"/>
  <c r="L115" i="2"/>
  <c r="L62" i="2"/>
  <c r="L70" i="2"/>
  <c r="L86" i="2"/>
  <c r="L102" i="2"/>
  <c r="L118" i="2"/>
  <c r="L75" i="2"/>
  <c r="L107" i="2"/>
  <c r="L67" i="2"/>
  <c r="L123" i="2"/>
  <c r="L59" i="2"/>
  <c r="L99" i="2"/>
  <c r="L58" i="2"/>
  <c r="L66" i="2"/>
  <c r="L74" i="2"/>
  <c r="L82" i="2"/>
  <c r="L90" i="2"/>
  <c r="L98" i="2"/>
  <c r="L106" i="2"/>
  <c r="L114" i="2"/>
  <c r="L122" i="2"/>
  <c r="L97" i="2"/>
  <c r="L56" i="2"/>
  <c r="L121" i="2"/>
  <c r="L64" i="2"/>
  <c r="L80" i="2"/>
  <c r="L96" i="2"/>
  <c r="L120" i="2"/>
  <c r="L57" i="2"/>
  <c r="L73" i="2"/>
  <c r="L89" i="2"/>
  <c r="L113" i="2"/>
  <c r="L60" i="2"/>
  <c r="L68" i="2"/>
  <c r="L76" i="2"/>
  <c r="L84" i="2"/>
  <c r="L92" i="2"/>
  <c r="L100" i="2"/>
  <c r="L108" i="2"/>
  <c r="L116" i="2"/>
  <c r="L124" i="2"/>
  <c r="L53" i="2"/>
  <c r="L61" i="2"/>
  <c r="L69" i="2"/>
  <c r="L77" i="2"/>
  <c r="L85" i="2"/>
  <c r="L93" i="2"/>
  <c r="L101" i="2"/>
  <c r="L109" i="2"/>
  <c r="L117" i="2"/>
  <c r="L125" i="2"/>
  <c r="L55" i="2"/>
  <c r="L63" i="2"/>
  <c r="L71" i="2"/>
  <c r="L79" i="2"/>
  <c r="L87" i="2"/>
  <c r="L95" i="2"/>
  <c r="L103" i="2"/>
  <c r="L111" i="2"/>
  <c r="L119" i="2"/>
  <c r="L21" i="2"/>
  <c r="L25" i="2"/>
  <c r="L10" i="2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3" i="1"/>
  <c r="K4" i="1"/>
  <c r="K5" i="1"/>
  <c r="K6" i="1"/>
  <c r="K2" i="1"/>
  <c r="L13" i="2" l="1"/>
  <c r="L5" i="2"/>
  <c r="L20" i="2"/>
  <c r="L2" i="2"/>
  <c r="L6" i="2"/>
  <c r="L4" i="2"/>
  <c r="L24" i="2"/>
  <c r="L23" i="2"/>
  <c r="L19" i="2"/>
  <c r="L15" i="2"/>
  <c r="L11" i="2"/>
  <c r="L7" i="2"/>
  <c r="L3" i="2"/>
  <c r="L17" i="2"/>
  <c r="L9" i="2"/>
  <c r="L18" i="2"/>
  <c r="L14" i="2"/>
  <c r="L12" i="2"/>
  <c r="L26" i="2"/>
  <c r="L8" i="2"/>
  <c r="L16" i="2"/>
  <c r="L22" i="2"/>
  <c r="M2" i="2" l="1"/>
</calcChain>
</file>

<file path=xl/sharedStrings.xml><?xml version="1.0" encoding="utf-8"?>
<sst xmlns="http://schemas.openxmlformats.org/spreadsheetml/2006/main" count="478" uniqueCount="27">
  <si>
    <t>Sepal.Length</t>
  </si>
  <si>
    <t>Sepal.Width</t>
  </si>
  <si>
    <t>Petal.Length</t>
  </si>
  <si>
    <t>Petal.Width</t>
  </si>
  <si>
    <t>Species</t>
  </si>
  <si>
    <t>0.2</t>
  </si>
  <si>
    <t>setosa</t>
  </si>
  <si>
    <t>0.4</t>
  </si>
  <si>
    <t>0.3</t>
  </si>
  <si>
    <t>0.1</t>
  </si>
  <si>
    <t>0.5</t>
  </si>
  <si>
    <t>0.6</t>
  </si>
  <si>
    <t>versicolor</t>
  </si>
  <si>
    <t>virginica</t>
  </si>
  <si>
    <t>выборочное среднее</t>
  </si>
  <si>
    <t>номер</t>
  </si>
  <si>
    <t>Sepal.Length ®</t>
  </si>
  <si>
    <t>Sepal.Width ®</t>
  </si>
  <si>
    <t>Petal.Length ®</t>
  </si>
  <si>
    <t>Petal.Width ®</t>
  </si>
  <si>
    <t xml:space="preserve"> выборочная дисперсия</t>
  </si>
  <si>
    <t>(s_i-s_)^2</t>
  </si>
  <si>
    <t>S_i</t>
  </si>
  <si>
    <t xml:space="preserve"> выборочная медианa</t>
  </si>
  <si>
    <t>S по порядке</t>
  </si>
  <si>
    <t xml:space="preserve"> выборочная квантиль порядка 2/5</t>
  </si>
  <si>
    <t xml:space="preserve"> эмпирическая функция распределения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</si>
</sst>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\.m"/>
    <numFmt numFmtId="165" formatCode="0.0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52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0" fillId="0" borderId="0" xfId="0" applyNumberFormat="1" applyFont="1" applyAlignment="1"/>
    <xf numFmtId="0" fontId="1" fillId="0" borderId="0" xfId="0" applyNumberFormat="1" applyFont="1" applyAlignment="1"/>
    <xf numFmtId="0" fontId="2" fillId="0" borderId="0" xfId="0" applyFont="1" applyAlignment="1"/>
    <xf numFmtId="2" fontId="1" fillId="0" borderId="0" xfId="0" applyNumberFormat="1" applyFont="1" applyAlignment="1"/>
    <xf numFmtId="2" fontId="0" fillId="0" borderId="0" xfId="0" applyNumberFormat="1" applyFont="1" applyAlignment="1"/>
    <xf numFmtId="0" fontId="4" fillId="0" borderId="0" xfId="0" applyFont="1" applyAlignment="1"/>
    <xf numFmtId="0" fontId="4" fillId="0" borderId="0" xfId="0" applyNumberFormat="1" applyFont="1" applyAlignment="1"/>
    <xf numFmtId="0" fontId="5" fillId="0" borderId="0" xfId="0" applyFont="1" applyAlignment="1"/>
    <xf numFmtId="2" fontId="4" fillId="0" borderId="0" xfId="0" applyNumberFormat="1" applyFont="1" applyAlignment="1"/>
    <xf numFmtId="165" fontId="4" fillId="0" borderId="0" xfId="0" applyNumberFormat="1" applyFont="1" applyAlignment="1"/>
    <xf numFmtId="165" fontId="1" fillId="0" borderId="0" xfId="0" applyNumberFormat="1" applyFont="1" applyAlignment="1"/>
    <xf numFmtId="165" fontId="0" fillId="0" borderId="0" xfId="0" applyNumberFormat="1" applyFont="1" applyAlignment="1"/>
    <xf numFmtId="0" fontId="3" fillId="0" borderId="0" xfId="0" applyFont="1" applyAlignment="1"/>
    <xf numFmtId="164" fontId="3" fillId="0" borderId="0" xfId="0" applyNumberFormat="1" applyFont="1" applyAlignment="1"/>
    <xf numFmtId="0" fontId="0" fillId="0" borderId="1" xfId="0" applyBorder="1"/>
    <xf numFmtId="164" fontId="1" fillId="0" borderId="2" xfId="0" applyNumberFormat="1" applyFont="1" applyBorder="1" applyAlignment="1"/>
    <xf numFmtId="0" fontId="0" fillId="0" borderId="2" xfId="0" applyBorder="1"/>
    <xf numFmtId="0" fontId="1" fillId="0" borderId="2" xfId="0" applyFont="1" applyBorder="1" applyAlignment="1"/>
    <xf numFmtId="0" fontId="1" fillId="0" borderId="2" xfId="0" applyNumberFormat="1" applyFont="1" applyBorder="1" applyAlignment="1"/>
    <xf numFmtId="2" fontId="0" fillId="0" borderId="2" xfId="0" applyNumberFormat="1" applyFont="1" applyBorder="1" applyAlignment="1"/>
    <xf numFmtId="0" fontId="0" fillId="0" borderId="2" xfId="0" applyFont="1" applyBorder="1" applyAlignment="1"/>
    <xf numFmtId="0" fontId="0" fillId="0" borderId="3" xfId="0" applyBorder="1"/>
    <xf numFmtId="0" fontId="1" fillId="0" borderId="0" xfId="0" applyFont="1" applyBorder="1" applyAlignment="1"/>
    <xf numFmtId="0" fontId="0" fillId="0" borderId="0" xfId="0" applyBorder="1"/>
    <xf numFmtId="164" fontId="1" fillId="0" borderId="0" xfId="0" applyNumberFormat="1" applyFont="1" applyBorder="1" applyAlignment="1"/>
    <xf numFmtId="0" fontId="1" fillId="0" borderId="0" xfId="0" applyNumberFormat="1" applyFont="1" applyBorder="1" applyAlignment="1"/>
    <xf numFmtId="2" fontId="0" fillId="0" borderId="0" xfId="0" applyNumberFormat="1" applyFont="1" applyBorder="1" applyAlignment="1"/>
    <xf numFmtId="0" fontId="0" fillId="0" borderId="0" xfId="0" applyFont="1" applyBorder="1" applyAlignment="1"/>
    <xf numFmtId="0" fontId="0" fillId="0" borderId="4" xfId="0" applyBorder="1"/>
    <xf numFmtId="164" fontId="1" fillId="0" borderId="5" xfId="0" applyNumberFormat="1" applyFont="1" applyBorder="1" applyAlignment="1"/>
    <xf numFmtId="0" fontId="0" fillId="0" borderId="5" xfId="0" applyBorder="1"/>
    <xf numFmtId="0" fontId="1" fillId="0" borderId="5" xfId="0" applyFont="1" applyBorder="1" applyAlignment="1"/>
    <xf numFmtId="0" fontId="1" fillId="0" borderId="5" xfId="0" applyNumberFormat="1" applyFont="1" applyBorder="1" applyAlignment="1"/>
    <xf numFmtId="2" fontId="0" fillId="0" borderId="5" xfId="0" applyNumberFormat="1" applyFont="1" applyBorder="1" applyAlignment="1"/>
    <xf numFmtId="0" fontId="0" fillId="0" borderId="5" xfId="0" applyFont="1" applyBorder="1" applyAlignment="1"/>
    <xf numFmtId="165" fontId="1" fillId="0" borderId="1" xfId="0" applyNumberFormat="1" applyFont="1" applyBorder="1" applyAlignment="1"/>
    <xf numFmtId="165" fontId="1" fillId="0" borderId="2" xfId="0" applyNumberFormat="1" applyFont="1" applyBorder="1" applyAlignment="1"/>
    <xf numFmtId="165" fontId="3" fillId="0" borderId="2" xfId="0" applyNumberFormat="1" applyFont="1" applyBorder="1" applyAlignment="1"/>
    <xf numFmtId="165" fontId="1" fillId="0" borderId="3" xfId="0" applyNumberFormat="1" applyFont="1" applyBorder="1" applyAlignment="1"/>
    <xf numFmtId="165" fontId="1" fillId="0" borderId="0" xfId="0" applyNumberFormat="1" applyFont="1" applyBorder="1" applyAlignment="1"/>
    <xf numFmtId="165" fontId="1" fillId="0" borderId="4" xfId="0" applyNumberFormat="1" applyFont="1" applyBorder="1" applyAlignment="1"/>
    <xf numFmtId="165" fontId="1" fillId="0" borderId="5" xfId="0" applyNumberFormat="1" applyFont="1" applyBorder="1" applyAlignment="1"/>
    <xf numFmtId="0" fontId="5" fillId="0" borderId="0" xfId="0" applyFont="1" applyAlignment="1">
      <alignment wrapText="1"/>
    </xf>
    <xf numFmtId="9" fontId="0" fillId="0" borderId="0" xfId="1" applyFont="1" applyAlignment="1"/>
    <xf numFmtId="0" fontId="0" fillId="0" borderId="0" xfId="0" applyFont="1" applyAlignment="1">
      <alignment horizontal="center"/>
    </xf>
    <xf numFmtId="2" fontId="0" fillId="0" borderId="0" xfId="0" applyNumberFormat="1" applyFont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5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51"/>
  <sheetViews>
    <sheetView tabSelected="1" topLeftCell="B1" workbookViewId="0">
      <pane ySplit="1" topLeftCell="A2" activePane="bottomLeft" state="frozen"/>
      <selection activeCell="B1" sqref="B1"/>
      <selection pane="bottomLeft" activeCell="N14" sqref="N14"/>
    </sheetView>
  </sheetViews>
  <sheetFormatPr defaultColWidth="12.6640625" defaultRowHeight="15.75" customHeight="1" x14ac:dyDescent="0.25"/>
  <cols>
    <col min="1" max="1" width="7.44140625" hidden="1" customWidth="1"/>
    <col min="2" max="2" width="15.109375" style="14" customWidth="1"/>
    <col min="3" max="3" width="9.44140625" hidden="1" customWidth="1"/>
    <col min="4" max="4" width="14.33203125" style="7" customWidth="1"/>
    <col min="5" max="5" width="11.33203125" hidden="1" customWidth="1"/>
    <col min="6" max="6" width="14.77734375" style="7" customWidth="1"/>
    <col min="7" max="7" width="8.33203125" hidden="1" customWidth="1"/>
    <col min="8" max="8" width="15.21875" style="7" customWidth="1"/>
    <col min="9" max="9" width="8.44140625" customWidth="1"/>
    <col min="10" max="10" width="6.6640625" style="3" customWidth="1"/>
    <col min="11" max="11" width="8" customWidth="1"/>
  </cols>
  <sheetData>
    <row r="1" spans="1:11" ht="13.8" thickBot="1" x14ac:dyDescent="0.3">
      <c r="A1" s="15" t="s">
        <v>0</v>
      </c>
      <c r="B1" s="12" t="s">
        <v>16</v>
      </c>
      <c r="C1" s="15" t="s">
        <v>1</v>
      </c>
      <c r="D1" s="8" t="s">
        <v>17</v>
      </c>
      <c r="E1" s="15" t="s">
        <v>2</v>
      </c>
      <c r="F1" s="11" t="s">
        <v>18</v>
      </c>
      <c r="G1" s="15" t="s">
        <v>3</v>
      </c>
      <c r="H1" s="11" t="s">
        <v>19</v>
      </c>
      <c r="I1" s="8" t="s">
        <v>4</v>
      </c>
      <c r="J1" s="9" t="s">
        <v>15</v>
      </c>
      <c r="K1" s="5" t="s">
        <v>22</v>
      </c>
    </row>
    <row r="2" spans="1:11" ht="13.2" x14ac:dyDescent="0.25">
      <c r="A2" s="16">
        <v>45662</v>
      </c>
      <c r="B2" s="17">
        <v>5.0999999999999996</v>
      </c>
      <c r="C2" s="18">
        <v>45780</v>
      </c>
      <c r="D2" s="19">
        <v>3.5</v>
      </c>
      <c r="E2" s="18">
        <v>45748</v>
      </c>
      <c r="F2" s="19">
        <v>1.4</v>
      </c>
      <c r="G2" s="20" t="s">
        <v>5</v>
      </c>
      <c r="H2" s="19" t="s">
        <v>5</v>
      </c>
      <c r="I2" s="20" t="s">
        <v>6</v>
      </c>
      <c r="J2" s="21">
        <v>1</v>
      </c>
      <c r="K2" s="22">
        <f>B2*D2+F2*H2</f>
        <v>18.13</v>
      </c>
    </row>
    <row r="3" spans="1:11" ht="13.2" x14ac:dyDescent="0.25">
      <c r="A3" s="16">
        <v>45904</v>
      </c>
      <c r="B3" s="24">
        <v>4.9000000000000004</v>
      </c>
      <c r="C3" s="25">
        <v>3</v>
      </c>
      <c r="D3" s="26">
        <v>3</v>
      </c>
      <c r="E3" s="27">
        <v>45748</v>
      </c>
      <c r="F3" s="26">
        <v>1.4</v>
      </c>
      <c r="G3" s="25" t="s">
        <v>5</v>
      </c>
      <c r="H3" s="26" t="s">
        <v>5</v>
      </c>
      <c r="I3" s="25" t="s">
        <v>6</v>
      </c>
      <c r="J3" s="28">
        <v>2</v>
      </c>
      <c r="K3" s="29">
        <f t="shared" ref="K3:K66" si="0">B3*D3+F3*H3</f>
        <v>14.98</v>
      </c>
    </row>
    <row r="4" spans="1:11" ht="13.2" x14ac:dyDescent="0.25">
      <c r="A4" s="16">
        <v>45842</v>
      </c>
      <c r="B4" s="24">
        <v>4.7</v>
      </c>
      <c r="C4" s="27">
        <v>45691</v>
      </c>
      <c r="D4" s="26">
        <v>3.2</v>
      </c>
      <c r="E4" s="27">
        <v>45717</v>
      </c>
      <c r="F4" s="26">
        <v>1.3</v>
      </c>
      <c r="G4" s="25" t="s">
        <v>5</v>
      </c>
      <c r="H4" s="26" t="s">
        <v>5</v>
      </c>
      <c r="I4" s="25" t="s">
        <v>6</v>
      </c>
      <c r="J4" s="28">
        <v>3</v>
      </c>
      <c r="K4" s="29">
        <f t="shared" si="0"/>
        <v>15.3</v>
      </c>
    </row>
    <row r="5" spans="1:11" ht="13.2" x14ac:dyDescent="0.25">
      <c r="A5" s="16">
        <v>45812</v>
      </c>
      <c r="B5" s="24">
        <v>4.5999999999999996</v>
      </c>
      <c r="C5" s="27">
        <v>45660</v>
      </c>
      <c r="D5" s="26">
        <v>3.1</v>
      </c>
      <c r="E5" s="27">
        <v>45778</v>
      </c>
      <c r="F5" s="26">
        <v>1.5</v>
      </c>
      <c r="G5" s="25" t="s">
        <v>5</v>
      </c>
      <c r="H5" s="26" t="s">
        <v>5</v>
      </c>
      <c r="I5" s="25" t="s">
        <v>6</v>
      </c>
      <c r="J5" s="28">
        <v>4</v>
      </c>
      <c r="K5" s="29">
        <f t="shared" si="0"/>
        <v>14.56</v>
      </c>
    </row>
    <row r="6" spans="1:11" ht="13.2" x14ac:dyDescent="0.25">
      <c r="A6" s="15">
        <v>5</v>
      </c>
      <c r="B6" s="24">
        <v>5</v>
      </c>
      <c r="C6" s="27">
        <v>45811</v>
      </c>
      <c r="D6" s="26">
        <v>3.6</v>
      </c>
      <c r="E6" s="27">
        <v>45748</v>
      </c>
      <c r="F6" s="26">
        <v>1.4</v>
      </c>
      <c r="G6" s="25" t="s">
        <v>5</v>
      </c>
      <c r="H6" s="26" t="s">
        <v>5</v>
      </c>
      <c r="I6" s="25" t="s">
        <v>6</v>
      </c>
      <c r="J6" s="28">
        <v>5</v>
      </c>
      <c r="K6" s="29">
        <f t="shared" si="0"/>
        <v>18.28</v>
      </c>
    </row>
    <row r="7" spans="1:11" ht="13.2" x14ac:dyDescent="0.25">
      <c r="A7" s="16">
        <v>45752</v>
      </c>
      <c r="B7" s="24">
        <v>5.4</v>
      </c>
      <c r="C7" s="27">
        <v>45903</v>
      </c>
      <c r="D7" s="26">
        <v>3.9</v>
      </c>
      <c r="E7" s="27">
        <v>45839</v>
      </c>
      <c r="F7" s="26">
        <v>1.7</v>
      </c>
      <c r="G7" s="25" t="s">
        <v>7</v>
      </c>
      <c r="H7" s="26" t="s">
        <v>7</v>
      </c>
      <c r="I7" s="25" t="s">
        <v>6</v>
      </c>
      <c r="J7" s="28">
        <v>6</v>
      </c>
      <c r="K7" s="29">
        <f t="shared" si="0"/>
        <v>21.740000000000002</v>
      </c>
    </row>
    <row r="8" spans="1:11" ht="13.2" x14ac:dyDescent="0.25">
      <c r="A8" s="16">
        <v>45812</v>
      </c>
      <c r="B8" s="24">
        <v>4.5999999999999996</v>
      </c>
      <c r="C8" s="27">
        <v>45750</v>
      </c>
      <c r="D8" s="26">
        <v>3.4</v>
      </c>
      <c r="E8" s="27">
        <v>45748</v>
      </c>
      <c r="F8" s="26">
        <v>1.4</v>
      </c>
      <c r="G8" s="25" t="s">
        <v>8</v>
      </c>
      <c r="H8" s="26" t="s">
        <v>8</v>
      </c>
      <c r="I8" s="25" t="s">
        <v>6</v>
      </c>
      <c r="J8" s="28">
        <v>7</v>
      </c>
      <c r="K8" s="29">
        <f t="shared" si="0"/>
        <v>16.059999999999999</v>
      </c>
    </row>
    <row r="9" spans="1:11" ht="13.2" x14ac:dyDescent="0.25">
      <c r="A9" s="15">
        <v>5</v>
      </c>
      <c r="B9" s="24">
        <v>5</v>
      </c>
      <c r="C9" s="27">
        <v>45750</v>
      </c>
      <c r="D9" s="26">
        <v>3.4</v>
      </c>
      <c r="E9" s="27">
        <v>45778</v>
      </c>
      <c r="F9" s="26">
        <v>1.5</v>
      </c>
      <c r="G9" s="25" t="s">
        <v>5</v>
      </c>
      <c r="H9" s="26" t="s">
        <v>5</v>
      </c>
      <c r="I9" s="25" t="s">
        <v>6</v>
      </c>
      <c r="J9" s="28">
        <v>8</v>
      </c>
      <c r="K9" s="29">
        <f t="shared" si="0"/>
        <v>17.3</v>
      </c>
    </row>
    <row r="10" spans="1:11" ht="13.2" x14ac:dyDescent="0.25">
      <c r="A10" s="16">
        <v>45751</v>
      </c>
      <c r="B10" s="24">
        <v>4.4000000000000004</v>
      </c>
      <c r="C10" s="27">
        <v>45902</v>
      </c>
      <c r="D10" s="26">
        <v>2.9</v>
      </c>
      <c r="E10" s="27">
        <v>45748</v>
      </c>
      <c r="F10" s="26">
        <v>1.4</v>
      </c>
      <c r="G10" s="25" t="s">
        <v>5</v>
      </c>
      <c r="H10" s="26" t="s">
        <v>5</v>
      </c>
      <c r="I10" s="25" t="s">
        <v>6</v>
      </c>
      <c r="J10" s="28">
        <v>9</v>
      </c>
      <c r="K10" s="29">
        <f t="shared" si="0"/>
        <v>13.04</v>
      </c>
    </row>
    <row r="11" spans="1:11" ht="13.2" x14ac:dyDescent="0.25">
      <c r="A11" s="16">
        <v>45904</v>
      </c>
      <c r="B11" s="24">
        <v>4.9000000000000004</v>
      </c>
      <c r="C11" s="27">
        <v>45660</v>
      </c>
      <c r="D11" s="26">
        <v>3.1</v>
      </c>
      <c r="E11" s="27">
        <v>45778</v>
      </c>
      <c r="F11" s="26">
        <v>1.5</v>
      </c>
      <c r="G11" s="25" t="s">
        <v>9</v>
      </c>
      <c r="H11" s="26" t="s">
        <v>9</v>
      </c>
      <c r="I11" s="25" t="s">
        <v>6</v>
      </c>
      <c r="J11" s="28">
        <v>10</v>
      </c>
      <c r="K11" s="29">
        <f t="shared" si="0"/>
        <v>15.340000000000002</v>
      </c>
    </row>
    <row r="12" spans="1:11" ht="13.2" x14ac:dyDescent="0.25">
      <c r="A12" s="16">
        <v>45752</v>
      </c>
      <c r="B12" s="24">
        <v>5.4</v>
      </c>
      <c r="C12" s="27">
        <v>45841</v>
      </c>
      <c r="D12" s="26">
        <v>3.7</v>
      </c>
      <c r="E12" s="27">
        <v>45778</v>
      </c>
      <c r="F12" s="26">
        <v>1.5</v>
      </c>
      <c r="G12" s="25" t="s">
        <v>5</v>
      </c>
      <c r="H12" s="26" t="s">
        <v>5</v>
      </c>
      <c r="I12" s="25" t="s">
        <v>6</v>
      </c>
      <c r="J12" s="28">
        <v>11</v>
      </c>
      <c r="K12" s="29">
        <f t="shared" si="0"/>
        <v>20.280000000000005</v>
      </c>
    </row>
    <row r="13" spans="1:11" ht="13.2" x14ac:dyDescent="0.25">
      <c r="A13" s="16">
        <v>45873</v>
      </c>
      <c r="B13" s="24">
        <v>4.8</v>
      </c>
      <c r="C13" s="27">
        <v>45750</v>
      </c>
      <c r="D13" s="26">
        <v>3.4</v>
      </c>
      <c r="E13" s="27">
        <v>45809</v>
      </c>
      <c r="F13" s="26">
        <v>1.6</v>
      </c>
      <c r="G13" s="25" t="s">
        <v>5</v>
      </c>
      <c r="H13" s="26" t="s">
        <v>5</v>
      </c>
      <c r="I13" s="25" t="s">
        <v>6</v>
      </c>
      <c r="J13" s="28">
        <v>12</v>
      </c>
      <c r="K13" s="29">
        <f t="shared" si="0"/>
        <v>16.64</v>
      </c>
    </row>
    <row r="14" spans="1:11" ht="13.2" x14ac:dyDescent="0.25">
      <c r="A14" s="16">
        <v>45873</v>
      </c>
      <c r="B14" s="24">
        <v>4.8</v>
      </c>
      <c r="C14" s="25">
        <v>3</v>
      </c>
      <c r="D14" s="26">
        <v>3</v>
      </c>
      <c r="E14" s="27">
        <v>45748</v>
      </c>
      <c r="F14" s="26">
        <v>1.4</v>
      </c>
      <c r="G14" s="25" t="s">
        <v>9</v>
      </c>
      <c r="H14" s="26" t="s">
        <v>9</v>
      </c>
      <c r="I14" s="25" t="s">
        <v>6</v>
      </c>
      <c r="J14" s="28">
        <v>13</v>
      </c>
      <c r="K14" s="29">
        <f t="shared" si="0"/>
        <v>14.54</v>
      </c>
    </row>
    <row r="15" spans="1:11" ht="13.2" x14ac:dyDescent="0.25">
      <c r="A15" s="16">
        <v>45720</v>
      </c>
      <c r="B15" s="24">
        <v>4.3</v>
      </c>
      <c r="C15" s="25">
        <v>3</v>
      </c>
      <c r="D15" s="26">
        <v>3</v>
      </c>
      <c r="E15" s="27">
        <v>45658</v>
      </c>
      <c r="F15" s="26">
        <v>1.1000000000000001</v>
      </c>
      <c r="G15" s="25" t="s">
        <v>9</v>
      </c>
      <c r="H15" s="26" t="s">
        <v>9</v>
      </c>
      <c r="I15" s="25" t="s">
        <v>6</v>
      </c>
      <c r="J15" s="28">
        <v>14</v>
      </c>
      <c r="K15" s="29">
        <f t="shared" si="0"/>
        <v>13.009999999999998</v>
      </c>
    </row>
    <row r="16" spans="1:11" ht="13.2" x14ac:dyDescent="0.25">
      <c r="A16" s="16">
        <v>45874</v>
      </c>
      <c r="B16" s="24">
        <v>5.8</v>
      </c>
      <c r="C16" s="25">
        <v>4</v>
      </c>
      <c r="D16" s="26">
        <v>4</v>
      </c>
      <c r="E16" s="27">
        <v>45689</v>
      </c>
      <c r="F16" s="26">
        <v>1.2</v>
      </c>
      <c r="G16" s="25" t="s">
        <v>5</v>
      </c>
      <c r="H16" s="26" t="s">
        <v>5</v>
      </c>
      <c r="I16" s="25" t="s">
        <v>6</v>
      </c>
      <c r="J16" s="28">
        <v>15</v>
      </c>
      <c r="K16" s="29">
        <f t="shared" si="0"/>
        <v>23.439999999999998</v>
      </c>
    </row>
    <row r="17" spans="1:11" ht="13.2" x14ac:dyDescent="0.25">
      <c r="A17" s="16">
        <v>45843</v>
      </c>
      <c r="B17" s="24">
        <v>5.7</v>
      </c>
      <c r="C17" s="27">
        <v>45751</v>
      </c>
      <c r="D17" s="26">
        <v>4.4000000000000004</v>
      </c>
      <c r="E17" s="27">
        <v>45778</v>
      </c>
      <c r="F17" s="26">
        <v>1.5</v>
      </c>
      <c r="G17" s="25" t="s">
        <v>7</v>
      </c>
      <c r="H17" s="26" t="s">
        <v>7</v>
      </c>
      <c r="I17" s="25" t="s">
        <v>6</v>
      </c>
      <c r="J17" s="28">
        <v>16</v>
      </c>
      <c r="K17" s="29">
        <f t="shared" si="0"/>
        <v>25.680000000000003</v>
      </c>
    </row>
    <row r="18" spans="1:11" ht="13.2" x14ac:dyDescent="0.25">
      <c r="A18" s="16">
        <v>45752</v>
      </c>
      <c r="B18" s="24">
        <v>5.4</v>
      </c>
      <c r="C18" s="27">
        <v>45903</v>
      </c>
      <c r="D18" s="26">
        <v>3.9</v>
      </c>
      <c r="E18" s="27">
        <v>45717</v>
      </c>
      <c r="F18" s="26">
        <v>1.3</v>
      </c>
      <c r="G18" s="25" t="s">
        <v>7</v>
      </c>
      <c r="H18" s="26" t="s">
        <v>7</v>
      </c>
      <c r="I18" s="25" t="s">
        <v>6</v>
      </c>
      <c r="J18" s="28">
        <v>17</v>
      </c>
      <c r="K18" s="29">
        <f t="shared" si="0"/>
        <v>21.580000000000002</v>
      </c>
    </row>
    <row r="19" spans="1:11" ht="13.2" x14ac:dyDescent="0.25">
      <c r="A19" s="16">
        <v>45662</v>
      </c>
      <c r="B19" s="24">
        <v>5.0999999999999996</v>
      </c>
      <c r="C19" s="27">
        <v>45780</v>
      </c>
      <c r="D19" s="26">
        <v>3.5</v>
      </c>
      <c r="E19" s="27">
        <v>45748</v>
      </c>
      <c r="F19" s="26">
        <v>1.4</v>
      </c>
      <c r="G19" s="25" t="s">
        <v>8</v>
      </c>
      <c r="H19" s="26" t="s">
        <v>8</v>
      </c>
      <c r="I19" s="25" t="s">
        <v>6</v>
      </c>
      <c r="J19" s="28">
        <v>18</v>
      </c>
      <c r="K19" s="29">
        <f t="shared" si="0"/>
        <v>18.27</v>
      </c>
    </row>
    <row r="20" spans="1:11" ht="13.2" x14ac:dyDescent="0.25">
      <c r="A20" s="16">
        <v>45843</v>
      </c>
      <c r="B20" s="24">
        <v>5.7</v>
      </c>
      <c r="C20" s="27">
        <v>45872</v>
      </c>
      <c r="D20" s="26">
        <v>3.8</v>
      </c>
      <c r="E20" s="27">
        <v>45839</v>
      </c>
      <c r="F20" s="26">
        <v>1.7</v>
      </c>
      <c r="G20" s="25" t="s">
        <v>8</v>
      </c>
      <c r="H20" s="26" t="s">
        <v>8</v>
      </c>
      <c r="I20" s="25" t="s">
        <v>6</v>
      </c>
      <c r="J20" s="28">
        <v>19</v>
      </c>
      <c r="K20" s="29">
        <f t="shared" si="0"/>
        <v>22.17</v>
      </c>
    </row>
    <row r="21" spans="1:11" ht="13.2" x14ac:dyDescent="0.25">
      <c r="A21" s="16">
        <v>45662</v>
      </c>
      <c r="B21" s="24">
        <v>5.0999999999999996</v>
      </c>
      <c r="C21" s="27">
        <v>45872</v>
      </c>
      <c r="D21" s="26">
        <v>3.8</v>
      </c>
      <c r="E21" s="27">
        <v>45778</v>
      </c>
      <c r="F21" s="26">
        <v>1.5</v>
      </c>
      <c r="G21" s="25" t="s">
        <v>8</v>
      </c>
      <c r="H21" s="26" t="s">
        <v>8</v>
      </c>
      <c r="I21" s="25" t="s">
        <v>6</v>
      </c>
      <c r="J21" s="28">
        <v>20</v>
      </c>
      <c r="K21" s="29">
        <f t="shared" si="0"/>
        <v>19.829999999999998</v>
      </c>
    </row>
    <row r="22" spans="1:11" ht="13.2" x14ac:dyDescent="0.25">
      <c r="A22" s="16">
        <v>45752</v>
      </c>
      <c r="B22" s="24">
        <v>5.4</v>
      </c>
      <c r="C22" s="27">
        <v>45750</v>
      </c>
      <c r="D22" s="26">
        <v>3.4</v>
      </c>
      <c r="E22" s="27">
        <v>45839</v>
      </c>
      <c r="F22" s="26">
        <v>1.7</v>
      </c>
      <c r="G22" s="25" t="s">
        <v>5</v>
      </c>
      <c r="H22" s="26" t="s">
        <v>5</v>
      </c>
      <c r="I22" s="25" t="s">
        <v>6</v>
      </c>
      <c r="J22" s="28">
        <v>21</v>
      </c>
      <c r="K22" s="29">
        <f t="shared" si="0"/>
        <v>18.7</v>
      </c>
    </row>
    <row r="23" spans="1:11" ht="13.2" x14ac:dyDescent="0.25">
      <c r="A23" s="16">
        <v>45662</v>
      </c>
      <c r="B23" s="24">
        <v>5.0999999999999996</v>
      </c>
      <c r="C23" s="27">
        <v>45841</v>
      </c>
      <c r="D23" s="26">
        <v>3.7</v>
      </c>
      <c r="E23" s="27">
        <v>45778</v>
      </c>
      <c r="F23" s="26">
        <v>1.5</v>
      </c>
      <c r="G23" s="25" t="s">
        <v>7</v>
      </c>
      <c r="H23" s="26" t="s">
        <v>7</v>
      </c>
      <c r="I23" s="25" t="s">
        <v>6</v>
      </c>
      <c r="J23" s="28">
        <v>22</v>
      </c>
      <c r="K23" s="29">
        <f t="shared" si="0"/>
        <v>19.470000000000002</v>
      </c>
    </row>
    <row r="24" spans="1:11" ht="13.2" x14ac:dyDescent="0.25">
      <c r="A24" s="16">
        <v>45812</v>
      </c>
      <c r="B24" s="24">
        <v>4.5999999999999996</v>
      </c>
      <c r="C24" s="27">
        <v>45811</v>
      </c>
      <c r="D24" s="26">
        <v>3.6</v>
      </c>
      <c r="E24" s="25">
        <v>1</v>
      </c>
      <c r="F24" s="26">
        <v>1</v>
      </c>
      <c r="G24" s="25" t="s">
        <v>5</v>
      </c>
      <c r="H24" s="26" t="s">
        <v>5</v>
      </c>
      <c r="I24" s="25" t="s">
        <v>6</v>
      </c>
      <c r="J24" s="28">
        <v>23</v>
      </c>
      <c r="K24" s="29">
        <f t="shared" si="0"/>
        <v>16.759999999999998</v>
      </c>
    </row>
    <row r="25" spans="1:11" ht="13.2" x14ac:dyDescent="0.25">
      <c r="A25" s="16">
        <v>45662</v>
      </c>
      <c r="B25" s="24">
        <v>5.0999999999999996</v>
      </c>
      <c r="C25" s="27">
        <v>45719</v>
      </c>
      <c r="D25" s="26">
        <v>3.3</v>
      </c>
      <c r="E25" s="27">
        <v>45839</v>
      </c>
      <c r="F25" s="26">
        <v>1.7</v>
      </c>
      <c r="G25" s="25" t="s">
        <v>10</v>
      </c>
      <c r="H25" s="26" t="s">
        <v>10</v>
      </c>
      <c r="I25" s="25" t="s">
        <v>6</v>
      </c>
      <c r="J25" s="28">
        <v>24</v>
      </c>
      <c r="K25" s="29">
        <f t="shared" si="0"/>
        <v>17.68</v>
      </c>
    </row>
    <row r="26" spans="1:11" ht="13.8" thickBot="1" x14ac:dyDescent="0.3">
      <c r="A26" s="16">
        <v>45873</v>
      </c>
      <c r="B26" s="31">
        <v>4.8</v>
      </c>
      <c r="C26" s="32">
        <v>45750</v>
      </c>
      <c r="D26" s="33">
        <v>3.4</v>
      </c>
      <c r="E26" s="32">
        <v>45901</v>
      </c>
      <c r="F26" s="33">
        <v>1.9</v>
      </c>
      <c r="G26" s="34" t="s">
        <v>5</v>
      </c>
      <c r="H26" s="33" t="s">
        <v>5</v>
      </c>
      <c r="I26" s="34" t="s">
        <v>6</v>
      </c>
      <c r="J26" s="35">
        <v>25</v>
      </c>
      <c r="K26" s="36">
        <f t="shared" si="0"/>
        <v>16.7</v>
      </c>
    </row>
    <row r="27" spans="1:11" ht="13.8" hidden="1" customHeight="1" thickBot="1" x14ac:dyDescent="0.3">
      <c r="A27" s="1">
        <v>5</v>
      </c>
      <c r="B27" s="13"/>
      <c r="C27" s="1">
        <v>3</v>
      </c>
      <c r="D27" s="6"/>
      <c r="E27" s="2">
        <v>45809</v>
      </c>
      <c r="F27" s="6"/>
      <c r="G27" s="1" t="s">
        <v>5</v>
      </c>
      <c r="H27" s="6"/>
      <c r="I27" s="1" t="s">
        <v>6</v>
      </c>
      <c r="J27" s="4">
        <v>26</v>
      </c>
      <c r="K27" s="7">
        <f t="shared" si="0"/>
        <v>0</v>
      </c>
    </row>
    <row r="28" spans="1:11" ht="13.8" hidden="1" customHeight="1" thickBot="1" x14ac:dyDescent="0.3">
      <c r="A28" s="1">
        <v>5</v>
      </c>
      <c r="B28" s="13"/>
      <c r="C28" s="2">
        <v>45750</v>
      </c>
      <c r="D28" s="6"/>
      <c r="E28" s="2">
        <v>45809</v>
      </c>
      <c r="F28" s="6"/>
      <c r="G28" s="1" t="s">
        <v>7</v>
      </c>
      <c r="H28" s="6"/>
      <c r="I28" s="1" t="s">
        <v>6</v>
      </c>
      <c r="J28" s="4">
        <v>27</v>
      </c>
      <c r="K28" s="7">
        <f t="shared" si="0"/>
        <v>0</v>
      </c>
    </row>
    <row r="29" spans="1:11" ht="13.8" hidden="1" customHeight="1" thickBot="1" x14ac:dyDescent="0.3">
      <c r="A29" s="2">
        <v>45693</v>
      </c>
      <c r="B29" s="13"/>
      <c r="C29" s="2">
        <v>45780</v>
      </c>
      <c r="D29" s="6"/>
      <c r="E29" s="2">
        <v>45778</v>
      </c>
      <c r="F29" s="6"/>
      <c r="G29" s="1" t="s">
        <v>5</v>
      </c>
      <c r="H29" s="6"/>
      <c r="I29" s="1" t="s">
        <v>6</v>
      </c>
      <c r="J29" s="4">
        <v>28</v>
      </c>
      <c r="K29" s="7">
        <f t="shared" si="0"/>
        <v>0</v>
      </c>
    </row>
    <row r="30" spans="1:11" ht="13.8" hidden="1" customHeight="1" thickBot="1" x14ac:dyDescent="0.3">
      <c r="A30" s="2">
        <v>45693</v>
      </c>
      <c r="B30" s="13"/>
      <c r="C30" s="2">
        <v>45750</v>
      </c>
      <c r="D30" s="6"/>
      <c r="E30" s="2">
        <v>45748</v>
      </c>
      <c r="F30" s="6"/>
      <c r="G30" s="1" t="s">
        <v>5</v>
      </c>
      <c r="H30" s="6"/>
      <c r="I30" s="1" t="s">
        <v>6</v>
      </c>
      <c r="J30" s="4">
        <v>29</v>
      </c>
      <c r="K30" s="7">
        <f t="shared" si="0"/>
        <v>0</v>
      </c>
    </row>
    <row r="31" spans="1:11" ht="13.8" hidden="1" customHeight="1" thickBot="1" x14ac:dyDescent="0.3">
      <c r="A31" s="2">
        <v>45842</v>
      </c>
      <c r="B31" s="13"/>
      <c r="C31" s="2">
        <v>45691</v>
      </c>
      <c r="D31" s="6"/>
      <c r="E31" s="2">
        <v>45809</v>
      </c>
      <c r="F31" s="6"/>
      <c r="G31" s="1" t="s">
        <v>5</v>
      </c>
      <c r="H31" s="6"/>
      <c r="I31" s="1" t="s">
        <v>6</v>
      </c>
      <c r="J31" s="4">
        <v>30</v>
      </c>
      <c r="K31" s="7">
        <f t="shared" si="0"/>
        <v>0</v>
      </c>
    </row>
    <row r="32" spans="1:11" ht="13.8" hidden="1" customHeight="1" thickBot="1" x14ac:dyDescent="0.3">
      <c r="A32" s="2">
        <v>45873</v>
      </c>
      <c r="B32" s="13"/>
      <c r="C32" s="2">
        <v>45660</v>
      </c>
      <c r="D32" s="6"/>
      <c r="E32" s="2">
        <v>45809</v>
      </c>
      <c r="F32" s="6"/>
      <c r="G32" s="1" t="s">
        <v>5</v>
      </c>
      <c r="H32" s="6"/>
      <c r="I32" s="1" t="s">
        <v>6</v>
      </c>
      <c r="J32" s="4">
        <v>31</v>
      </c>
      <c r="K32" s="7">
        <f t="shared" si="0"/>
        <v>0</v>
      </c>
    </row>
    <row r="33" spans="1:11" ht="13.8" hidden="1" customHeight="1" thickBot="1" x14ac:dyDescent="0.3">
      <c r="A33" s="2">
        <v>45752</v>
      </c>
      <c r="B33" s="13"/>
      <c r="C33" s="2">
        <v>45750</v>
      </c>
      <c r="D33" s="6"/>
      <c r="E33" s="2">
        <v>45778</v>
      </c>
      <c r="F33" s="6"/>
      <c r="G33" s="1" t="s">
        <v>7</v>
      </c>
      <c r="H33" s="6"/>
      <c r="I33" s="1" t="s">
        <v>6</v>
      </c>
      <c r="J33" s="4">
        <v>32</v>
      </c>
      <c r="K33" s="7">
        <f t="shared" si="0"/>
        <v>0</v>
      </c>
    </row>
    <row r="34" spans="1:11" ht="13.8" hidden="1" customHeight="1" thickBot="1" x14ac:dyDescent="0.3">
      <c r="A34" s="2">
        <v>45693</v>
      </c>
      <c r="B34" s="13"/>
      <c r="C34" s="2">
        <v>45661</v>
      </c>
      <c r="D34" s="6"/>
      <c r="E34" s="2">
        <v>45778</v>
      </c>
      <c r="F34" s="6"/>
      <c r="G34" s="1" t="s">
        <v>9</v>
      </c>
      <c r="H34" s="6"/>
      <c r="I34" s="1" t="s">
        <v>6</v>
      </c>
      <c r="J34" s="4">
        <v>33</v>
      </c>
      <c r="K34" s="7">
        <f t="shared" si="0"/>
        <v>0</v>
      </c>
    </row>
    <row r="35" spans="1:11" ht="13.8" hidden="1" customHeight="1" thickBot="1" x14ac:dyDescent="0.3">
      <c r="A35" s="2">
        <v>45782</v>
      </c>
      <c r="B35" s="13"/>
      <c r="C35" s="2">
        <v>45692</v>
      </c>
      <c r="D35" s="6"/>
      <c r="E35" s="2">
        <v>45748</v>
      </c>
      <c r="F35" s="6"/>
      <c r="G35" s="1" t="s">
        <v>5</v>
      </c>
      <c r="H35" s="6"/>
      <c r="I35" s="1" t="s">
        <v>6</v>
      </c>
      <c r="J35" s="4">
        <v>34</v>
      </c>
      <c r="K35" s="7">
        <f t="shared" si="0"/>
        <v>0</v>
      </c>
    </row>
    <row r="36" spans="1:11" ht="13.8" hidden="1" customHeight="1" thickBot="1" x14ac:dyDescent="0.3">
      <c r="A36" s="2">
        <v>45904</v>
      </c>
      <c r="B36" s="13"/>
      <c r="C36" s="2">
        <v>45660</v>
      </c>
      <c r="D36" s="6"/>
      <c r="E36" s="2">
        <v>45778</v>
      </c>
      <c r="F36" s="6"/>
      <c r="G36" s="1" t="s">
        <v>5</v>
      </c>
      <c r="H36" s="6"/>
      <c r="I36" s="1" t="s">
        <v>6</v>
      </c>
      <c r="J36" s="4">
        <v>35</v>
      </c>
      <c r="K36" s="7">
        <f t="shared" si="0"/>
        <v>0</v>
      </c>
    </row>
    <row r="37" spans="1:11" ht="13.8" hidden="1" customHeight="1" thickBot="1" x14ac:dyDescent="0.3">
      <c r="A37" s="1">
        <v>5</v>
      </c>
      <c r="B37" s="13"/>
      <c r="C37" s="2">
        <v>45691</v>
      </c>
      <c r="D37" s="6"/>
      <c r="E37" s="2">
        <v>45689</v>
      </c>
      <c r="F37" s="6"/>
      <c r="G37" s="1" t="s">
        <v>5</v>
      </c>
      <c r="H37" s="6"/>
      <c r="I37" s="1" t="s">
        <v>6</v>
      </c>
      <c r="J37" s="4">
        <v>36</v>
      </c>
      <c r="K37" s="7">
        <f t="shared" si="0"/>
        <v>0</v>
      </c>
    </row>
    <row r="38" spans="1:11" ht="13.8" hidden="1" customHeight="1" thickBot="1" x14ac:dyDescent="0.3">
      <c r="A38" s="2">
        <v>45782</v>
      </c>
      <c r="B38" s="13"/>
      <c r="C38" s="2">
        <v>45780</v>
      </c>
      <c r="D38" s="6"/>
      <c r="E38" s="2">
        <v>45717</v>
      </c>
      <c r="F38" s="6"/>
      <c r="G38" s="1" t="s">
        <v>5</v>
      </c>
      <c r="H38" s="6"/>
      <c r="I38" s="1" t="s">
        <v>6</v>
      </c>
      <c r="J38" s="4">
        <v>37</v>
      </c>
      <c r="K38" s="7">
        <f t="shared" si="0"/>
        <v>0</v>
      </c>
    </row>
    <row r="39" spans="1:11" ht="13.8" hidden="1" customHeight="1" thickBot="1" x14ac:dyDescent="0.3">
      <c r="A39" s="2">
        <v>45904</v>
      </c>
      <c r="B39" s="13"/>
      <c r="C39" s="2">
        <v>45811</v>
      </c>
      <c r="D39" s="6"/>
      <c r="E39" s="2">
        <v>45748</v>
      </c>
      <c r="F39" s="6"/>
      <c r="G39" s="1" t="s">
        <v>9</v>
      </c>
      <c r="H39" s="6"/>
      <c r="I39" s="1" t="s">
        <v>6</v>
      </c>
      <c r="J39" s="4">
        <v>38</v>
      </c>
      <c r="K39" s="7">
        <f t="shared" si="0"/>
        <v>0</v>
      </c>
    </row>
    <row r="40" spans="1:11" ht="13.8" hidden="1" customHeight="1" thickBot="1" x14ac:dyDescent="0.3">
      <c r="A40" s="2">
        <v>45751</v>
      </c>
      <c r="B40" s="13"/>
      <c r="C40" s="1">
        <v>3</v>
      </c>
      <c r="D40" s="6"/>
      <c r="E40" s="2">
        <v>45717</v>
      </c>
      <c r="F40" s="6"/>
      <c r="G40" s="1" t="s">
        <v>5</v>
      </c>
      <c r="H40" s="6"/>
      <c r="I40" s="1" t="s">
        <v>6</v>
      </c>
      <c r="J40" s="4">
        <v>39</v>
      </c>
      <c r="K40" s="7">
        <f t="shared" si="0"/>
        <v>0</v>
      </c>
    </row>
    <row r="41" spans="1:11" ht="13.8" hidden="1" customHeight="1" thickBot="1" x14ac:dyDescent="0.3">
      <c r="A41" s="2">
        <v>45662</v>
      </c>
      <c r="B41" s="13"/>
      <c r="C41" s="2">
        <v>45750</v>
      </c>
      <c r="D41" s="6"/>
      <c r="E41" s="2">
        <v>45778</v>
      </c>
      <c r="F41" s="6"/>
      <c r="G41" s="1" t="s">
        <v>5</v>
      </c>
      <c r="H41" s="6"/>
      <c r="I41" s="1" t="s">
        <v>6</v>
      </c>
      <c r="J41" s="4">
        <v>40</v>
      </c>
      <c r="K41" s="7">
        <f t="shared" si="0"/>
        <v>0</v>
      </c>
    </row>
    <row r="42" spans="1:11" ht="13.8" hidden="1" customHeight="1" thickBot="1" x14ac:dyDescent="0.3">
      <c r="A42" s="1">
        <v>5</v>
      </c>
      <c r="B42" s="13"/>
      <c r="C42" s="2">
        <v>45780</v>
      </c>
      <c r="D42" s="6"/>
      <c r="E42" s="2">
        <v>45717</v>
      </c>
      <c r="F42" s="6"/>
      <c r="G42" s="1" t="s">
        <v>8</v>
      </c>
      <c r="H42" s="6"/>
      <c r="I42" s="1" t="s">
        <v>6</v>
      </c>
      <c r="J42" s="4">
        <v>41</v>
      </c>
      <c r="K42" s="7">
        <f t="shared" si="0"/>
        <v>0</v>
      </c>
    </row>
    <row r="43" spans="1:11" ht="13.8" hidden="1" customHeight="1" thickBot="1" x14ac:dyDescent="0.3">
      <c r="A43" s="2">
        <v>45781</v>
      </c>
      <c r="B43" s="13"/>
      <c r="C43" s="2">
        <v>45718</v>
      </c>
      <c r="D43" s="6"/>
      <c r="E43" s="2">
        <v>45717</v>
      </c>
      <c r="F43" s="6"/>
      <c r="G43" s="1" t="s">
        <v>8</v>
      </c>
      <c r="H43" s="6"/>
      <c r="I43" s="1" t="s">
        <v>6</v>
      </c>
      <c r="J43" s="4">
        <v>42</v>
      </c>
      <c r="K43" s="7">
        <f t="shared" si="0"/>
        <v>0</v>
      </c>
    </row>
    <row r="44" spans="1:11" ht="13.8" hidden="1" customHeight="1" thickBot="1" x14ac:dyDescent="0.3">
      <c r="A44" s="2">
        <v>45751</v>
      </c>
      <c r="B44" s="13"/>
      <c r="C44" s="2">
        <v>45691</v>
      </c>
      <c r="D44" s="6"/>
      <c r="E44" s="2">
        <v>45717</v>
      </c>
      <c r="F44" s="6"/>
      <c r="G44" s="1" t="s">
        <v>5</v>
      </c>
      <c r="H44" s="6"/>
      <c r="I44" s="1" t="s">
        <v>6</v>
      </c>
      <c r="J44" s="4">
        <v>43</v>
      </c>
      <c r="K44" s="7">
        <f t="shared" si="0"/>
        <v>0</v>
      </c>
    </row>
    <row r="45" spans="1:11" ht="13.8" hidden="1" customHeight="1" thickBot="1" x14ac:dyDescent="0.3">
      <c r="A45" s="1">
        <v>5</v>
      </c>
      <c r="B45" s="13"/>
      <c r="C45" s="2">
        <v>45780</v>
      </c>
      <c r="D45" s="6"/>
      <c r="E45" s="2">
        <v>45809</v>
      </c>
      <c r="F45" s="6"/>
      <c r="G45" s="1" t="s">
        <v>11</v>
      </c>
      <c r="H45" s="6"/>
      <c r="I45" s="1" t="s">
        <v>6</v>
      </c>
      <c r="J45" s="4">
        <v>44</v>
      </c>
      <c r="K45" s="7">
        <f t="shared" si="0"/>
        <v>0</v>
      </c>
    </row>
    <row r="46" spans="1:11" ht="13.8" hidden="1" customHeight="1" thickBot="1" x14ac:dyDescent="0.3">
      <c r="A46" s="2">
        <v>45662</v>
      </c>
      <c r="B46" s="13"/>
      <c r="C46" s="2">
        <v>45872</v>
      </c>
      <c r="D46" s="6"/>
      <c r="E46" s="2">
        <v>45901</v>
      </c>
      <c r="F46" s="6"/>
      <c r="G46" s="1" t="s">
        <v>7</v>
      </c>
      <c r="H46" s="6"/>
      <c r="I46" s="1" t="s">
        <v>6</v>
      </c>
      <c r="J46" s="4">
        <v>45</v>
      </c>
      <c r="K46" s="7">
        <f t="shared" si="0"/>
        <v>0</v>
      </c>
    </row>
    <row r="47" spans="1:11" ht="13.8" hidden="1" customHeight="1" thickBot="1" x14ac:dyDescent="0.3">
      <c r="A47" s="2">
        <v>45873</v>
      </c>
      <c r="B47" s="13"/>
      <c r="C47" s="1">
        <v>3</v>
      </c>
      <c r="D47" s="6"/>
      <c r="E47" s="2">
        <v>45748</v>
      </c>
      <c r="F47" s="6"/>
      <c r="G47" s="1" t="s">
        <v>8</v>
      </c>
      <c r="H47" s="6"/>
      <c r="I47" s="1" t="s">
        <v>6</v>
      </c>
      <c r="J47" s="4">
        <v>46</v>
      </c>
      <c r="K47" s="7">
        <f t="shared" si="0"/>
        <v>0</v>
      </c>
    </row>
    <row r="48" spans="1:11" ht="13.8" hidden="1" customHeight="1" thickBot="1" x14ac:dyDescent="0.3">
      <c r="A48" s="2">
        <v>45662</v>
      </c>
      <c r="B48" s="13"/>
      <c r="C48" s="2">
        <v>45872</v>
      </c>
      <c r="D48" s="6"/>
      <c r="E48" s="2">
        <v>45809</v>
      </c>
      <c r="F48" s="6"/>
      <c r="G48" s="1" t="s">
        <v>5</v>
      </c>
      <c r="H48" s="6"/>
      <c r="I48" s="1" t="s">
        <v>6</v>
      </c>
      <c r="J48" s="4">
        <v>47</v>
      </c>
      <c r="K48" s="7">
        <f t="shared" si="0"/>
        <v>0</v>
      </c>
    </row>
    <row r="49" spans="1:11" ht="13.8" hidden="1" customHeight="1" thickBot="1" x14ac:dyDescent="0.3">
      <c r="A49" s="2">
        <v>45812</v>
      </c>
      <c r="B49" s="13"/>
      <c r="C49" s="2">
        <v>45691</v>
      </c>
      <c r="D49" s="6"/>
      <c r="E49" s="2">
        <v>45748</v>
      </c>
      <c r="F49" s="6"/>
      <c r="G49" s="1" t="s">
        <v>5</v>
      </c>
      <c r="H49" s="6"/>
      <c r="I49" s="1" t="s">
        <v>6</v>
      </c>
      <c r="J49" s="4">
        <v>48</v>
      </c>
      <c r="K49" s="7">
        <f t="shared" si="0"/>
        <v>0</v>
      </c>
    </row>
    <row r="50" spans="1:11" ht="13.8" hidden="1" customHeight="1" thickBot="1" x14ac:dyDescent="0.3">
      <c r="A50" s="2">
        <v>45721</v>
      </c>
      <c r="B50" s="13"/>
      <c r="C50" s="2">
        <v>45841</v>
      </c>
      <c r="D50" s="6"/>
      <c r="E50" s="2">
        <v>45778</v>
      </c>
      <c r="F50" s="6"/>
      <c r="G50" s="1" t="s">
        <v>5</v>
      </c>
      <c r="H50" s="6"/>
      <c r="I50" s="1" t="s">
        <v>6</v>
      </c>
      <c r="J50" s="4">
        <v>49</v>
      </c>
      <c r="K50" s="7">
        <f t="shared" si="0"/>
        <v>0</v>
      </c>
    </row>
    <row r="51" spans="1:11" ht="13.8" hidden="1" customHeight="1" thickBot="1" x14ac:dyDescent="0.3">
      <c r="A51" s="1">
        <v>5</v>
      </c>
      <c r="B51" s="13"/>
      <c r="C51" s="2">
        <v>45719</v>
      </c>
      <c r="D51" s="6"/>
      <c r="E51" s="2">
        <v>45748</v>
      </c>
      <c r="F51" s="6"/>
      <c r="G51" s="1" t="s">
        <v>5</v>
      </c>
      <c r="H51" s="6"/>
      <c r="I51" s="1" t="s">
        <v>6</v>
      </c>
      <c r="J51" s="4">
        <v>50</v>
      </c>
      <c r="K51" s="7">
        <f t="shared" si="0"/>
        <v>0</v>
      </c>
    </row>
    <row r="52" spans="1:11" ht="13.2" x14ac:dyDescent="0.25">
      <c r="A52" s="1">
        <v>7</v>
      </c>
      <c r="B52" s="38">
        <v>7</v>
      </c>
      <c r="C52" s="18">
        <v>45691</v>
      </c>
      <c r="D52" s="39">
        <v>3.2</v>
      </c>
      <c r="E52" s="18">
        <v>45842</v>
      </c>
      <c r="F52" s="40">
        <v>4.7</v>
      </c>
      <c r="G52" s="18">
        <v>45748</v>
      </c>
      <c r="H52" s="39">
        <v>1.4</v>
      </c>
      <c r="I52" s="20" t="s">
        <v>12</v>
      </c>
      <c r="J52" s="21">
        <v>1</v>
      </c>
      <c r="K52" s="22">
        <f t="shared" si="0"/>
        <v>28.980000000000004</v>
      </c>
    </row>
    <row r="53" spans="1:11" ht="13.2" x14ac:dyDescent="0.25">
      <c r="A53" s="2">
        <v>45753</v>
      </c>
      <c r="B53" s="41">
        <v>6.4</v>
      </c>
      <c r="C53" s="27">
        <v>45691</v>
      </c>
      <c r="D53" s="42">
        <v>3.2</v>
      </c>
      <c r="E53" s="27">
        <v>45781</v>
      </c>
      <c r="F53" s="42">
        <v>4.5</v>
      </c>
      <c r="G53" s="27">
        <v>45778</v>
      </c>
      <c r="H53" s="42">
        <v>1.5</v>
      </c>
      <c r="I53" s="25" t="s">
        <v>12</v>
      </c>
      <c r="J53" s="28">
        <v>2</v>
      </c>
      <c r="K53" s="29">
        <f t="shared" si="0"/>
        <v>27.230000000000004</v>
      </c>
    </row>
    <row r="54" spans="1:11" ht="13.2" x14ac:dyDescent="0.25">
      <c r="A54" s="2">
        <v>45906</v>
      </c>
      <c r="B54" s="41">
        <v>6.9</v>
      </c>
      <c r="C54" s="27">
        <v>45660</v>
      </c>
      <c r="D54" s="42">
        <v>3.1</v>
      </c>
      <c r="E54" s="27">
        <v>45904</v>
      </c>
      <c r="F54" s="42">
        <v>4.9000000000000004</v>
      </c>
      <c r="G54" s="27">
        <v>45778</v>
      </c>
      <c r="H54" s="42">
        <v>1.5</v>
      </c>
      <c r="I54" s="25" t="s">
        <v>12</v>
      </c>
      <c r="J54" s="28">
        <v>3</v>
      </c>
      <c r="K54" s="29">
        <f t="shared" si="0"/>
        <v>28.740000000000002</v>
      </c>
    </row>
    <row r="55" spans="1:11" ht="13.2" x14ac:dyDescent="0.25">
      <c r="A55" s="2">
        <v>45782</v>
      </c>
      <c r="B55" s="41">
        <v>5.5</v>
      </c>
      <c r="C55" s="27">
        <v>45718</v>
      </c>
      <c r="D55" s="42">
        <v>2.2999999999999998</v>
      </c>
      <c r="E55" s="25">
        <v>4</v>
      </c>
      <c r="F55" s="42">
        <v>4</v>
      </c>
      <c r="G55" s="27">
        <v>45717</v>
      </c>
      <c r="H55" s="42">
        <v>1.3</v>
      </c>
      <c r="I55" s="25" t="s">
        <v>12</v>
      </c>
      <c r="J55" s="28">
        <v>4</v>
      </c>
      <c r="K55" s="29">
        <f t="shared" si="0"/>
        <v>17.849999999999998</v>
      </c>
    </row>
    <row r="56" spans="1:11" ht="13.2" x14ac:dyDescent="0.25">
      <c r="A56" s="2">
        <v>45783</v>
      </c>
      <c r="B56" s="41">
        <v>6.5</v>
      </c>
      <c r="C56" s="27">
        <v>45871</v>
      </c>
      <c r="D56" s="42">
        <v>2.8</v>
      </c>
      <c r="E56" s="27">
        <v>45812</v>
      </c>
      <c r="F56" s="42">
        <v>4.5999999999999996</v>
      </c>
      <c r="G56" s="27">
        <v>45778</v>
      </c>
      <c r="H56" s="42">
        <v>1.5</v>
      </c>
      <c r="I56" s="25" t="s">
        <v>12</v>
      </c>
      <c r="J56" s="28">
        <v>5</v>
      </c>
      <c r="K56" s="29">
        <f t="shared" si="0"/>
        <v>25.099999999999998</v>
      </c>
    </row>
    <row r="57" spans="1:11" ht="13.2" x14ac:dyDescent="0.25">
      <c r="A57" s="2">
        <v>45843</v>
      </c>
      <c r="B57" s="41">
        <v>5.7</v>
      </c>
      <c r="C57" s="27">
        <v>45871</v>
      </c>
      <c r="D57" s="42">
        <v>2.8</v>
      </c>
      <c r="E57" s="27">
        <v>45781</v>
      </c>
      <c r="F57" s="42">
        <v>4.5</v>
      </c>
      <c r="G57" s="27">
        <v>45717</v>
      </c>
      <c r="H57" s="42">
        <v>1.3</v>
      </c>
      <c r="I57" s="25" t="s">
        <v>12</v>
      </c>
      <c r="J57" s="28">
        <v>6</v>
      </c>
      <c r="K57" s="29">
        <f t="shared" si="0"/>
        <v>21.81</v>
      </c>
    </row>
    <row r="58" spans="1:11" ht="13.2" x14ac:dyDescent="0.25">
      <c r="A58" s="2">
        <v>45722</v>
      </c>
      <c r="B58" s="41">
        <v>6.3</v>
      </c>
      <c r="C58" s="27">
        <v>45719</v>
      </c>
      <c r="D58" s="42">
        <v>3.3</v>
      </c>
      <c r="E58" s="27">
        <v>45842</v>
      </c>
      <c r="F58" s="42">
        <v>4.7</v>
      </c>
      <c r="G58" s="27">
        <v>45809</v>
      </c>
      <c r="H58" s="42">
        <v>1.6</v>
      </c>
      <c r="I58" s="25" t="s">
        <v>12</v>
      </c>
      <c r="J58" s="28">
        <v>7</v>
      </c>
      <c r="K58" s="29">
        <f t="shared" si="0"/>
        <v>28.31</v>
      </c>
    </row>
    <row r="59" spans="1:11" ht="13.2" x14ac:dyDescent="0.25">
      <c r="A59" s="2">
        <v>45904</v>
      </c>
      <c r="B59" s="41">
        <v>4.9000000000000004</v>
      </c>
      <c r="C59" s="27">
        <v>45749</v>
      </c>
      <c r="D59" s="42">
        <v>2.4</v>
      </c>
      <c r="E59" s="27">
        <v>45719</v>
      </c>
      <c r="F59" s="42">
        <v>3.3</v>
      </c>
      <c r="G59" s="25">
        <v>1</v>
      </c>
      <c r="H59" s="42">
        <v>1</v>
      </c>
      <c r="I59" s="25" t="s">
        <v>12</v>
      </c>
      <c r="J59" s="28">
        <v>8</v>
      </c>
      <c r="K59" s="29">
        <f t="shared" si="0"/>
        <v>15.059999999999999</v>
      </c>
    </row>
    <row r="60" spans="1:11" ht="13.2" x14ac:dyDescent="0.25">
      <c r="A60" s="2">
        <v>45814</v>
      </c>
      <c r="B60" s="41">
        <v>6.6</v>
      </c>
      <c r="C60" s="27">
        <v>45902</v>
      </c>
      <c r="D60" s="42">
        <v>2.9</v>
      </c>
      <c r="E60" s="27">
        <v>45812</v>
      </c>
      <c r="F60" s="42">
        <v>4.5999999999999996</v>
      </c>
      <c r="G60" s="27">
        <v>45717</v>
      </c>
      <c r="H60" s="42">
        <v>1.3</v>
      </c>
      <c r="I60" s="25" t="s">
        <v>12</v>
      </c>
      <c r="J60" s="28">
        <v>9</v>
      </c>
      <c r="K60" s="29">
        <f t="shared" si="0"/>
        <v>25.119999999999997</v>
      </c>
    </row>
    <row r="61" spans="1:11" ht="13.2" x14ac:dyDescent="0.25">
      <c r="A61" s="2">
        <v>45693</v>
      </c>
      <c r="B61" s="41">
        <v>5.2</v>
      </c>
      <c r="C61" s="27">
        <v>45840</v>
      </c>
      <c r="D61" s="42">
        <v>2.7</v>
      </c>
      <c r="E61" s="27">
        <v>45903</v>
      </c>
      <c r="F61" s="42">
        <v>3.9</v>
      </c>
      <c r="G61" s="27">
        <v>45748</v>
      </c>
      <c r="H61" s="42">
        <v>1.4</v>
      </c>
      <c r="I61" s="25" t="s">
        <v>12</v>
      </c>
      <c r="J61" s="28">
        <v>10</v>
      </c>
      <c r="K61" s="29">
        <f t="shared" si="0"/>
        <v>19.5</v>
      </c>
    </row>
    <row r="62" spans="1:11" ht="13.2" x14ac:dyDescent="0.25">
      <c r="A62" s="1">
        <v>5</v>
      </c>
      <c r="B62" s="41">
        <v>5</v>
      </c>
      <c r="C62" s="25">
        <v>2</v>
      </c>
      <c r="D62" s="42">
        <v>2</v>
      </c>
      <c r="E62" s="27">
        <v>45780</v>
      </c>
      <c r="F62" s="42">
        <v>3.5</v>
      </c>
      <c r="G62" s="25">
        <v>1</v>
      </c>
      <c r="H62" s="42">
        <v>1</v>
      </c>
      <c r="I62" s="25" t="s">
        <v>12</v>
      </c>
      <c r="J62" s="28">
        <v>11</v>
      </c>
      <c r="K62" s="29">
        <f t="shared" si="0"/>
        <v>13.5</v>
      </c>
    </row>
    <row r="63" spans="1:11" ht="13.2" x14ac:dyDescent="0.25">
      <c r="A63" s="2">
        <v>45905</v>
      </c>
      <c r="B63" s="41">
        <v>5.9</v>
      </c>
      <c r="C63" s="25">
        <v>3</v>
      </c>
      <c r="D63" s="42">
        <v>3</v>
      </c>
      <c r="E63" s="27">
        <v>45692</v>
      </c>
      <c r="F63" s="42">
        <v>4.2</v>
      </c>
      <c r="G63" s="27">
        <v>45778</v>
      </c>
      <c r="H63" s="42">
        <v>1.5</v>
      </c>
      <c r="I63" s="25" t="s">
        <v>12</v>
      </c>
      <c r="J63" s="28">
        <v>12</v>
      </c>
      <c r="K63" s="29">
        <f t="shared" si="0"/>
        <v>24.000000000000004</v>
      </c>
    </row>
    <row r="64" spans="1:11" ht="13.2" x14ac:dyDescent="0.25">
      <c r="A64" s="1">
        <v>6</v>
      </c>
      <c r="B64" s="41">
        <v>6</v>
      </c>
      <c r="C64" s="27">
        <v>45690</v>
      </c>
      <c r="D64" s="42">
        <v>2.2000000000000002</v>
      </c>
      <c r="E64" s="25">
        <v>4</v>
      </c>
      <c r="F64" s="42">
        <v>4</v>
      </c>
      <c r="G64" s="25">
        <v>1</v>
      </c>
      <c r="H64" s="42">
        <v>1</v>
      </c>
      <c r="I64" s="25" t="s">
        <v>12</v>
      </c>
      <c r="J64" s="28">
        <v>13</v>
      </c>
      <c r="K64" s="29">
        <f t="shared" si="0"/>
        <v>17.200000000000003</v>
      </c>
    </row>
    <row r="65" spans="1:11" ht="13.2" x14ac:dyDescent="0.25">
      <c r="A65" s="2">
        <v>45663</v>
      </c>
      <c r="B65" s="41">
        <v>6.1</v>
      </c>
      <c r="C65" s="27">
        <v>45902</v>
      </c>
      <c r="D65" s="42">
        <v>2.9</v>
      </c>
      <c r="E65" s="27">
        <v>45842</v>
      </c>
      <c r="F65" s="42">
        <v>4.7</v>
      </c>
      <c r="G65" s="27">
        <v>45748</v>
      </c>
      <c r="H65" s="42">
        <v>1.4</v>
      </c>
      <c r="I65" s="25" t="s">
        <v>12</v>
      </c>
      <c r="J65" s="28">
        <v>14</v>
      </c>
      <c r="K65" s="29">
        <f t="shared" si="0"/>
        <v>24.269999999999996</v>
      </c>
    </row>
    <row r="66" spans="1:11" ht="13.2" x14ac:dyDescent="0.25">
      <c r="A66" s="2">
        <v>45813</v>
      </c>
      <c r="B66" s="41">
        <v>5.6</v>
      </c>
      <c r="C66" s="27">
        <v>45902</v>
      </c>
      <c r="D66" s="42">
        <v>2.9</v>
      </c>
      <c r="E66" s="27">
        <v>45811</v>
      </c>
      <c r="F66" s="42">
        <v>3.6</v>
      </c>
      <c r="G66" s="27">
        <v>45717</v>
      </c>
      <c r="H66" s="42">
        <v>1.3</v>
      </c>
      <c r="I66" s="25" t="s">
        <v>12</v>
      </c>
      <c r="J66" s="28">
        <v>15</v>
      </c>
      <c r="K66" s="29">
        <f t="shared" si="0"/>
        <v>20.919999999999998</v>
      </c>
    </row>
    <row r="67" spans="1:11" ht="13.2" x14ac:dyDescent="0.25">
      <c r="A67" s="2">
        <v>45844</v>
      </c>
      <c r="B67" s="41">
        <v>6.7</v>
      </c>
      <c r="C67" s="27">
        <v>45660</v>
      </c>
      <c r="D67" s="42">
        <v>3.1</v>
      </c>
      <c r="E67" s="27">
        <v>45751</v>
      </c>
      <c r="F67" s="42">
        <v>4.4000000000000004</v>
      </c>
      <c r="G67" s="27">
        <v>45748</v>
      </c>
      <c r="H67" s="42">
        <v>1.4</v>
      </c>
      <c r="I67" s="25" t="s">
        <v>12</v>
      </c>
      <c r="J67" s="28">
        <v>16</v>
      </c>
      <c r="K67" s="29">
        <f t="shared" ref="K67:K126" si="1">B67*D67+F67*H67</f>
        <v>26.93</v>
      </c>
    </row>
    <row r="68" spans="1:11" ht="13.2" x14ac:dyDescent="0.25">
      <c r="A68" s="2">
        <v>45813</v>
      </c>
      <c r="B68" s="41">
        <v>5.6</v>
      </c>
      <c r="C68" s="25">
        <v>3</v>
      </c>
      <c r="D68" s="42">
        <v>3</v>
      </c>
      <c r="E68" s="27">
        <v>45781</v>
      </c>
      <c r="F68" s="42">
        <v>4.5</v>
      </c>
      <c r="G68" s="27">
        <v>45778</v>
      </c>
      <c r="H68" s="42">
        <v>1.5</v>
      </c>
      <c r="I68" s="25" t="s">
        <v>12</v>
      </c>
      <c r="J68" s="28">
        <v>17</v>
      </c>
      <c r="K68" s="29">
        <f t="shared" si="1"/>
        <v>23.549999999999997</v>
      </c>
    </row>
    <row r="69" spans="1:11" ht="13.2" x14ac:dyDescent="0.25">
      <c r="A69" s="2">
        <v>45874</v>
      </c>
      <c r="B69" s="41">
        <v>5.8</v>
      </c>
      <c r="C69" s="27">
        <v>45840</v>
      </c>
      <c r="D69" s="42">
        <v>2.7</v>
      </c>
      <c r="E69" s="27">
        <v>45661</v>
      </c>
      <c r="F69" s="42">
        <v>4.0999999999999996</v>
      </c>
      <c r="G69" s="25">
        <v>1</v>
      </c>
      <c r="H69" s="42">
        <v>1</v>
      </c>
      <c r="I69" s="25" t="s">
        <v>12</v>
      </c>
      <c r="J69" s="28">
        <v>18</v>
      </c>
      <c r="K69" s="29">
        <f t="shared" si="1"/>
        <v>19.759999999999998</v>
      </c>
    </row>
    <row r="70" spans="1:11" ht="13.2" x14ac:dyDescent="0.25">
      <c r="A70" s="2">
        <v>45694</v>
      </c>
      <c r="B70" s="41">
        <v>6.2</v>
      </c>
      <c r="C70" s="27">
        <v>45690</v>
      </c>
      <c r="D70" s="42">
        <v>2.2000000000000002</v>
      </c>
      <c r="E70" s="27">
        <v>45781</v>
      </c>
      <c r="F70" s="42">
        <v>4.5</v>
      </c>
      <c r="G70" s="27">
        <v>45778</v>
      </c>
      <c r="H70" s="42">
        <v>1.5</v>
      </c>
      <c r="I70" s="25" t="s">
        <v>12</v>
      </c>
      <c r="J70" s="28">
        <v>19</v>
      </c>
      <c r="K70" s="29">
        <f t="shared" si="1"/>
        <v>20.39</v>
      </c>
    </row>
    <row r="71" spans="1:11" ht="13.2" x14ac:dyDescent="0.25">
      <c r="A71" s="2">
        <v>45813</v>
      </c>
      <c r="B71" s="41">
        <v>5.6</v>
      </c>
      <c r="C71" s="27">
        <v>45779</v>
      </c>
      <c r="D71" s="42">
        <v>2.5</v>
      </c>
      <c r="E71" s="27">
        <v>45903</v>
      </c>
      <c r="F71" s="42">
        <v>3.9</v>
      </c>
      <c r="G71" s="27">
        <v>45658</v>
      </c>
      <c r="H71" s="42">
        <v>1.1000000000000001</v>
      </c>
      <c r="I71" s="25" t="s">
        <v>12</v>
      </c>
      <c r="J71" s="28">
        <v>20</v>
      </c>
      <c r="K71" s="29">
        <f t="shared" si="1"/>
        <v>18.29</v>
      </c>
    </row>
    <row r="72" spans="1:11" ht="13.2" x14ac:dyDescent="0.25">
      <c r="A72" s="2">
        <v>45905</v>
      </c>
      <c r="B72" s="41">
        <v>5.9</v>
      </c>
      <c r="C72" s="27">
        <v>45691</v>
      </c>
      <c r="D72" s="42">
        <v>3.2</v>
      </c>
      <c r="E72" s="27">
        <v>45873</v>
      </c>
      <c r="F72" s="42">
        <v>4.8</v>
      </c>
      <c r="G72" s="27">
        <v>45870</v>
      </c>
      <c r="H72" s="42">
        <v>1.8</v>
      </c>
      <c r="I72" s="25" t="s">
        <v>12</v>
      </c>
      <c r="J72" s="28">
        <v>21</v>
      </c>
      <c r="K72" s="29">
        <f t="shared" si="1"/>
        <v>27.520000000000003</v>
      </c>
    </row>
    <row r="73" spans="1:11" ht="13.2" x14ac:dyDescent="0.25">
      <c r="A73" s="2">
        <v>45663</v>
      </c>
      <c r="B73" s="41">
        <v>6.1</v>
      </c>
      <c r="C73" s="27">
        <v>45871</v>
      </c>
      <c r="D73" s="42">
        <v>2.8</v>
      </c>
      <c r="E73" s="25">
        <v>4</v>
      </c>
      <c r="F73" s="42">
        <v>4</v>
      </c>
      <c r="G73" s="27">
        <v>45717</v>
      </c>
      <c r="H73" s="42">
        <v>1.3</v>
      </c>
      <c r="I73" s="25" t="s">
        <v>12</v>
      </c>
      <c r="J73" s="28">
        <v>22</v>
      </c>
      <c r="K73" s="29">
        <f t="shared" si="1"/>
        <v>22.279999999999998</v>
      </c>
    </row>
    <row r="74" spans="1:11" ht="13.2" x14ac:dyDescent="0.25">
      <c r="A74" s="2">
        <v>45722</v>
      </c>
      <c r="B74" s="41">
        <v>6.3</v>
      </c>
      <c r="C74" s="27">
        <v>45779</v>
      </c>
      <c r="D74" s="42">
        <v>2.5</v>
      </c>
      <c r="E74" s="27">
        <v>45904</v>
      </c>
      <c r="F74" s="42">
        <v>4.9000000000000004</v>
      </c>
      <c r="G74" s="27">
        <v>45778</v>
      </c>
      <c r="H74" s="42">
        <v>1.5</v>
      </c>
      <c r="I74" s="25" t="s">
        <v>12</v>
      </c>
      <c r="J74" s="28">
        <v>23</v>
      </c>
      <c r="K74" s="29">
        <f t="shared" si="1"/>
        <v>23.1</v>
      </c>
    </row>
    <row r="75" spans="1:11" ht="13.2" x14ac:dyDescent="0.25">
      <c r="A75" s="2">
        <v>45663</v>
      </c>
      <c r="B75" s="41">
        <v>6.1</v>
      </c>
      <c r="C75" s="27">
        <v>45871</v>
      </c>
      <c r="D75" s="42">
        <v>2.8</v>
      </c>
      <c r="E75" s="27">
        <v>45842</v>
      </c>
      <c r="F75" s="42">
        <v>4.7</v>
      </c>
      <c r="G75" s="27">
        <v>45689</v>
      </c>
      <c r="H75" s="42">
        <v>1.2</v>
      </c>
      <c r="I75" s="25" t="s">
        <v>12</v>
      </c>
      <c r="J75" s="28">
        <v>24</v>
      </c>
      <c r="K75" s="29">
        <f t="shared" si="1"/>
        <v>22.72</v>
      </c>
    </row>
    <row r="76" spans="1:11" ht="13.8" thickBot="1" x14ac:dyDescent="0.3">
      <c r="A76" s="2">
        <v>45753</v>
      </c>
      <c r="B76" s="43">
        <v>6.4</v>
      </c>
      <c r="C76" s="32">
        <v>45902</v>
      </c>
      <c r="D76" s="44">
        <v>2.9</v>
      </c>
      <c r="E76" s="32">
        <v>45720</v>
      </c>
      <c r="F76" s="44">
        <v>4.3</v>
      </c>
      <c r="G76" s="32">
        <v>45717</v>
      </c>
      <c r="H76" s="44">
        <v>1.3</v>
      </c>
      <c r="I76" s="34" t="s">
        <v>12</v>
      </c>
      <c r="J76" s="35">
        <v>25</v>
      </c>
      <c r="K76" s="36">
        <f t="shared" si="1"/>
        <v>24.15</v>
      </c>
    </row>
    <row r="77" spans="1:11" ht="13.8" hidden="1" thickBot="1" x14ac:dyDescent="0.3">
      <c r="A77" s="2">
        <v>45814</v>
      </c>
      <c r="B77" s="13"/>
      <c r="C77" s="1">
        <v>3</v>
      </c>
      <c r="D77" s="13"/>
      <c r="E77" s="2">
        <v>45751</v>
      </c>
      <c r="F77" s="13"/>
      <c r="G77" s="2">
        <v>45748</v>
      </c>
      <c r="H77" s="13"/>
      <c r="I77" s="1" t="s">
        <v>12</v>
      </c>
      <c r="J77" s="4">
        <v>26</v>
      </c>
      <c r="K77" s="7">
        <f t="shared" si="1"/>
        <v>0</v>
      </c>
    </row>
    <row r="78" spans="1:11" ht="13.8" hidden="1" thickBot="1" x14ac:dyDescent="0.3">
      <c r="A78" s="2">
        <v>45875</v>
      </c>
      <c r="B78" s="13"/>
      <c r="C78" s="2">
        <v>45871</v>
      </c>
      <c r="D78" s="13"/>
      <c r="E78" s="2">
        <v>45873</v>
      </c>
      <c r="F78" s="13"/>
      <c r="G78" s="2">
        <v>45748</v>
      </c>
      <c r="H78" s="13"/>
      <c r="I78" s="1" t="s">
        <v>12</v>
      </c>
      <c r="J78" s="4">
        <v>27</v>
      </c>
      <c r="K78" s="7">
        <f t="shared" si="1"/>
        <v>0</v>
      </c>
    </row>
    <row r="79" spans="1:11" ht="13.8" hidden="1" thickBot="1" x14ac:dyDescent="0.3">
      <c r="A79" s="2">
        <v>45844</v>
      </c>
      <c r="B79" s="13"/>
      <c r="C79" s="1">
        <v>3</v>
      </c>
      <c r="D79" s="13"/>
      <c r="E79" s="1">
        <v>5</v>
      </c>
      <c r="F79" s="13"/>
      <c r="G79" s="2">
        <v>45839</v>
      </c>
      <c r="H79" s="13"/>
      <c r="I79" s="1" t="s">
        <v>12</v>
      </c>
      <c r="J79" s="4">
        <v>28</v>
      </c>
      <c r="K79" s="7">
        <f t="shared" si="1"/>
        <v>0</v>
      </c>
    </row>
    <row r="80" spans="1:11" ht="13.8" hidden="1" thickBot="1" x14ac:dyDescent="0.3">
      <c r="A80" s="1">
        <v>6</v>
      </c>
      <c r="B80" s="13"/>
      <c r="C80" s="2">
        <v>45902</v>
      </c>
      <c r="D80" s="13"/>
      <c r="E80" s="2">
        <v>45781</v>
      </c>
      <c r="F80" s="13"/>
      <c r="G80" s="2">
        <v>45778</v>
      </c>
      <c r="H80" s="13"/>
      <c r="I80" s="1" t="s">
        <v>12</v>
      </c>
      <c r="J80" s="4">
        <v>29</v>
      </c>
      <c r="K80" s="7">
        <f t="shared" si="1"/>
        <v>0</v>
      </c>
    </row>
    <row r="81" spans="1:11" ht="13.8" hidden="1" thickBot="1" x14ac:dyDescent="0.3">
      <c r="A81" s="2">
        <v>45843</v>
      </c>
      <c r="B81" s="13"/>
      <c r="C81" s="2">
        <v>45810</v>
      </c>
      <c r="D81" s="13"/>
      <c r="E81" s="2">
        <v>45780</v>
      </c>
      <c r="F81" s="13"/>
      <c r="G81" s="1">
        <v>1</v>
      </c>
      <c r="H81" s="13"/>
      <c r="I81" s="1" t="s">
        <v>12</v>
      </c>
      <c r="J81" s="4">
        <v>30</v>
      </c>
      <c r="K81" s="7">
        <f t="shared" si="1"/>
        <v>0</v>
      </c>
    </row>
    <row r="82" spans="1:11" ht="13.8" hidden="1" thickBot="1" x14ac:dyDescent="0.3">
      <c r="A82" s="2">
        <v>45782</v>
      </c>
      <c r="B82" s="13"/>
      <c r="C82" s="2">
        <v>45749</v>
      </c>
      <c r="D82" s="13"/>
      <c r="E82" s="2">
        <v>45872</v>
      </c>
      <c r="F82" s="13"/>
      <c r="G82" s="2">
        <v>45658</v>
      </c>
      <c r="H82" s="13"/>
      <c r="I82" s="1" t="s">
        <v>12</v>
      </c>
      <c r="J82" s="4">
        <v>31</v>
      </c>
      <c r="K82" s="7">
        <f t="shared" si="1"/>
        <v>0</v>
      </c>
    </row>
    <row r="83" spans="1:11" ht="13.8" hidden="1" thickBot="1" x14ac:dyDescent="0.3">
      <c r="A83" s="2">
        <v>45782</v>
      </c>
      <c r="B83" s="13"/>
      <c r="C83" s="2">
        <v>45749</v>
      </c>
      <c r="D83" s="13"/>
      <c r="E83" s="2">
        <v>45841</v>
      </c>
      <c r="F83" s="13"/>
      <c r="G83" s="1">
        <v>1</v>
      </c>
      <c r="H83" s="13"/>
      <c r="I83" s="1" t="s">
        <v>12</v>
      </c>
      <c r="J83" s="4">
        <v>32</v>
      </c>
      <c r="K83" s="7">
        <f t="shared" si="1"/>
        <v>0</v>
      </c>
    </row>
    <row r="84" spans="1:11" ht="13.8" hidden="1" thickBot="1" x14ac:dyDescent="0.3">
      <c r="A84" s="2">
        <v>45874</v>
      </c>
      <c r="B84" s="13"/>
      <c r="C84" s="2">
        <v>45840</v>
      </c>
      <c r="D84" s="13"/>
      <c r="E84" s="2">
        <v>45903</v>
      </c>
      <c r="F84" s="13"/>
      <c r="G84" s="2">
        <v>45689</v>
      </c>
      <c r="H84" s="13"/>
      <c r="I84" s="1" t="s">
        <v>12</v>
      </c>
      <c r="J84" s="4">
        <v>33</v>
      </c>
      <c r="K84" s="7">
        <f t="shared" si="1"/>
        <v>0</v>
      </c>
    </row>
    <row r="85" spans="1:11" ht="13.8" hidden="1" thickBot="1" x14ac:dyDescent="0.3">
      <c r="A85" s="1">
        <v>6</v>
      </c>
      <c r="B85" s="13"/>
      <c r="C85" s="2">
        <v>45840</v>
      </c>
      <c r="D85" s="13"/>
      <c r="E85" s="2">
        <v>45662</v>
      </c>
      <c r="F85" s="13"/>
      <c r="G85" s="2">
        <v>45809</v>
      </c>
      <c r="H85" s="13"/>
      <c r="I85" s="1" t="s">
        <v>12</v>
      </c>
      <c r="J85" s="4">
        <v>34</v>
      </c>
      <c r="K85" s="7">
        <f t="shared" si="1"/>
        <v>0</v>
      </c>
    </row>
    <row r="86" spans="1:11" ht="13.8" hidden="1" thickBot="1" x14ac:dyDescent="0.3">
      <c r="A86" s="2">
        <v>45752</v>
      </c>
      <c r="B86" s="13"/>
      <c r="C86" s="1">
        <v>3</v>
      </c>
      <c r="D86" s="13"/>
      <c r="E86" s="2">
        <v>45781</v>
      </c>
      <c r="F86" s="13"/>
      <c r="G86" s="2">
        <v>45778</v>
      </c>
      <c r="H86" s="13"/>
      <c r="I86" s="1" t="s">
        <v>12</v>
      </c>
      <c r="J86" s="4">
        <v>35</v>
      </c>
      <c r="K86" s="7">
        <f t="shared" si="1"/>
        <v>0</v>
      </c>
    </row>
    <row r="87" spans="1:11" ht="13.8" hidden="1" thickBot="1" x14ac:dyDescent="0.3">
      <c r="A87" s="1">
        <v>6</v>
      </c>
      <c r="B87" s="13"/>
      <c r="C87" s="2">
        <v>45750</v>
      </c>
      <c r="D87" s="13"/>
      <c r="E87" s="2">
        <v>45781</v>
      </c>
      <c r="F87" s="13"/>
      <c r="G87" s="2">
        <v>45809</v>
      </c>
      <c r="H87" s="13"/>
      <c r="I87" s="1" t="s">
        <v>12</v>
      </c>
      <c r="J87" s="4">
        <v>36</v>
      </c>
      <c r="K87" s="7">
        <f t="shared" si="1"/>
        <v>0</v>
      </c>
    </row>
    <row r="88" spans="1:11" ht="13.8" hidden="1" thickBot="1" x14ac:dyDescent="0.3">
      <c r="A88" s="2">
        <v>45844</v>
      </c>
      <c r="B88" s="13"/>
      <c r="C88" s="2">
        <v>45660</v>
      </c>
      <c r="D88" s="13"/>
      <c r="E88" s="2">
        <v>45842</v>
      </c>
      <c r="F88" s="13"/>
      <c r="G88" s="2">
        <v>45778</v>
      </c>
      <c r="H88" s="13"/>
      <c r="I88" s="1" t="s">
        <v>12</v>
      </c>
      <c r="J88" s="4">
        <v>37</v>
      </c>
      <c r="K88" s="7">
        <f t="shared" si="1"/>
        <v>0</v>
      </c>
    </row>
    <row r="89" spans="1:11" ht="13.8" hidden="1" thickBot="1" x14ac:dyDescent="0.3">
      <c r="A89" s="2">
        <v>45722</v>
      </c>
      <c r="B89" s="13"/>
      <c r="C89" s="2">
        <v>45718</v>
      </c>
      <c r="D89" s="13"/>
      <c r="E89" s="2">
        <v>45751</v>
      </c>
      <c r="F89" s="13"/>
      <c r="G89" s="2">
        <v>45717</v>
      </c>
      <c r="H89" s="13"/>
      <c r="I89" s="1" t="s">
        <v>12</v>
      </c>
      <c r="J89" s="4">
        <v>38</v>
      </c>
      <c r="K89" s="7">
        <f t="shared" si="1"/>
        <v>0</v>
      </c>
    </row>
    <row r="90" spans="1:11" ht="13.8" hidden="1" thickBot="1" x14ac:dyDescent="0.3">
      <c r="A90" s="2">
        <v>45813</v>
      </c>
      <c r="B90" s="13"/>
      <c r="C90" s="1">
        <v>3</v>
      </c>
      <c r="D90" s="13"/>
      <c r="E90" s="2">
        <v>45661</v>
      </c>
      <c r="F90" s="13"/>
      <c r="G90" s="2">
        <v>45717</v>
      </c>
      <c r="H90" s="13"/>
      <c r="I90" s="1" t="s">
        <v>12</v>
      </c>
      <c r="J90" s="4">
        <v>39</v>
      </c>
      <c r="K90" s="7">
        <f t="shared" si="1"/>
        <v>0</v>
      </c>
    </row>
    <row r="91" spans="1:11" ht="13.8" hidden="1" thickBot="1" x14ac:dyDescent="0.3">
      <c r="A91" s="2">
        <v>45782</v>
      </c>
      <c r="B91" s="13"/>
      <c r="C91" s="2">
        <v>45779</v>
      </c>
      <c r="D91" s="13"/>
      <c r="E91" s="1">
        <v>4</v>
      </c>
      <c r="F91" s="13"/>
      <c r="G91" s="2">
        <v>45717</v>
      </c>
      <c r="H91" s="13"/>
      <c r="I91" s="1" t="s">
        <v>12</v>
      </c>
      <c r="J91" s="4">
        <v>40</v>
      </c>
      <c r="K91" s="7">
        <f t="shared" si="1"/>
        <v>0</v>
      </c>
    </row>
    <row r="92" spans="1:11" ht="13.8" hidden="1" thickBot="1" x14ac:dyDescent="0.3">
      <c r="A92" s="2">
        <v>45782</v>
      </c>
      <c r="B92" s="13"/>
      <c r="C92" s="2">
        <v>45810</v>
      </c>
      <c r="D92" s="13"/>
      <c r="E92" s="2">
        <v>45751</v>
      </c>
      <c r="F92" s="13"/>
      <c r="G92" s="2">
        <v>45689</v>
      </c>
      <c r="H92" s="13"/>
      <c r="I92" s="1" t="s">
        <v>12</v>
      </c>
      <c r="J92" s="4">
        <v>41</v>
      </c>
      <c r="K92" s="7">
        <f t="shared" si="1"/>
        <v>0</v>
      </c>
    </row>
    <row r="93" spans="1:11" ht="13.8" hidden="1" thickBot="1" x14ac:dyDescent="0.3">
      <c r="A93" s="2">
        <v>45663</v>
      </c>
      <c r="B93" s="13"/>
      <c r="C93" s="1">
        <v>3</v>
      </c>
      <c r="D93" s="13"/>
      <c r="E93" s="2">
        <v>45812</v>
      </c>
      <c r="F93" s="13"/>
      <c r="G93" s="2">
        <v>45748</v>
      </c>
      <c r="H93" s="13"/>
      <c r="I93" s="1" t="s">
        <v>12</v>
      </c>
      <c r="J93" s="4">
        <v>42</v>
      </c>
      <c r="K93" s="7">
        <f t="shared" si="1"/>
        <v>0</v>
      </c>
    </row>
    <row r="94" spans="1:11" ht="13.8" hidden="1" thickBot="1" x14ac:dyDescent="0.3">
      <c r="A94" s="2">
        <v>45874</v>
      </c>
      <c r="B94" s="13"/>
      <c r="C94" s="2">
        <v>45810</v>
      </c>
      <c r="D94" s="13"/>
      <c r="E94" s="1">
        <v>4</v>
      </c>
      <c r="F94" s="13"/>
      <c r="G94" s="2">
        <v>45689</v>
      </c>
      <c r="H94" s="13"/>
      <c r="I94" s="1" t="s">
        <v>12</v>
      </c>
      <c r="J94" s="4">
        <v>43</v>
      </c>
      <c r="K94" s="7">
        <f t="shared" si="1"/>
        <v>0</v>
      </c>
    </row>
    <row r="95" spans="1:11" ht="13.8" hidden="1" thickBot="1" x14ac:dyDescent="0.3">
      <c r="A95" s="1">
        <v>5</v>
      </c>
      <c r="B95" s="13"/>
      <c r="C95" s="2">
        <v>45718</v>
      </c>
      <c r="D95" s="13"/>
      <c r="E95" s="2">
        <v>45719</v>
      </c>
      <c r="F95" s="13"/>
      <c r="G95" s="1">
        <v>1</v>
      </c>
      <c r="H95" s="13"/>
      <c r="I95" s="1" t="s">
        <v>12</v>
      </c>
      <c r="J95" s="4">
        <v>44</v>
      </c>
      <c r="K95" s="7">
        <f t="shared" si="1"/>
        <v>0</v>
      </c>
    </row>
    <row r="96" spans="1:11" ht="13.8" hidden="1" thickBot="1" x14ac:dyDescent="0.3">
      <c r="A96" s="2">
        <v>45813</v>
      </c>
      <c r="B96" s="13"/>
      <c r="C96" s="2">
        <v>45840</v>
      </c>
      <c r="D96" s="13"/>
      <c r="E96" s="2">
        <v>45692</v>
      </c>
      <c r="F96" s="13"/>
      <c r="G96" s="2">
        <v>45717</v>
      </c>
      <c r="H96" s="13"/>
      <c r="I96" s="1" t="s">
        <v>12</v>
      </c>
      <c r="J96" s="4">
        <v>45</v>
      </c>
      <c r="K96" s="7">
        <f t="shared" si="1"/>
        <v>0</v>
      </c>
    </row>
    <row r="97" spans="1:11" ht="13.8" hidden="1" thickBot="1" x14ac:dyDescent="0.3">
      <c r="A97" s="2">
        <v>45843</v>
      </c>
      <c r="B97" s="13"/>
      <c r="C97" s="1">
        <v>3</v>
      </c>
      <c r="D97" s="13"/>
      <c r="E97" s="2">
        <v>45692</v>
      </c>
      <c r="F97" s="13"/>
      <c r="G97" s="2">
        <v>45689</v>
      </c>
      <c r="H97" s="13"/>
      <c r="I97" s="1" t="s">
        <v>12</v>
      </c>
      <c r="J97" s="4">
        <v>46</v>
      </c>
      <c r="K97" s="7">
        <f t="shared" si="1"/>
        <v>0</v>
      </c>
    </row>
    <row r="98" spans="1:11" ht="13.8" hidden="1" thickBot="1" x14ac:dyDescent="0.3">
      <c r="A98" s="2">
        <v>45843</v>
      </c>
      <c r="B98" s="13"/>
      <c r="C98" s="2">
        <v>45902</v>
      </c>
      <c r="D98" s="13"/>
      <c r="E98" s="2">
        <v>45692</v>
      </c>
      <c r="F98" s="13"/>
      <c r="G98" s="2">
        <v>45717</v>
      </c>
      <c r="H98" s="13"/>
      <c r="I98" s="1" t="s">
        <v>12</v>
      </c>
      <c r="J98" s="4">
        <v>47</v>
      </c>
      <c r="K98" s="7">
        <f t="shared" si="1"/>
        <v>0</v>
      </c>
    </row>
    <row r="99" spans="1:11" ht="13.8" hidden="1" thickBot="1" x14ac:dyDescent="0.3">
      <c r="A99" s="2">
        <v>45694</v>
      </c>
      <c r="B99" s="13"/>
      <c r="C99" s="2">
        <v>45902</v>
      </c>
      <c r="D99" s="13"/>
      <c r="E99" s="2">
        <v>45720</v>
      </c>
      <c r="F99" s="13"/>
      <c r="G99" s="2">
        <v>45717</v>
      </c>
      <c r="H99" s="13"/>
      <c r="I99" s="1" t="s">
        <v>12</v>
      </c>
      <c r="J99" s="4">
        <v>48</v>
      </c>
      <c r="K99" s="7">
        <f t="shared" si="1"/>
        <v>0</v>
      </c>
    </row>
    <row r="100" spans="1:11" ht="13.8" hidden="1" thickBot="1" x14ac:dyDescent="0.3">
      <c r="A100" s="2">
        <v>45662</v>
      </c>
      <c r="B100" s="13"/>
      <c r="C100" s="2">
        <v>45779</v>
      </c>
      <c r="D100" s="13"/>
      <c r="E100" s="1">
        <v>3</v>
      </c>
      <c r="F100" s="13"/>
      <c r="G100" s="2">
        <v>45658</v>
      </c>
      <c r="H100" s="13"/>
      <c r="I100" s="1" t="s">
        <v>12</v>
      </c>
      <c r="J100" s="4">
        <v>49</v>
      </c>
      <c r="K100" s="7">
        <f t="shared" si="1"/>
        <v>0</v>
      </c>
    </row>
    <row r="101" spans="1:11" ht="13.8" hidden="1" thickBot="1" x14ac:dyDescent="0.3">
      <c r="A101" s="2">
        <v>45843</v>
      </c>
      <c r="B101" s="13"/>
      <c r="C101" s="2">
        <v>45871</v>
      </c>
      <c r="D101" s="13"/>
      <c r="E101" s="2">
        <v>45661</v>
      </c>
      <c r="F101" s="13"/>
      <c r="G101" s="2">
        <v>45717</v>
      </c>
      <c r="H101" s="13"/>
      <c r="I101" s="1" t="s">
        <v>12</v>
      </c>
      <c r="J101" s="4">
        <v>50</v>
      </c>
      <c r="K101" s="7">
        <f t="shared" si="1"/>
        <v>0</v>
      </c>
    </row>
    <row r="102" spans="1:11" ht="13.2" x14ac:dyDescent="0.25">
      <c r="A102" s="2">
        <v>45722</v>
      </c>
      <c r="B102" s="38">
        <v>6.3</v>
      </c>
      <c r="C102" s="18">
        <v>45719</v>
      </c>
      <c r="D102" s="39">
        <v>3.3</v>
      </c>
      <c r="E102" s="20">
        <v>6</v>
      </c>
      <c r="F102" s="39">
        <v>6</v>
      </c>
      <c r="G102" s="18">
        <v>45779</v>
      </c>
      <c r="H102" s="39">
        <v>2.5</v>
      </c>
      <c r="I102" s="20" t="s">
        <v>13</v>
      </c>
      <c r="J102" s="21">
        <v>1</v>
      </c>
      <c r="K102" s="22">
        <f t="shared" si="1"/>
        <v>35.79</v>
      </c>
    </row>
    <row r="103" spans="1:11" ht="13.2" x14ac:dyDescent="0.25">
      <c r="A103" s="2">
        <v>45874</v>
      </c>
      <c r="B103" s="41">
        <v>5.8</v>
      </c>
      <c r="C103" s="27">
        <v>45840</v>
      </c>
      <c r="D103" s="42">
        <v>2.7</v>
      </c>
      <c r="E103" s="27">
        <v>45662</v>
      </c>
      <c r="F103" s="42">
        <v>5.0999999999999996</v>
      </c>
      <c r="G103" s="27">
        <v>45901</v>
      </c>
      <c r="H103" s="42">
        <v>1.9</v>
      </c>
      <c r="I103" s="25" t="s">
        <v>13</v>
      </c>
      <c r="J103" s="28">
        <v>2</v>
      </c>
      <c r="K103" s="29">
        <f t="shared" si="1"/>
        <v>25.35</v>
      </c>
    </row>
    <row r="104" spans="1:11" ht="13.2" x14ac:dyDescent="0.25">
      <c r="A104" s="2">
        <v>45664</v>
      </c>
      <c r="B104" s="41">
        <v>7.1</v>
      </c>
      <c r="C104" s="25">
        <v>3</v>
      </c>
      <c r="D104" s="42">
        <v>3</v>
      </c>
      <c r="E104" s="27">
        <v>45905</v>
      </c>
      <c r="F104" s="42">
        <v>5.9</v>
      </c>
      <c r="G104" s="27">
        <v>45659</v>
      </c>
      <c r="H104" s="42">
        <v>2.1</v>
      </c>
      <c r="I104" s="25" t="s">
        <v>13</v>
      </c>
      <c r="J104" s="28">
        <v>3</v>
      </c>
      <c r="K104" s="29">
        <f t="shared" si="1"/>
        <v>33.69</v>
      </c>
    </row>
    <row r="105" spans="1:11" ht="13.2" x14ac:dyDescent="0.25">
      <c r="A105" s="2">
        <v>45722</v>
      </c>
      <c r="B105" s="41">
        <v>6.3</v>
      </c>
      <c r="C105" s="27">
        <v>45902</v>
      </c>
      <c r="D105" s="42">
        <v>2.9</v>
      </c>
      <c r="E105" s="27">
        <v>45813</v>
      </c>
      <c r="F105" s="42">
        <v>5.6</v>
      </c>
      <c r="G105" s="27">
        <v>45870</v>
      </c>
      <c r="H105" s="42">
        <v>1.8</v>
      </c>
      <c r="I105" s="25" t="s">
        <v>13</v>
      </c>
      <c r="J105" s="28">
        <v>4</v>
      </c>
      <c r="K105" s="29">
        <f t="shared" si="1"/>
        <v>28.35</v>
      </c>
    </row>
    <row r="106" spans="1:11" ht="13.2" x14ac:dyDescent="0.25">
      <c r="A106" s="2">
        <v>45783</v>
      </c>
      <c r="B106" s="41">
        <v>6.5</v>
      </c>
      <c r="C106" s="25">
        <v>3</v>
      </c>
      <c r="D106" s="42">
        <v>3</v>
      </c>
      <c r="E106" s="27">
        <v>45874</v>
      </c>
      <c r="F106" s="42">
        <v>5.8</v>
      </c>
      <c r="G106" s="27">
        <v>45690</v>
      </c>
      <c r="H106" s="42">
        <v>2.2000000000000002</v>
      </c>
      <c r="I106" s="25" t="s">
        <v>13</v>
      </c>
      <c r="J106" s="28">
        <v>5</v>
      </c>
      <c r="K106" s="29">
        <f t="shared" si="1"/>
        <v>32.26</v>
      </c>
    </row>
    <row r="107" spans="1:11" ht="13.2" x14ac:dyDescent="0.25">
      <c r="A107" s="2">
        <v>45815</v>
      </c>
      <c r="B107" s="41">
        <v>7.6</v>
      </c>
      <c r="C107" s="25">
        <v>3</v>
      </c>
      <c r="D107" s="42">
        <v>3</v>
      </c>
      <c r="E107" s="27">
        <v>45814</v>
      </c>
      <c r="F107" s="42">
        <v>6.6</v>
      </c>
      <c r="G107" s="27">
        <v>45659</v>
      </c>
      <c r="H107" s="42">
        <v>2.1</v>
      </c>
      <c r="I107" s="25" t="s">
        <v>13</v>
      </c>
      <c r="J107" s="28">
        <v>6</v>
      </c>
      <c r="K107" s="29">
        <f t="shared" si="1"/>
        <v>36.659999999999997</v>
      </c>
    </row>
    <row r="108" spans="1:11" ht="13.2" x14ac:dyDescent="0.25">
      <c r="A108" s="2">
        <v>45904</v>
      </c>
      <c r="B108" s="41">
        <v>4.9000000000000004</v>
      </c>
      <c r="C108" s="27">
        <v>45779</v>
      </c>
      <c r="D108" s="42">
        <v>2.5</v>
      </c>
      <c r="E108" s="27">
        <v>45781</v>
      </c>
      <c r="F108" s="42">
        <v>4.5</v>
      </c>
      <c r="G108" s="27">
        <v>45839</v>
      </c>
      <c r="H108" s="42">
        <v>1.7</v>
      </c>
      <c r="I108" s="25" t="s">
        <v>13</v>
      </c>
      <c r="J108" s="28">
        <v>7</v>
      </c>
      <c r="K108" s="29">
        <f t="shared" si="1"/>
        <v>19.899999999999999</v>
      </c>
    </row>
    <row r="109" spans="1:11" ht="13.2" x14ac:dyDescent="0.25">
      <c r="A109" s="2">
        <v>45723</v>
      </c>
      <c r="B109" s="41">
        <v>7.3</v>
      </c>
      <c r="C109" s="27">
        <v>45902</v>
      </c>
      <c r="D109" s="42">
        <v>2.9</v>
      </c>
      <c r="E109" s="27">
        <v>45722</v>
      </c>
      <c r="F109" s="42">
        <v>6.3</v>
      </c>
      <c r="G109" s="27">
        <v>45870</v>
      </c>
      <c r="H109" s="42">
        <v>1.8</v>
      </c>
      <c r="I109" s="25" t="s">
        <v>13</v>
      </c>
      <c r="J109" s="28">
        <v>8</v>
      </c>
      <c r="K109" s="29">
        <f t="shared" si="1"/>
        <v>32.51</v>
      </c>
    </row>
    <row r="110" spans="1:11" ht="13.2" x14ac:dyDescent="0.25">
      <c r="A110" s="2">
        <v>45844</v>
      </c>
      <c r="B110" s="41">
        <v>6.7</v>
      </c>
      <c r="C110" s="27">
        <v>45779</v>
      </c>
      <c r="D110" s="42">
        <v>2.5</v>
      </c>
      <c r="E110" s="27">
        <v>45874</v>
      </c>
      <c r="F110" s="42">
        <v>5.8</v>
      </c>
      <c r="G110" s="27">
        <v>45870</v>
      </c>
      <c r="H110" s="42">
        <v>1.8</v>
      </c>
      <c r="I110" s="25" t="s">
        <v>13</v>
      </c>
      <c r="J110" s="28">
        <v>9</v>
      </c>
      <c r="K110" s="29">
        <f t="shared" si="1"/>
        <v>27.189999999999998</v>
      </c>
    </row>
    <row r="111" spans="1:11" ht="13.2" x14ac:dyDescent="0.25">
      <c r="A111" s="2">
        <v>45695</v>
      </c>
      <c r="B111" s="41">
        <v>7.2</v>
      </c>
      <c r="C111" s="27">
        <v>45811</v>
      </c>
      <c r="D111" s="42">
        <v>3.6</v>
      </c>
      <c r="E111" s="27">
        <v>45663</v>
      </c>
      <c r="F111" s="42">
        <v>6.1</v>
      </c>
      <c r="G111" s="27">
        <v>45779</v>
      </c>
      <c r="H111" s="42">
        <v>2.5</v>
      </c>
      <c r="I111" s="25" t="s">
        <v>13</v>
      </c>
      <c r="J111" s="28">
        <v>10</v>
      </c>
      <c r="K111" s="29">
        <f t="shared" si="1"/>
        <v>41.17</v>
      </c>
    </row>
    <row r="112" spans="1:11" ht="13.2" x14ac:dyDescent="0.25">
      <c r="A112" s="2">
        <v>45783</v>
      </c>
      <c r="B112" s="41">
        <v>6.5</v>
      </c>
      <c r="C112" s="27">
        <v>45691</v>
      </c>
      <c r="D112" s="42">
        <v>3.2</v>
      </c>
      <c r="E112" s="27">
        <v>45662</v>
      </c>
      <c r="F112" s="42">
        <v>5.0999999999999996</v>
      </c>
      <c r="G112" s="25">
        <v>2</v>
      </c>
      <c r="H112" s="42">
        <v>2</v>
      </c>
      <c r="I112" s="25" t="s">
        <v>13</v>
      </c>
      <c r="J112" s="28">
        <v>11</v>
      </c>
      <c r="K112" s="29">
        <f t="shared" si="1"/>
        <v>31</v>
      </c>
    </row>
    <row r="113" spans="1:11" ht="13.2" x14ac:dyDescent="0.25">
      <c r="A113" s="2">
        <v>45753</v>
      </c>
      <c r="B113" s="41">
        <v>6.4</v>
      </c>
      <c r="C113" s="27">
        <v>45840</v>
      </c>
      <c r="D113" s="42">
        <v>2.7</v>
      </c>
      <c r="E113" s="27">
        <v>45721</v>
      </c>
      <c r="F113" s="42">
        <v>5.3</v>
      </c>
      <c r="G113" s="27">
        <v>45901</v>
      </c>
      <c r="H113" s="42">
        <v>1.9</v>
      </c>
      <c r="I113" s="25" t="s">
        <v>13</v>
      </c>
      <c r="J113" s="28">
        <v>12</v>
      </c>
      <c r="K113" s="29">
        <f t="shared" si="1"/>
        <v>27.35</v>
      </c>
    </row>
    <row r="114" spans="1:11" ht="13.2" x14ac:dyDescent="0.25">
      <c r="A114" s="2">
        <v>45875</v>
      </c>
      <c r="B114" s="41">
        <v>6.8</v>
      </c>
      <c r="C114" s="25">
        <v>3</v>
      </c>
      <c r="D114" s="42">
        <v>3</v>
      </c>
      <c r="E114" s="27">
        <v>45782</v>
      </c>
      <c r="F114" s="42">
        <v>5.5</v>
      </c>
      <c r="G114" s="27">
        <v>45659</v>
      </c>
      <c r="H114" s="42">
        <v>2.1</v>
      </c>
      <c r="I114" s="25" t="s">
        <v>13</v>
      </c>
      <c r="J114" s="28">
        <v>13</v>
      </c>
      <c r="K114" s="29">
        <f t="shared" si="1"/>
        <v>31.95</v>
      </c>
    </row>
    <row r="115" spans="1:11" ht="13.2" x14ac:dyDescent="0.25">
      <c r="A115" s="2">
        <v>45843</v>
      </c>
      <c r="B115" s="41">
        <v>5.7</v>
      </c>
      <c r="C115" s="27">
        <v>45779</v>
      </c>
      <c r="D115" s="42">
        <v>2.5</v>
      </c>
      <c r="E115" s="25">
        <v>5</v>
      </c>
      <c r="F115" s="42">
        <v>5</v>
      </c>
      <c r="G115" s="25">
        <v>2</v>
      </c>
      <c r="H115" s="42">
        <v>2</v>
      </c>
      <c r="I115" s="25" t="s">
        <v>13</v>
      </c>
      <c r="J115" s="28">
        <v>14</v>
      </c>
      <c r="K115" s="29">
        <f t="shared" si="1"/>
        <v>24.25</v>
      </c>
    </row>
    <row r="116" spans="1:11" ht="13.2" x14ac:dyDescent="0.25">
      <c r="A116" s="2">
        <v>45874</v>
      </c>
      <c r="B116" s="41">
        <v>5.8</v>
      </c>
      <c r="C116" s="27">
        <v>45871</v>
      </c>
      <c r="D116" s="42">
        <v>2.8</v>
      </c>
      <c r="E116" s="27">
        <v>45662</v>
      </c>
      <c r="F116" s="42">
        <v>5.0999999999999996</v>
      </c>
      <c r="G116" s="27">
        <v>45749</v>
      </c>
      <c r="H116" s="42">
        <v>2.4</v>
      </c>
      <c r="I116" s="25" t="s">
        <v>13</v>
      </c>
      <c r="J116" s="28">
        <v>15</v>
      </c>
      <c r="K116" s="29">
        <f t="shared" si="1"/>
        <v>28.479999999999997</v>
      </c>
    </row>
    <row r="117" spans="1:11" ht="13.2" x14ac:dyDescent="0.25">
      <c r="A117" s="2">
        <v>45753</v>
      </c>
      <c r="B117" s="41">
        <v>6.4</v>
      </c>
      <c r="C117" s="27">
        <v>45691</v>
      </c>
      <c r="D117" s="42">
        <v>3.2</v>
      </c>
      <c r="E117" s="27">
        <v>45721</v>
      </c>
      <c r="F117" s="42">
        <v>5.3</v>
      </c>
      <c r="G117" s="27">
        <v>45718</v>
      </c>
      <c r="H117" s="42">
        <v>2.2999999999999998</v>
      </c>
      <c r="I117" s="25" t="s">
        <v>13</v>
      </c>
      <c r="J117" s="28">
        <v>16</v>
      </c>
      <c r="K117" s="29">
        <f t="shared" si="1"/>
        <v>32.67</v>
      </c>
    </row>
    <row r="118" spans="1:11" ht="13.2" x14ac:dyDescent="0.25">
      <c r="A118" s="2">
        <v>45783</v>
      </c>
      <c r="B118" s="41">
        <v>6.5</v>
      </c>
      <c r="C118" s="25">
        <v>3</v>
      </c>
      <c r="D118" s="42">
        <v>3</v>
      </c>
      <c r="E118" s="27">
        <v>45782</v>
      </c>
      <c r="F118" s="42">
        <v>5.5</v>
      </c>
      <c r="G118" s="27">
        <v>45870</v>
      </c>
      <c r="H118" s="42">
        <v>1.8</v>
      </c>
      <c r="I118" s="25" t="s">
        <v>13</v>
      </c>
      <c r="J118" s="28">
        <v>17</v>
      </c>
      <c r="K118" s="29">
        <f t="shared" si="1"/>
        <v>29.4</v>
      </c>
    </row>
    <row r="119" spans="1:11" ht="13.2" x14ac:dyDescent="0.25">
      <c r="A119" s="2">
        <v>45845</v>
      </c>
      <c r="B119" s="41">
        <v>7.7</v>
      </c>
      <c r="C119" s="27">
        <v>45872</v>
      </c>
      <c r="D119" s="42">
        <v>3.8</v>
      </c>
      <c r="E119" s="27">
        <v>45844</v>
      </c>
      <c r="F119" s="42">
        <v>6.7</v>
      </c>
      <c r="G119" s="27">
        <v>45690</v>
      </c>
      <c r="H119" s="42">
        <v>2.2000000000000002</v>
      </c>
      <c r="I119" s="25" t="s">
        <v>13</v>
      </c>
      <c r="J119" s="28">
        <v>18</v>
      </c>
      <c r="K119" s="29">
        <f t="shared" si="1"/>
        <v>44</v>
      </c>
    </row>
    <row r="120" spans="1:11" ht="13.2" x14ac:dyDescent="0.25">
      <c r="A120" s="2">
        <v>45845</v>
      </c>
      <c r="B120" s="41">
        <v>7.7</v>
      </c>
      <c r="C120" s="27">
        <v>45810</v>
      </c>
      <c r="D120" s="42">
        <v>2.6</v>
      </c>
      <c r="E120" s="27">
        <v>45906</v>
      </c>
      <c r="F120" s="42">
        <v>6.9</v>
      </c>
      <c r="G120" s="27">
        <v>45718</v>
      </c>
      <c r="H120" s="42">
        <v>2.2999999999999998</v>
      </c>
      <c r="I120" s="25" t="s">
        <v>13</v>
      </c>
      <c r="J120" s="28">
        <v>19</v>
      </c>
      <c r="K120" s="29">
        <f t="shared" si="1"/>
        <v>35.89</v>
      </c>
    </row>
    <row r="121" spans="1:11" ht="13.2" x14ac:dyDescent="0.25">
      <c r="A121" s="1">
        <v>6</v>
      </c>
      <c r="B121" s="41">
        <v>6</v>
      </c>
      <c r="C121" s="27">
        <v>45690</v>
      </c>
      <c r="D121" s="42">
        <v>2.2000000000000002</v>
      </c>
      <c r="E121" s="25">
        <v>5</v>
      </c>
      <c r="F121" s="42">
        <v>5</v>
      </c>
      <c r="G121" s="27">
        <v>45778</v>
      </c>
      <c r="H121" s="42">
        <v>1.5</v>
      </c>
      <c r="I121" s="25" t="s">
        <v>13</v>
      </c>
      <c r="J121" s="28">
        <v>20</v>
      </c>
      <c r="K121" s="29">
        <f t="shared" si="1"/>
        <v>20.700000000000003</v>
      </c>
    </row>
    <row r="122" spans="1:11" ht="13.2" x14ac:dyDescent="0.25">
      <c r="A122" s="2">
        <v>45906</v>
      </c>
      <c r="B122" s="41">
        <v>6.9</v>
      </c>
      <c r="C122" s="27">
        <v>45691</v>
      </c>
      <c r="D122" s="42">
        <v>3.2</v>
      </c>
      <c r="E122" s="27">
        <v>45843</v>
      </c>
      <c r="F122" s="42">
        <v>5.7</v>
      </c>
      <c r="G122" s="27">
        <v>45718</v>
      </c>
      <c r="H122" s="42">
        <v>2.2999999999999998</v>
      </c>
      <c r="I122" s="25" t="s">
        <v>13</v>
      </c>
      <c r="J122" s="28">
        <v>21</v>
      </c>
      <c r="K122" s="29">
        <f t="shared" si="1"/>
        <v>35.19</v>
      </c>
    </row>
    <row r="123" spans="1:11" ht="13.2" x14ac:dyDescent="0.25">
      <c r="A123" s="2">
        <v>45813</v>
      </c>
      <c r="B123" s="41">
        <v>5.6</v>
      </c>
      <c r="C123" s="27">
        <v>45871</v>
      </c>
      <c r="D123" s="42">
        <v>2.8</v>
      </c>
      <c r="E123" s="27">
        <v>45904</v>
      </c>
      <c r="F123" s="42">
        <v>4.9000000000000004</v>
      </c>
      <c r="G123" s="25">
        <v>2</v>
      </c>
      <c r="H123" s="42">
        <v>2</v>
      </c>
      <c r="I123" s="25" t="s">
        <v>13</v>
      </c>
      <c r="J123" s="28">
        <v>22</v>
      </c>
      <c r="K123" s="29">
        <f t="shared" si="1"/>
        <v>25.479999999999997</v>
      </c>
    </row>
    <row r="124" spans="1:11" ht="13.2" x14ac:dyDescent="0.25">
      <c r="A124" s="2">
        <v>45845</v>
      </c>
      <c r="B124" s="41">
        <v>7.7</v>
      </c>
      <c r="C124" s="27">
        <v>45871</v>
      </c>
      <c r="D124" s="42">
        <v>2.8</v>
      </c>
      <c r="E124" s="27">
        <v>45844</v>
      </c>
      <c r="F124" s="42">
        <v>6.7</v>
      </c>
      <c r="G124" s="25">
        <v>2</v>
      </c>
      <c r="H124" s="42">
        <v>2</v>
      </c>
      <c r="I124" s="25" t="s">
        <v>13</v>
      </c>
      <c r="J124" s="28">
        <v>23</v>
      </c>
      <c r="K124" s="29">
        <f t="shared" si="1"/>
        <v>34.96</v>
      </c>
    </row>
    <row r="125" spans="1:11" ht="13.2" x14ac:dyDescent="0.25">
      <c r="A125" s="2">
        <v>45722</v>
      </c>
      <c r="B125" s="41">
        <v>6.3</v>
      </c>
      <c r="C125" s="27">
        <v>45840</v>
      </c>
      <c r="D125" s="42">
        <v>2.7</v>
      </c>
      <c r="E125" s="27">
        <v>45904</v>
      </c>
      <c r="F125" s="42">
        <v>4.9000000000000004</v>
      </c>
      <c r="G125" s="27">
        <v>45870</v>
      </c>
      <c r="H125" s="42">
        <v>1.8</v>
      </c>
      <c r="I125" s="25" t="s">
        <v>13</v>
      </c>
      <c r="J125" s="28">
        <v>24</v>
      </c>
      <c r="K125" s="29">
        <f t="shared" si="1"/>
        <v>25.830000000000002</v>
      </c>
    </row>
    <row r="126" spans="1:11" ht="13.8" thickBot="1" x14ac:dyDescent="0.3">
      <c r="A126" s="2">
        <v>45844</v>
      </c>
      <c r="B126" s="43">
        <v>6.7</v>
      </c>
      <c r="C126" s="32">
        <v>45719</v>
      </c>
      <c r="D126" s="44">
        <v>3.3</v>
      </c>
      <c r="E126" s="32">
        <v>45843</v>
      </c>
      <c r="F126" s="44">
        <v>5.7</v>
      </c>
      <c r="G126" s="32">
        <v>45659</v>
      </c>
      <c r="H126" s="44">
        <v>2.1</v>
      </c>
      <c r="I126" s="34" t="s">
        <v>13</v>
      </c>
      <c r="J126" s="35">
        <v>25</v>
      </c>
      <c r="K126" s="36">
        <f t="shared" si="1"/>
        <v>34.08</v>
      </c>
    </row>
    <row r="127" spans="1:11" ht="13.2" hidden="1" x14ac:dyDescent="0.25">
      <c r="A127" s="2">
        <v>45695</v>
      </c>
      <c r="B127" s="13"/>
      <c r="C127" s="2">
        <v>45691</v>
      </c>
      <c r="D127" s="6"/>
      <c r="E127" s="1">
        <v>6</v>
      </c>
      <c r="F127" s="6"/>
      <c r="G127" s="2">
        <v>45870</v>
      </c>
      <c r="H127" s="6"/>
      <c r="I127" s="1" t="s">
        <v>13</v>
      </c>
      <c r="J127" s="4">
        <v>26</v>
      </c>
    </row>
    <row r="128" spans="1:11" ht="13.2" hidden="1" x14ac:dyDescent="0.25">
      <c r="A128" s="2">
        <v>45694</v>
      </c>
      <c r="B128" s="13"/>
      <c r="C128" s="2">
        <v>45871</v>
      </c>
      <c r="D128" s="6"/>
      <c r="E128" s="2">
        <v>45873</v>
      </c>
      <c r="F128" s="6"/>
      <c r="G128" s="2">
        <v>45870</v>
      </c>
      <c r="H128" s="6"/>
      <c r="I128" s="1" t="s">
        <v>13</v>
      </c>
      <c r="J128" s="4">
        <v>27</v>
      </c>
    </row>
    <row r="129" spans="1:10" ht="13.2" hidden="1" x14ac:dyDescent="0.25">
      <c r="A129" s="2">
        <v>45663</v>
      </c>
      <c r="B129" s="13"/>
      <c r="C129" s="1">
        <v>3</v>
      </c>
      <c r="D129" s="6"/>
      <c r="E129" s="2">
        <v>45904</v>
      </c>
      <c r="F129" s="6"/>
      <c r="G129" s="2">
        <v>45870</v>
      </c>
      <c r="H129" s="6"/>
      <c r="I129" s="1" t="s">
        <v>13</v>
      </c>
      <c r="J129" s="4">
        <v>28</v>
      </c>
    </row>
    <row r="130" spans="1:10" ht="13.2" hidden="1" x14ac:dyDescent="0.25">
      <c r="A130" s="2">
        <v>45753</v>
      </c>
      <c r="B130" s="13"/>
      <c r="C130" s="2">
        <v>45871</v>
      </c>
      <c r="D130" s="6"/>
      <c r="E130" s="2">
        <v>45813</v>
      </c>
      <c r="F130" s="6"/>
      <c r="G130" s="2">
        <v>45659</v>
      </c>
      <c r="H130" s="6"/>
      <c r="I130" s="1" t="s">
        <v>13</v>
      </c>
      <c r="J130" s="4">
        <v>29</v>
      </c>
    </row>
    <row r="131" spans="1:10" ht="13.2" hidden="1" x14ac:dyDescent="0.25">
      <c r="A131" s="2">
        <v>45695</v>
      </c>
      <c r="B131" s="13"/>
      <c r="C131" s="1">
        <v>3</v>
      </c>
      <c r="D131" s="6"/>
      <c r="E131" s="2">
        <v>45874</v>
      </c>
      <c r="F131" s="6"/>
      <c r="G131" s="2">
        <v>45809</v>
      </c>
      <c r="H131" s="6"/>
      <c r="I131" s="1" t="s">
        <v>13</v>
      </c>
      <c r="J131" s="4">
        <v>30</v>
      </c>
    </row>
    <row r="132" spans="1:10" ht="13.2" hidden="1" x14ac:dyDescent="0.25">
      <c r="A132" s="2">
        <v>45754</v>
      </c>
      <c r="B132" s="13"/>
      <c r="C132" s="2">
        <v>45871</v>
      </c>
      <c r="D132" s="6"/>
      <c r="E132" s="2">
        <v>45663</v>
      </c>
      <c r="F132" s="6"/>
      <c r="G132" s="2">
        <v>45901</v>
      </c>
      <c r="H132" s="6"/>
      <c r="I132" s="1" t="s">
        <v>13</v>
      </c>
      <c r="J132" s="4">
        <v>31</v>
      </c>
    </row>
    <row r="133" spans="1:10" ht="13.2" hidden="1" x14ac:dyDescent="0.25">
      <c r="A133" s="2">
        <v>45907</v>
      </c>
      <c r="B133" s="13"/>
      <c r="C133" s="2">
        <v>45872</v>
      </c>
      <c r="D133" s="6"/>
      <c r="E133" s="2">
        <v>45753</v>
      </c>
      <c r="F133" s="6"/>
      <c r="G133" s="1">
        <v>2</v>
      </c>
      <c r="H133" s="6"/>
      <c r="I133" s="1" t="s">
        <v>13</v>
      </c>
      <c r="J133" s="4">
        <v>32</v>
      </c>
    </row>
    <row r="134" spans="1:10" ht="13.2" hidden="1" x14ac:dyDescent="0.25">
      <c r="A134" s="2">
        <v>45753</v>
      </c>
      <c r="B134" s="13"/>
      <c r="C134" s="2">
        <v>45871</v>
      </c>
      <c r="D134" s="6"/>
      <c r="E134" s="2">
        <v>45813</v>
      </c>
      <c r="F134" s="6"/>
      <c r="G134" s="2">
        <v>45690</v>
      </c>
      <c r="H134" s="6"/>
      <c r="I134" s="1" t="s">
        <v>13</v>
      </c>
      <c r="J134" s="4">
        <v>33</v>
      </c>
    </row>
    <row r="135" spans="1:10" ht="13.2" hidden="1" x14ac:dyDescent="0.25">
      <c r="A135" s="2">
        <v>45722</v>
      </c>
      <c r="B135" s="13"/>
      <c r="C135" s="2">
        <v>45871</v>
      </c>
      <c r="D135" s="6"/>
      <c r="E135" s="2">
        <v>45662</v>
      </c>
      <c r="F135" s="6"/>
      <c r="G135" s="2">
        <v>45778</v>
      </c>
      <c r="H135" s="6"/>
      <c r="I135" s="1" t="s">
        <v>13</v>
      </c>
      <c r="J135" s="4">
        <v>34</v>
      </c>
    </row>
    <row r="136" spans="1:10" ht="13.2" hidden="1" x14ac:dyDescent="0.25">
      <c r="A136" s="2">
        <v>45663</v>
      </c>
      <c r="B136" s="13"/>
      <c r="C136" s="2">
        <v>45810</v>
      </c>
      <c r="D136" s="6"/>
      <c r="E136" s="2">
        <v>45813</v>
      </c>
      <c r="F136" s="6"/>
      <c r="G136" s="2">
        <v>45748</v>
      </c>
      <c r="H136" s="6"/>
      <c r="I136" s="1" t="s">
        <v>13</v>
      </c>
      <c r="J136" s="4">
        <v>35</v>
      </c>
    </row>
    <row r="137" spans="1:10" ht="13.2" hidden="1" x14ac:dyDescent="0.25">
      <c r="A137" s="2">
        <v>45845</v>
      </c>
      <c r="B137" s="13"/>
      <c r="C137" s="1">
        <v>3</v>
      </c>
      <c r="D137" s="6"/>
      <c r="E137" s="2">
        <v>45663</v>
      </c>
      <c r="F137" s="6"/>
      <c r="G137" s="2">
        <v>45718</v>
      </c>
      <c r="H137" s="6"/>
      <c r="I137" s="1" t="s">
        <v>13</v>
      </c>
      <c r="J137" s="4">
        <v>36</v>
      </c>
    </row>
    <row r="138" spans="1:10" ht="13.2" hidden="1" x14ac:dyDescent="0.25">
      <c r="A138" s="2">
        <v>45722</v>
      </c>
      <c r="B138" s="13"/>
      <c r="C138" s="2">
        <v>45750</v>
      </c>
      <c r="D138" s="6"/>
      <c r="E138" s="2">
        <v>45813</v>
      </c>
      <c r="F138" s="6"/>
      <c r="G138" s="2">
        <v>45749</v>
      </c>
      <c r="H138" s="6"/>
      <c r="I138" s="1" t="s">
        <v>13</v>
      </c>
      <c r="J138" s="4">
        <v>37</v>
      </c>
    </row>
    <row r="139" spans="1:10" ht="13.2" hidden="1" x14ac:dyDescent="0.25">
      <c r="A139" s="2">
        <v>45753</v>
      </c>
      <c r="B139" s="13"/>
      <c r="C139" s="2">
        <v>45660</v>
      </c>
      <c r="D139" s="6"/>
      <c r="E139" s="2">
        <v>45782</v>
      </c>
      <c r="F139" s="6"/>
      <c r="G139" s="2">
        <v>45870</v>
      </c>
      <c r="H139" s="6"/>
      <c r="I139" s="1" t="s">
        <v>13</v>
      </c>
      <c r="J139" s="4">
        <v>38</v>
      </c>
    </row>
    <row r="140" spans="1:10" ht="13.2" hidden="1" x14ac:dyDescent="0.25">
      <c r="A140" s="1">
        <v>6</v>
      </c>
      <c r="B140" s="13"/>
      <c r="C140" s="1">
        <v>3</v>
      </c>
      <c r="D140" s="6"/>
      <c r="E140" s="2">
        <v>45873</v>
      </c>
      <c r="F140" s="6"/>
      <c r="G140" s="2">
        <v>45870</v>
      </c>
      <c r="H140" s="6"/>
      <c r="I140" s="1" t="s">
        <v>13</v>
      </c>
      <c r="J140" s="4">
        <v>39</v>
      </c>
    </row>
    <row r="141" spans="1:10" ht="13.2" hidden="1" x14ac:dyDescent="0.25">
      <c r="A141" s="2">
        <v>45906</v>
      </c>
      <c r="B141" s="13"/>
      <c r="C141" s="2">
        <v>45660</v>
      </c>
      <c r="D141" s="6"/>
      <c r="E141" s="2">
        <v>45752</v>
      </c>
      <c r="F141" s="6"/>
      <c r="G141" s="2">
        <v>45659</v>
      </c>
      <c r="H141" s="6"/>
      <c r="I141" s="1" t="s">
        <v>13</v>
      </c>
      <c r="J141" s="4">
        <v>40</v>
      </c>
    </row>
    <row r="142" spans="1:10" ht="13.2" hidden="1" x14ac:dyDescent="0.25">
      <c r="A142" s="2">
        <v>45844</v>
      </c>
      <c r="B142" s="13"/>
      <c r="C142" s="2">
        <v>45660</v>
      </c>
      <c r="D142" s="6"/>
      <c r="E142" s="2">
        <v>45813</v>
      </c>
      <c r="F142" s="6"/>
      <c r="G142" s="2">
        <v>45749</v>
      </c>
      <c r="H142" s="6"/>
      <c r="I142" s="1" t="s">
        <v>13</v>
      </c>
      <c r="J142" s="4">
        <v>41</v>
      </c>
    </row>
    <row r="143" spans="1:10" ht="13.2" hidden="1" x14ac:dyDescent="0.25">
      <c r="A143" s="2">
        <v>45906</v>
      </c>
      <c r="B143" s="13"/>
      <c r="C143" s="2">
        <v>45660</v>
      </c>
      <c r="D143" s="6"/>
      <c r="E143" s="2">
        <v>45662</v>
      </c>
      <c r="F143" s="6"/>
      <c r="G143" s="2">
        <v>45718</v>
      </c>
      <c r="H143" s="6"/>
      <c r="I143" s="1" t="s">
        <v>13</v>
      </c>
      <c r="J143" s="4">
        <v>42</v>
      </c>
    </row>
    <row r="144" spans="1:10" ht="13.2" hidden="1" x14ac:dyDescent="0.25">
      <c r="A144" s="2">
        <v>45874</v>
      </c>
      <c r="B144" s="13"/>
      <c r="C144" s="2">
        <v>45840</v>
      </c>
      <c r="D144" s="6"/>
      <c r="E144" s="2">
        <v>45662</v>
      </c>
      <c r="F144" s="6"/>
      <c r="G144" s="2">
        <v>45901</v>
      </c>
      <c r="H144" s="6"/>
      <c r="I144" s="1" t="s">
        <v>13</v>
      </c>
      <c r="J144" s="4">
        <v>43</v>
      </c>
    </row>
    <row r="145" spans="1:10" ht="13.2" hidden="1" x14ac:dyDescent="0.25">
      <c r="A145" s="2">
        <v>45875</v>
      </c>
      <c r="B145" s="13"/>
      <c r="C145" s="2">
        <v>45691</v>
      </c>
      <c r="D145" s="6"/>
      <c r="E145" s="2">
        <v>45905</v>
      </c>
      <c r="F145" s="6"/>
      <c r="G145" s="2">
        <v>45718</v>
      </c>
      <c r="H145" s="6"/>
      <c r="I145" s="1" t="s">
        <v>13</v>
      </c>
      <c r="J145" s="4">
        <v>44</v>
      </c>
    </row>
    <row r="146" spans="1:10" ht="13.2" hidden="1" x14ac:dyDescent="0.25">
      <c r="A146" s="2">
        <v>45844</v>
      </c>
      <c r="B146" s="13"/>
      <c r="C146" s="2">
        <v>45719</v>
      </c>
      <c r="D146" s="6"/>
      <c r="E146" s="2">
        <v>45843</v>
      </c>
      <c r="F146" s="6"/>
      <c r="G146" s="2">
        <v>45779</v>
      </c>
      <c r="H146" s="6"/>
      <c r="I146" s="1" t="s">
        <v>13</v>
      </c>
      <c r="J146" s="4">
        <v>45</v>
      </c>
    </row>
    <row r="147" spans="1:10" ht="13.2" hidden="1" x14ac:dyDescent="0.25">
      <c r="A147" s="2">
        <v>45844</v>
      </c>
      <c r="B147" s="13"/>
      <c r="C147" s="1">
        <v>3</v>
      </c>
      <c r="D147" s="6"/>
      <c r="E147" s="2">
        <v>45693</v>
      </c>
      <c r="F147" s="6"/>
      <c r="G147" s="2">
        <v>45718</v>
      </c>
      <c r="H147" s="6"/>
      <c r="I147" s="1" t="s">
        <v>13</v>
      </c>
      <c r="J147" s="4">
        <v>46</v>
      </c>
    </row>
    <row r="148" spans="1:10" ht="13.2" hidden="1" x14ac:dyDescent="0.25">
      <c r="A148" s="2">
        <v>45722</v>
      </c>
      <c r="B148" s="13"/>
      <c r="C148" s="2">
        <v>45779</v>
      </c>
      <c r="D148" s="6"/>
      <c r="E148" s="1">
        <v>5</v>
      </c>
      <c r="F148" s="6"/>
      <c r="G148" s="2">
        <v>45901</v>
      </c>
      <c r="H148" s="6"/>
      <c r="I148" s="1" t="s">
        <v>13</v>
      </c>
      <c r="J148" s="4">
        <v>47</v>
      </c>
    </row>
    <row r="149" spans="1:10" ht="13.2" hidden="1" x14ac:dyDescent="0.25">
      <c r="A149" s="2">
        <v>45783</v>
      </c>
      <c r="B149" s="13"/>
      <c r="C149" s="1">
        <v>3</v>
      </c>
      <c r="D149" s="6"/>
      <c r="E149" s="2">
        <v>45693</v>
      </c>
      <c r="F149" s="6"/>
      <c r="G149" s="1">
        <v>2</v>
      </c>
      <c r="H149" s="6"/>
      <c r="I149" s="1" t="s">
        <v>13</v>
      </c>
      <c r="J149" s="4">
        <v>48</v>
      </c>
    </row>
    <row r="150" spans="1:10" ht="13.2" hidden="1" x14ac:dyDescent="0.25">
      <c r="A150" s="2">
        <v>45694</v>
      </c>
      <c r="B150" s="13"/>
      <c r="C150" s="2">
        <v>45750</v>
      </c>
      <c r="D150" s="6"/>
      <c r="E150" s="2">
        <v>45752</v>
      </c>
      <c r="F150" s="6"/>
      <c r="G150" s="2">
        <v>45718</v>
      </c>
      <c r="H150" s="6"/>
      <c r="I150" s="1" t="s">
        <v>13</v>
      </c>
      <c r="J150" s="4">
        <v>49</v>
      </c>
    </row>
    <row r="151" spans="1:10" ht="13.2" hidden="1" x14ac:dyDescent="0.25">
      <c r="A151" s="2">
        <v>45905</v>
      </c>
      <c r="B151" s="13"/>
      <c r="C151" s="1">
        <v>3</v>
      </c>
      <c r="D151" s="6"/>
      <c r="E151" s="2">
        <v>45662</v>
      </c>
      <c r="F151" s="6"/>
      <c r="G151" s="2">
        <v>45870</v>
      </c>
      <c r="H151" s="6"/>
      <c r="I151" s="1" t="s">
        <v>13</v>
      </c>
      <c r="J151" s="4">
        <v>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2"/>
  <sheetViews>
    <sheetView topLeftCell="B17" workbookViewId="0">
      <selection activeCell="T9" sqref="T9"/>
    </sheetView>
  </sheetViews>
  <sheetFormatPr defaultRowHeight="13.2" x14ac:dyDescent="0.25"/>
  <cols>
    <col min="1" max="1" width="0" hidden="1" customWidth="1"/>
    <col min="3" max="3" width="0" hidden="1" customWidth="1"/>
    <col min="5" max="5" width="0" hidden="1" customWidth="1"/>
    <col min="7" max="7" width="0" hidden="1" customWidth="1"/>
    <col min="9" max="9" width="0" hidden="1" customWidth="1"/>
    <col min="16" max="16" width="8.88671875" customWidth="1"/>
  </cols>
  <sheetData>
    <row r="1" spans="1:17" ht="53.4" thickBot="1" x14ac:dyDescent="0.3">
      <c r="A1" s="15" t="s">
        <v>0</v>
      </c>
      <c r="B1" s="12" t="s">
        <v>16</v>
      </c>
      <c r="C1" s="15" t="s">
        <v>1</v>
      </c>
      <c r="D1" s="8" t="s">
        <v>17</v>
      </c>
      <c r="E1" s="15" t="s">
        <v>2</v>
      </c>
      <c r="F1" s="11" t="s">
        <v>18</v>
      </c>
      <c r="G1" s="15" t="s">
        <v>3</v>
      </c>
      <c r="H1" s="11" t="s">
        <v>19</v>
      </c>
      <c r="I1" s="8" t="s">
        <v>4</v>
      </c>
      <c r="J1" s="5" t="s">
        <v>22</v>
      </c>
      <c r="K1" s="10" t="s">
        <v>14</v>
      </c>
      <c r="L1" s="5" t="s">
        <v>21</v>
      </c>
      <c r="M1" s="10" t="s">
        <v>20</v>
      </c>
      <c r="N1" s="45" t="s">
        <v>23</v>
      </c>
      <c r="O1" t="s">
        <v>24</v>
      </c>
      <c r="P1" t="s">
        <v>25</v>
      </c>
      <c r="Q1" s="46" t="s">
        <v>26</v>
      </c>
    </row>
    <row r="2" spans="1:17" x14ac:dyDescent="0.25">
      <c r="A2" s="16">
        <v>45662</v>
      </c>
      <c r="B2" s="17">
        <v>5.0999999999999996</v>
      </c>
      <c r="C2" s="18">
        <v>45780</v>
      </c>
      <c r="D2" s="19">
        <v>3.5</v>
      </c>
      <c r="E2" s="18">
        <v>45748</v>
      </c>
      <c r="F2" s="19">
        <v>1.4</v>
      </c>
      <c r="G2" s="20" t="s">
        <v>5</v>
      </c>
      <c r="H2" s="19" t="s">
        <v>5</v>
      </c>
      <c r="I2" s="20" t="s">
        <v>6</v>
      </c>
      <c r="J2" s="22">
        <f t="shared" ref="J2:J33" si="0">B2*D2+F2*H2</f>
        <v>18.13</v>
      </c>
      <c r="K2" s="49">
        <f>SUM(J2:J126)/75</f>
        <v>23.864800000000002</v>
      </c>
      <c r="L2" s="23">
        <f>POWER(J2-K$2, 2)</f>
        <v>32.887931040000041</v>
      </c>
      <c r="M2" s="49">
        <f>SUM(L2:L126)/74</f>
        <v>241.89523037837859</v>
      </c>
      <c r="N2" s="48">
        <f>MEDIAN(J1:J125)</f>
        <v>16.729999999999997</v>
      </c>
      <c r="O2">
        <v>13.009999999999998</v>
      </c>
      <c r="P2" s="47">
        <f>O56 + 0.4*(O57-O56)</f>
        <v>20.788</v>
      </c>
      <c r="Q2" s="46">
        <f>COUNTIF($O$2:$O$126, "&lt;="&amp;O2)/75</f>
        <v>1.3333333333333334E-2</v>
      </c>
    </row>
    <row r="3" spans="1:17" x14ac:dyDescent="0.25">
      <c r="A3" s="16">
        <v>45904</v>
      </c>
      <c r="B3" s="24">
        <v>4.9000000000000004</v>
      </c>
      <c r="C3" s="25">
        <v>3</v>
      </c>
      <c r="D3" s="26">
        <v>3</v>
      </c>
      <c r="E3" s="27">
        <v>45748</v>
      </c>
      <c r="F3" s="26">
        <v>1.4</v>
      </c>
      <c r="G3" s="25" t="s">
        <v>5</v>
      </c>
      <c r="H3" s="26" t="s">
        <v>5</v>
      </c>
      <c r="I3" s="25" t="s">
        <v>6</v>
      </c>
      <c r="J3" s="29">
        <f t="shared" si="0"/>
        <v>14.98</v>
      </c>
      <c r="K3" s="50"/>
      <c r="L3" s="30">
        <f t="shared" ref="L3:L26" si="1">POWER(J3-K$2, 2)</f>
        <v>78.939671040000036</v>
      </c>
      <c r="M3" s="50"/>
      <c r="N3" s="48"/>
      <c r="O3">
        <v>13.04</v>
      </c>
      <c r="P3" s="47"/>
      <c r="Q3" s="46">
        <f t="shared" ref="Q3:Q66" si="2">COUNTIF($O$2:$O$126, "&lt;="&amp;O3)/75</f>
        <v>2.6666666666666668E-2</v>
      </c>
    </row>
    <row r="4" spans="1:17" x14ac:dyDescent="0.25">
      <c r="A4" s="16">
        <v>45842</v>
      </c>
      <c r="B4" s="24">
        <v>4.7</v>
      </c>
      <c r="C4" s="27">
        <v>45691</v>
      </c>
      <c r="D4" s="26">
        <v>3.2</v>
      </c>
      <c r="E4" s="27">
        <v>45717</v>
      </c>
      <c r="F4" s="26">
        <v>1.3</v>
      </c>
      <c r="G4" s="25" t="s">
        <v>5</v>
      </c>
      <c r="H4" s="26" t="s">
        <v>5</v>
      </c>
      <c r="I4" s="25" t="s">
        <v>6</v>
      </c>
      <c r="J4" s="29">
        <f t="shared" si="0"/>
        <v>15.3</v>
      </c>
      <c r="K4" s="50"/>
      <c r="L4" s="30">
        <f t="shared" si="1"/>
        <v>73.355799040000036</v>
      </c>
      <c r="M4" s="50"/>
      <c r="N4" s="48"/>
      <c r="O4">
        <v>13.5</v>
      </c>
      <c r="P4" s="47"/>
      <c r="Q4" s="46">
        <f t="shared" si="2"/>
        <v>0.04</v>
      </c>
    </row>
    <row r="5" spans="1:17" x14ac:dyDescent="0.25">
      <c r="A5" s="16">
        <v>45812</v>
      </c>
      <c r="B5" s="24">
        <v>4.5999999999999996</v>
      </c>
      <c r="C5" s="27">
        <v>45660</v>
      </c>
      <c r="D5" s="26">
        <v>3.1</v>
      </c>
      <c r="E5" s="27">
        <v>45778</v>
      </c>
      <c r="F5" s="26">
        <v>1.5</v>
      </c>
      <c r="G5" s="25" t="s">
        <v>5</v>
      </c>
      <c r="H5" s="26" t="s">
        <v>5</v>
      </c>
      <c r="I5" s="25" t="s">
        <v>6</v>
      </c>
      <c r="J5" s="29">
        <f t="shared" si="0"/>
        <v>14.56</v>
      </c>
      <c r="K5" s="50"/>
      <c r="L5" s="30">
        <f t="shared" si="1"/>
        <v>86.579303040000042</v>
      </c>
      <c r="M5" s="50"/>
      <c r="N5" s="48"/>
      <c r="O5">
        <v>14.54</v>
      </c>
      <c r="P5" s="47"/>
      <c r="Q5" s="46">
        <f t="shared" si="2"/>
        <v>5.3333333333333337E-2</v>
      </c>
    </row>
    <row r="6" spans="1:17" x14ac:dyDescent="0.25">
      <c r="A6" s="15">
        <v>5</v>
      </c>
      <c r="B6" s="24">
        <v>5</v>
      </c>
      <c r="C6" s="27">
        <v>45811</v>
      </c>
      <c r="D6" s="26">
        <v>3.6</v>
      </c>
      <c r="E6" s="27">
        <v>45748</v>
      </c>
      <c r="F6" s="26">
        <v>1.4</v>
      </c>
      <c r="G6" s="25" t="s">
        <v>5</v>
      </c>
      <c r="H6" s="26" t="s">
        <v>5</v>
      </c>
      <c r="I6" s="25" t="s">
        <v>6</v>
      </c>
      <c r="J6" s="29">
        <f t="shared" si="0"/>
        <v>18.28</v>
      </c>
      <c r="K6" s="50"/>
      <c r="L6" s="30">
        <f t="shared" si="1"/>
        <v>31.189991040000013</v>
      </c>
      <c r="M6" s="50"/>
      <c r="N6" s="48"/>
      <c r="O6">
        <v>14.56</v>
      </c>
      <c r="P6" s="47"/>
      <c r="Q6" s="46">
        <f t="shared" si="2"/>
        <v>6.6666666666666666E-2</v>
      </c>
    </row>
    <row r="7" spans="1:17" x14ac:dyDescent="0.25">
      <c r="A7" s="16">
        <v>45752</v>
      </c>
      <c r="B7" s="24">
        <v>5.4</v>
      </c>
      <c r="C7" s="27">
        <v>45903</v>
      </c>
      <c r="D7" s="26">
        <v>3.9</v>
      </c>
      <c r="E7" s="27">
        <v>45839</v>
      </c>
      <c r="F7" s="26">
        <v>1.7</v>
      </c>
      <c r="G7" s="25" t="s">
        <v>7</v>
      </c>
      <c r="H7" s="26" t="s">
        <v>7</v>
      </c>
      <c r="I7" s="25" t="s">
        <v>6</v>
      </c>
      <c r="J7" s="29">
        <f t="shared" si="0"/>
        <v>21.740000000000002</v>
      </c>
      <c r="K7" s="50"/>
      <c r="L7" s="30">
        <f t="shared" si="1"/>
        <v>4.5147750400000017</v>
      </c>
      <c r="M7" s="50"/>
      <c r="N7" s="48"/>
      <c r="O7">
        <v>14.98</v>
      </c>
      <c r="P7" s="47"/>
      <c r="Q7" s="46">
        <f t="shared" si="2"/>
        <v>0.08</v>
      </c>
    </row>
    <row r="8" spans="1:17" x14ac:dyDescent="0.25">
      <c r="A8" s="16">
        <v>45812</v>
      </c>
      <c r="B8" s="24">
        <v>4.5999999999999996</v>
      </c>
      <c r="C8" s="27">
        <v>45750</v>
      </c>
      <c r="D8" s="26">
        <v>3.4</v>
      </c>
      <c r="E8" s="27">
        <v>45748</v>
      </c>
      <c r="F8" s="26">
        <v>1.4</v>
      </c>
      <c r="G8" s="25" t="s">
        <v>8</v>
      </c>
      <c r="H8" s="26" t="s">
        <v>8</v>
      </c>
      <c r="I8" s="25" t="s">
        <v>6</v>
      </c>
      <c r="J8" s="29">
        <f t="shared" si="0"/>
        <v>16.059999999999999</v>
      </c>
      <c r="K8" s="50"/>
      <c r="L8" s="30">
        <f t="shared" si="1"/>
        <v>60.914903040000056</v>
      </c>
      <c r="M8" s="50"/>
      <c r="N8" s="48"/>
      <c r="O8">
        <v>15.059999999999999</v>
      </c>
      <c r="P8" s="47"/>
      <c r="Q8" s="46">
        <f t="shared" si="2"/>
        <v>9.3333333333333338E-2</v>
      </c>
    </row>
    <row r="9" spans="1:17" x14ac:dyDescent="0.25">
      <c r="A9" s="15">
        <v>5</v>
      </c>
      <c r="B9" s="24">
        <v>5</v>
      </c>
      <c r="C9" s="27">
        <v>45750</v>
      </c>
      <c r="D9" s="26">
        <v>3.4</v>
      </c>
      <c r="E9" s="27">
        <v>45778</v>
      </c>
      <c r="F9" s="26">
        <v>1.5</v>
      </c>
      <c r="G9" s="25" t="s">
        <v>5</v>
      </c>
      <c r="H9" s="26" t="s">
        <v>5</v>
      </c>
      <c r="I9" s="25" t="s">
        <v>6</v>
      </c>
      <c r="J9" s="29">
        <f t="shared" si="0"/>
        <v>17.3</v>
      </c>
      <c r="K9" s="50"/>
      <c r="L9" s="30">
        <f t="shared" si="1"/>
        <v>43.096599040000022</v>
      </c>
      <c r="M9" s="50"/>
      <c r="N9" s="48"/>
      <c r="O9">
        <v>15.3</v>
      </c>
      <c r="P9" s="47"/>
      <c r="Q9" s="46">
        <f t="shared" si="2"/>
        <v>0.10666666666666667</v>
      </c>
    </row>
    <row r="10" spans="1:17" x14ac:dyDescent="0.25">
      <c r="A10" s="16">
        <v>45751</v>
      </c>
      <c r="B10" s="24">
        <v>4.4000000000000004</v>
      </c>
      <c r="C10" s="27">
        <v>45902</v>
      </c>
      <c r="D10" s="26">
        <v>2.9</v>
      </c>
      <c r="E10" s="27">
        <v>45748</v>
      </c>
      <c r="F10" s="26">
        <v>1.4</v>
      </c>
      <c r="G10" s="25" t="s">
        <v>5</v>
      </c>
      <c r="H10" s="26" t="s">
        <v>5</v>
      </c>
      <c r="I10" s="25" t="s">
        <v>6</v>
      </c>
      <c r="J10" s="29">
        <f t="shared" si="0"/>
        <v>13.04</v>
      </c>
      <c r="K10" s="50"/>
      <c r="L10" s="30">
        <f t="shared" si="1"/>
        <v>117.17629504000007</v>
      </c>
      <c r="M10" s="50"/>
      <c r="N10" s="48"/>
      <c r="O10">
        <v>15.340000000000002</v>
      </c>
      <c r="P10" s="47"/>
      <c r="Q10" s="46">
        <f t="shared" si="2"/>
        <v>0.12</v>
      </c>
    </row>
    <row r="11" spans="1:17" x14ac:dyDescent="0.25">
      <c r="A11" s="16">
        <v>45904</v>
      </c>
      <c r="B11" s="24">
        <v>4.9000000000000004</v>
      </c>
      <c r="C11" s="27">
        <v>45660</v>
      </c>
      <c r="D11" s="26">
        <v>3.1</v>
      </c>
      <c r="E11" s="27">
        <v>45778</v>
      </c>
      <c r="F11" s="26">
        <v>1.5</v>
      </c>
      <c r="G11" s="25" t="s">
        <v>9</v>
      </c>
      <c r="H11" s="26" t="s">
        <v>9</v>
      </c>
      <c r="I11" s="25" t="s">
        <v>6</v>
      </c>
      <c r="J11" s="29">
        <f t="shared" si="0"/>
        <v>15.340000000000002</v>
      </c>
      <c r="K11" s="50"/>
      <c r="L11" s="30">
        <f t="shared" si="1"/>
        <v>72.672215040000012</v>
      </c>
      <c r="M11" s="50"/>
      <c r="N11" s="48"/>
      <c r="O11">
        <v>16.059999999999999</v>
      </c>
      <c r="P11" s="47"/>
      <c r="Q11" s="46">
        <f t="shared" si="2"/>
        <v>0.13333333333333333</v>
      </c>
    </row>
    <row r="12" spans="1:17" x14ac:dyDescent="0.25">
      <c r="A12" s="16">
        <v>45752</v>
      </c>
      <c r="B12" s="24">
        <v>5.4</v>
      </c>
      <c r="C12" s="27">
        <v>45841</v>
      </c>
      <c r="D12" s="26">
        <v>3.7</v>
      </c>
      <c r="E12" s="27">
        <v>45778</v>
      </c>
      <c r="F12" s="26">
        <v>1.5</v>
      </c>
      <c r="G12" s="25" t="s">
        <v>5</v>
      </c>
      <c r="H12" s="26" t="s">
        <v>5</v>
      </c>
      <c r="I12" s="25" t="s">
        <v>6</v>
      </c>
      <c r="J12" s="29">
        <f t="shared" si="0"/>
        <v>20.280000000000005</v>
      </c>
      <c r="K12" s="50"/>
      <c r="L12" s="30">
        <f t="shared" si="1"/>
        <v>12.850791039999985</v>
      </c>
      <c r="M12" s="50"/>
      <c r="N12" s="48"/>
      <c r="O12">
        <v>16.64</v>
      </c>
      <c r="P12" s="47"/>
      <c r="Q12" s="46">
        <f t="shared" si="2"/>
        <v>0.14666666666666667</v>
      </c>
    </row>
    <row r="13" spans="1:17" x14ac:dyDescent="0.25">
      <c r="A13" s="16">
        <v>45873</v>
      </c>
      <c r="B13" s="24">
        <v>4.8</v>
      </c>
      <c r="C13" s="27">
        <v>45750</v>
      </c>
      <c r="D13" s="26">
        <v>3.4</v>
      </c>
      <c r="E13" s="27">
        <v>45809</v>
      </c>
      <c r="F13" s="26">
        <v>1.6</v>
      </c>
      <c r="G13" s="25" t="s">
        <v>5</v>
      </c>
      <c r="H13" s="26" t="s">
        <v>5</v>
      </c>
      <c r="I13" s="25" t="s">
        <v>6</v>
      </c>
      <c r="J13" s="29">
        <f t="shared" si="0"/>
        <v>16.64</v>
      </c>
      <c r="K13" s="50"/>
      <c r="L13" s="30">
        <f t="shared" si="1"/>
        <v>52.197735040000026</v>
      </c>
      <c r="M13" s="50"/>
      <c r="N13" s="48"/>
      <c r="O13">
        <v>16.7</v>
      </c>
      <c r="P13" s="47"/>
      <c r="Q13" s="46">
        <f t="shared" si="2"/>
        <v>0.16</v>
      </c>
    </row>
    <row r="14" spans="1:17" x14ac:dyDescent="0.25">
      <c r="A14" s="16">
        <v>45873</v>
      </c>
      <c r="B14" s="24">
        <v>4.8</v>
      </c>
      <c r="C14" s="25">
        <v>3</v>
      </c>
      <c r="D14" s="26">
        <v>3</v>
      </c>
      <c r="E14" s="27">
        <v>45748</v>
      </c>
      <c r="F14" s="26">
        <v>1.4</v>
      </c>
      <c r="G14" s="25" t="s">
        <v>9</v>
      </c>
      <c r="H14" s="26" t="s">
        <v>9</v>
      </c>
      <c r="I14" s="25" t="s">
        <v>6</v>
      </c>
      <c r="J14" s="29">
        <f t="shared" si="0"/>
        <v>14.54</v>
      </c>
      <c r="K14" s="50"/>
      <c r="L14" s="30">
        <f t="shared" si="1"/>
        <v>86.951895040000068</v>
      </c>
      <c r="M14" s="50"/>
      <c r="N14" s="48"/>
      <c r="O14">
        <v>16.759999999999998</v>
      </c>
      <c r="P14" s="47"/>
      <c r="Q14" s="46">
        <f t="shared" si="2"/>
        <v>0.17333333333333334</v>
      </c>
    </row>
    <row r="15" spans="1:17" x14ac:dyDescent="0.25">
      <c r="A15" s="16">
        <v>45720</v>
      </c>
      <c r="B15" s="24">
        <v>4.3</v>
      </c>
      <c r="C15" s="25">
        <v>3</v>
      </c>
      <c r="D15" s="26">
        <v>3</v>
      </c>
      <c r="E15" s="27">
        <v>45658</v>
      </c>
      <c r="F15" s="26">
        <v>1.1000000000000001</v>
      </c>
      <c r="G15" s="25" t="s">
        <v>9</v>
      </c>
      <c r="H15" s="26" t="s">
        <v>9</v>
      </c>
      <c r="I15" s="25" t="s">
        <v>6</v>
      </c>
      <c r="J15" s="29">
        <f t="shared" si="0"/>
        <v>13.009999999999998</v>
      </c>
      <c r="K15" s="50"/>
      <c r="L15" s="30">
        <f t="shared" si="1"/>
        <v>117.82668304000009</v>
      </c>
      <c r="M15" s="50"/>
      <c r="N15" s="48"/>
      <c r="O15">
        <v>17.200000000000003</v>
      </c>
      <c r="P15" s="47"/>
      <c r="Q15" s="46">
        <f t="shared" si="2"/>
        <v>0.18666666666666668</v>
      </c>
    </row>
    <row r="16" spans="1:17" x14ac:dyDescent="0.25">
      <c r="A16" s="16">
        <v>45874</v>
      </c>
      <c r="B16" s="24">
        <v>5.8</v>
      </c>
      <c r="C16" s="25">
        <v>4</v>
      </c>
      <c r="D16" s="26">
        <v>4</v>
      </c>
      <c r="E16" s="27">
        <v>45689</v>
      </c>
      <c r="F16" s="26">
        <v>1.2</v>
      </c>
      <c r="G16" s="25" t="s">
        <v>5</v>
      </c>
      <c r="H16" s="26" t="s">
        <v>5</v>
      </c>
      <c r="I16" s="25" t="s">
        <v>6</v>
      </c>
      <c r="J16" s="29">
        <f t="shared" si="0"/>
        <v>23.439999999999998</v>
      </c>
      <c r="K16" s="50"/>
      <c r="L16" s="30">
        <f t="shared" si="1"/>
        <v>0.18045504000000401</v>
      </c>
      <c r="M16" s="50"/>
      <c r="N16" s="48"/>
      <c r="O16">
        <v>17.3</v>
      </c>
      <c r="P16" s="47"/>
      <c r="Q16" s="46">
        <f t="shared" si="2"/>
        <v>0.2</v>
      </c>
    </row>
    <row r="17" spans="1:17" x14ac:dyDescent="0.25">
      <c r="A17" s="16">
        <v>45843</v>
      </c>
      <c r="B17" s="24">
        <v>5.7</v>
      </c>
      <c r="C17" s="27">
        <v>45751</v>
      </c>
      <c r="D17" s="26">
        <v>4.4000000000000004</v>
      </c>
      <c r="E17" s="27">
        <v>45778</v>
      </c>
      <c r="F17" s="26">
        <v>1.5</v>
      </c>
      <c r="G17" s="25" t="s">
        <v>7</v>
      </c>
      <c r="H17" s="26" t="s">
        <v>7</v>
      </c>
      <c r="I17" s="25" t="s">
        <v>6</v>
      </c>
      <c r="J17" s="29">
        <f t="shared" si="0"/>
        <v>25.680000000000003</v>
      </c>
      <c r="K17" s="50"/>
      <c r="L17" s="30">
        <f t="shared" si="1"/>
        <v>3.2949510400000031</v>
      </c>
      <c r="M17" s="50"/>
      <c r="N17" s="48"/>
      <c r="O17">
        <v>17.68</v>
      </c>
      <c r="P17" s="47"/>
      <c r="Q17" s="46">
        <f t="shared" si="2"/>
        <v>0.21333333333333335</v>
      </c>
    </row>
    <row r="18" spans="1:17" x14ac:dyDescent="0.25">
      <c r="A18" s="16">
        <v>45752</v>
      </c>
      <c r="B18" s="24">
        <v>5.4</v>
      </c>
      <c r="C18" s="27">
        <v>45903</v>
      </c>
      <c r="D18" s="26">
        <v>3.9</v>
      </c>
      <c r="E18" s="27">
        <v>45717</v>
      </c>
      <c r="F18" s="26">
        <v>1.3</v>
      </c>
      <c r="G18" s="25" t="s">
        <v>7</v>
      </c>
      <c r="H18" s="26" t="s">
        <v>7</v>
      </c>
      <c r="I18" s="25" t="s">
        <v>6</v>
      </c>
      <c r="J18" s="29">
        <f t="shared" si="0"/>
        <v>21.580000000000002</v>
      </c>
      <c r="K18" s="50"/>
      <c r="L18" s="30">
        <f t="shared" si="1"/>
        <v>5.220311040000003</v>
      </c>
      <c r="M18" s="50"/>
      <c r="N18" s="48"/>
      <c r="O18">
        <v>17.849999999999998</v>
      </c>
      <c r="P18" s="47"/>
      <c r="Q18" s="46">
        <f t="shared" si="2"/>
        <v>0.22666666666666666</v>
      </c>
    </row>
    <row r="19" spans="1:17" x14ac:dyDescent="0.25">
      <c r="A19" s="16">
        <v>45662</v>
      </c>
      <c r="B19" s="24">
        <v>5.0999999999999996</v>
      </c>
      <c r="C19" s="27">
        <v>45780</v>
      </c>
      <c r="D19" s="26">
        <v>3.5</v>
      </c>
      <c r="E19" s="27">
        <v>45748</v>
      </c>
      <c r="F19" s="26">
        <v>1.4</v>
      </c>
      <c r="G19" s="25" t="s">
        <v>8</v>
      </c>
      <c r="H19" s="26" t="s">
        <v>8</v>
      </c>
      <c r="I19" s="25" t="s">
        <v>6</v>
      </c>
      <c r="J19" s="29">
        <f t="shared" si="0"/>
        <v>18.27</v>
      </c>
      <c r="K19" s="50"/>
      <c r="L19" s="30">
        <f t="shared" si="1"/>
        <v>31.301787040000033</v>
      </c>
      <c r="M19" s="50"/>
      <c r="N19" s="48"/>
      <c r="O19">
        <v>18.13</v>
      </c>
      <c r="P19" s="47"/>
      <c r="Q19" s="46">
        <f t="shared" si="2"/>
        <v>0.24</v>
      </c>
    </row>
    <row r="20" spans="1:17" x14ac:dyDescent="0.25">
      <c r="A20" s="16">
        <v>45843</v>
      </c>
      <c r="B20" s="24">
        <v>5.7</v>
      </c>
      <c r="C20" s="27">
        <v>45872</v>
      </c>
      <c r="D20" s="26">
        <v>3.8</v>
      </c>
      <c r="E20" s="27">
        <v>45839</v>
      </c>
      <c r="F20" s="26">
        <v>1.7</v>
      </c>
      <c r="G20" s="25" t="s">
        <v>8</v>
      </c>
      <c r="H20" s="26" t="s">
        <v>8</v>
      </c>
      <c r="I20" s="25" t="s">
        <v>6</v>
      </c>
      <c r="J20" s="29">
        <f t="shared" si="0"/>
        <v>22.17</v>
      </c>
      <c r="K20" s="50"/>
      <c r="L20" s="30">
        <f t="shared" si="1"/>
        <v>2.8723470400000024</v>
      </c>
      <c r="M20" s="50"/>
      <c r="N20" s="48"/>
      <c r="O20">
        <v>18.27</v>
      </c>
      <c r="P20" s="47"/>
      <c r="Q20" s="46">
        <f t="shared" si="2"/>
        <v>0.25333333333333335</v>
      </c>
    </row>
    <row r="21" spans="1:17" x14ac:dyDescent="0.25">
      <c r="A21" s="16">
        <v>45662</v>
      </c>
      <c r="B21" s="24">
        <v>5.0999999999999996</v>
      </c>
      <c r="C21" s="27">
        <v>45872</v>
      </c>
      <c r="D21" s="26">
        <v>3.8</v>
      </c>
      <c r="E21" s="27">
        <v>45778</v>
      </c>
      <c r="F21" s="26">
        <v>1.5</v>
      </c>
      <c r="G21" s="25" t="s">
        <v>8</v>
      </c>
      <c r="H21" s="26" t="s">
        <v>8</v>
      </c>
      <c r="I21" s="25" t="s">
        <v>6</v>
      </c>
      <c r="J21" s="29">
        <f t="shared" si="0"/>
        <v>19.829999999999998</v>
      </c>
      <c r="K21" s="50"/>
      <c r="L21" s="30">
        <f t="shared" si="1"/>
        <v>16.279611040000034</v>
      </c>
      <c r="M21" s="50"/>
      <c r="N21" s="48"/>
      <c r="O21">
        <v>18.28</v>
      </c>
      <c r="P21" s="47"/>
      <c r="Q21" s="46">
        <f t="shared" si="2"/>
        <v>0.26666666666666666</v>
      </c>
    </row>
    <row r="22" spans="1:17" x14ac:dyDescent="0.25">
      <c r="A22" s="16">
        <v>45752</v>
      </c>
      <c r="B22" s="24">
        <v>5.4</v>
      </c>
      <c r="C22" s="27">
        <v>45750</v>
      </c>
      <c r="D22" s="26">
        <v>3.4</v>
      </c>
      <c r="E22" s="27">
        <v>45839</v>
      </c>
      <c r="F22" s="26">
        <v>1.7</v>
      </c>
      <c r="G22" s="25" t="s">
        <v>5</v>
      </c>
      <c r="H22" s="26" t="s">
        <v>5</v>
      </c>
      <c r="I22" s="25" t="s">
        <v>6</v>
      </c>
      <c r="J22" s="29">
        <f t="shared" si="0"/>
        <v>18.7</v>
      </c>
      <c r="K22" s="50"/>
      <c r="L22" s="30">
        <f t="shared" si="1"/>
        <v>26.675159040000032</v>
      </c>
      <c r="M22" s="50"/>
      <c r="N22" s="48"/>
      <c r="O22">
        <v>18.29</v>
      </c>
      <c r="P22" s="47"/>
      <c r="Q22" s="46">
        <f t="shared" si="2"/>
        <v>0.28000000000000003</v>
      </c>
    </row>
    <row r="23" spans="1:17" x14ac:dyDescent="0.25">
      <c r="A23" s="16">
        <v>45662</v>
      </c>
      <c r="B23" s="24">
        <v>5.0999999999999996</v>
      </c>
      <c r="C23" s="27">
        <v>45841</v>
      </c>
      <c r="D23" s="26">
        <v>3.7</v>
      </c>
      <c r="E23" s="27">
        <v>45778</v>
      </c>
      <c r="F23" s="26">
        <v>1.5</v>
      </c>
      <c r="G23" s="25" t="s">
        <v>7</v>
      </c>
      <c r="H23" s="26" t="s">
        <v>7</v>
      </c>
      <c r="I23" s="25" t="s">
        <v>6</v>
      </c>
      <c r="J23" s="29">
        <f t="shared" si="0"/>
        <v>19.470000000000002</v>
      </c>
      <c r="K23" s="50"/>
      <c r="L23" s="30">
        <f t="shared" si="1"/>
        <v>19.314267040000001</v>
      </c>
      <c r="M23" s="50"/>
      <c r="N23" s="48"/>
      <c r="O23">
        <v>18.7</v>
      </c>
      <c r="P23" s="47"/>
      <c r="Q23" s="46">
        <f t="shared" si="2"/>
        <v>0.29333333333333333</v>
      </c>
    </row>
    <row r="24" spans="1:17" x14ac:dyDescent="0.25">
      <c r="A24" s="16">
        <v>45812</v>
      </c>
      <c r="B24" s="24">
        <v>4.5999999999999996</v>
      </c>
      <c r="C24" s="27">
        <v>45811</v>
      </c>
      <c r="D24" s="26">
        <v>3.6</v>
      </c>
      <c r="E24" s="25">
        <v>1</v>
      </c>
      <c r="F24" s="26">
        <v>1</v>
      </c>
      <c r="G24" s="25" t="s">
        <v>5</v>
      </c>
      <c r="H24" s="26" t="s">
        <v>5</v>
      </c>
      <c r="I24" s="25" t="s">
        <v>6</v>
      </c>
      <c r="J24" s="29">
        <f t="shared" si="0"/>
        <v>16.759999999999998</v>
      </c>
      <c r="K24" s="50"/>
      <c r="L24" s="30">
        <f t="shared" si="1"/>
        <v>50.478183040000062</v>
      </c>
      <c r="M24" s="50"/>
      <c r="N24" s="48"/>
      <c r="O24">
        <v>19.470000000000002</v>
      </c>
      <c r="P24" s="47"/>
      <c r="Q24" s="46">
        <f t="shared" si="2"/>
        <v>0.30666666666666664</v>
      </c>
    </row>
    <row r="25" spans="1:17" x14ac:dyDescent="0.25">
      <c r="A25" s="16">
        <v>45662</v>
      </c>
      <c r="B25" s="24">
        <v>5.0999999999999996</v>
      </c>
      <c r="C25" s="27">
        <v>45719</v>
      </c>
      <c r="D25" s="26">
        <v>3.3</v>
      </c>
      <c r="E25" s="27">
        <v>45839</v>
      </c>
      <c r="F25" s="26">
        <v>1.7</v>
      </c>
      <c r="G25" s="25" t="s">
        <v>10</v>
      </c>
      <c r="H25" s="26" t="s">
        <v>10</v>
      </c>
      <c r="I25" s="25" t="s">
        <v>6</v>
      </c>
      <c r="J25" s="29">
        <f t="shared" si="0"/>
        <v>17.68</v>
      </c>
      <c r="K25" s="50"/>
      <c r="L25" s="30">
        <f t="shared" si="1"/>
        <v>38.25175104000003</v>
      </c>
      <c r="M25" s="50"/>
      <c r="N25" s="48"/>
      <c r="O25">
        <v>19.5</v>
      </c>
      <c r="P25" s="47"/>
      <c r="Q25" s="46">
        <f t="shared" si="2"/>
        <v>0.32</v>
      </c>
    </row>
    <row r="26" spans="1:17" ht="13.8" thickBot="1" x14ac:dyDescent="0.3">
      <c r="A26" s="16">
        <v>45873</v>
      </c>
      <c r="B26" s="31">
        <v>4.8</v>
      </c>
      <c r="C26" s="32">
        <v>45750</v>
      </c>
      <c r="D26" s="33">
        <v>3.4</v>
      </c>
      <c r="E26" s="32">
        <v>45901</v>
      </c>
      <c r="F26" s="33">
        <v>1.9</v>
      </c>
      <c r="G26" s="34" t="s">
        <v>5</v>
      </c>
      <c r="H26" s="33" t="s">
        <v>5</v>
      </c>
      <c r="I26" s="34" t="s">
        <v>6</v>
      </c>
      <c r="J26" s="36">
        <f t="shared" si="0"/>
        <v>16.7</v>
      </c>
      <c r="K26" s="50"/>
      <c r="L26" s="37">
        <f t="shared" si="1"/>
        <v>51.334359040000045</v>
      </c>
      <c r="M26" s="50"/>
      <c r="N26" s="48"/>
      <c r="O26">
        <v>19.759999999999998</v>
      </c>
      <c r="P26" s="47"/>
      <c r="Q26" s="46">
        <f t="shared" si="2"/>
        <v>0.33333333333333331</v>
      </c>
    </row>
    <row r="27" spans="1:17" ht="13.2" hidden="1" customHeight="1" x14ac:dyDescent="0.25">
      <c r="A27" s="1">
        <v>5</v>
      </c>
      <c r="B27" s="13"/>
      <c r="C27" s="1">
        <v>3</v>
      </c>
      <c r="D27" s="6"/>
      <c r="E27" s="2">
        <v>45809</v>
      </c>
      <c r="F27" s="6"/>
      <c r="G27" s="1" t="s">
        <v>5</v>
      </c>
      <c r="H27" s="6"/>
      <c r="I27" s="1" t="s">
        <v>6</v>
      </c>
      <c r="J27" s="7">
        <f t="shared" si="0"/>
        <v>0</v>
      </c>
      <c r="K27" s="50"/>
      <c r="M27" s="50"/>
      <c r="N27" s="48"/>
      <c r="P27" s="47"/>
      <c r="Q27" s="46">
        <f t="shared" si="2"/>
        <v>0</v>
      </c>
    </row>
    <row r="28" spans="1:17" ht="13.2" hidden="1" customHeight="1" x14ac:dyDescent="0.25">
      <c r="A28" s="1">
        <v>5</v>
      </c>
      <c r="B28" s="13"/>
      <c r="C28" s="2">
        <v>45750</v>
      </c>
      <c r="D28" s="6"/>
      <c r="E28" s="2">
        <v>45809</v>
      </c>
      <c r="F28" s="6"/>
      <c r="G28" s="1" t="s">
        <v>7</v>
      </c>
      <c r="H28" s="6"/>
      <c r="I28" s="1" t="s">
        <v>6</v>
      </c>
      <c r="J28" s="7">
        <f t="shared" si="0"/>
        <v>0</v>
      </c>
      <c r="K28" s="50"/>
      <c r="M28" s="50"/>
      <c r="N28" s="48"/>
      <c r="P28" s="47"/>
      <c r="Q28" s="46">
        <f t="shared" si="2"/>
        <v>0</v>
      </c>
    </row>
    <row r="29" spans="1:17" ht="13.2" hidden="1" customHeight="1" x14ac:dyDescent="0.25">
      <c r="A29" s="2">
        <v>45693</v>
      </c>
      <c r="B29" s="13"/>
      <c r="C29" s="2">
        <v>45780</v>
      </c>
      <c r="D29" s="6"/>
      <c r="E29" s="2">
        <v>45778</v>
      </c>
      <c r="F29" s="6"/>
      <c r="G29" s="1" t="s">
        <v>5</v>
      </c>
      <c r="H29" s="6"/>
      <c r="I29" s="1" t="s">
        <v>6</v>
      </c>
      <c r="J29" s="7">
        <f t="shared" si="0"/>
        <v>0</v>
      </c>
      <c r="K29" s="50"/>
      <c r="M29" s="50"/>
      <c r="N29" s="48"/>
      <c r="P29" s="47"/>
      <c r="Q29" s="46">
        <f t="shared" si="2"/>
        <v>0</v>
      </c>
    </row>
    <row r="30" spans="1:17" ht="13.2" hidden="1" customHeight="1" x14ac:dyDescent="0.25">
      <c r="A30" s="2">
        <v>45693</v>
      </c>
      <c r="B30" s="13"/>
      <c r="C30" s="2">
        <v>45750</v>
      </c>
      <c r="D30" s="6"/>
      <c r="E30" s="2">
        <v>45748</v>
      </c>
      <c r="F30" s="6"/>
      <c r="G30" s="1" t="s">
        <v>5</v>
      </c>
      <c r="H30" s="6"/>
      <c r="I30" s="1" t="s">
        <v>6</v>
      </c>
      <c r="J30" s="7">
        <f t="shared" si="0"/>
        <v>0</v>
      </c>
      <c r="K30" s="50"/>
      <c r="M30" s="50"/>
      <c r="N30" s="48"/>
      <c r="P30" s="47"/>
      <c r="Q30" s="46">
        <f t="shared" si="2"/>
        <v>0</v>
      </c>
    </row>
    <row r="31" spans="1:17" ht="13.2" hidden="1" customHeight="1" x14ac:dyDescent="0.25">
      <c r="A31" s="2">
        <v>45842</v>
      </c>
      <c r="B31" s="13"/>
      <c r="C31" s="2">
        <v>45691</v>
      </c>
      <c r="D31" s="6"/>
      <c r="E31" s="2">
        <v>45809</v>
      </c>
      <c r="F31" s="6"/>
      <c r="G31" s="1" t="s">
        <v>5</v>
      </c>
      <c r="H31" s="6"/>
      <c r="I31" s="1" t="s">
        <v>6</v>
      </c>
      <c r="J31" s="7">
        <f t="shared" si="0"/>
        <v>0</v>
      </c>
      <c r="K31" s="50"/>
      <c r="M31" s="50"/>
      <c r="N31" s="48"/>
      <c r="P31" s="47"/>
      <c r="Q31" s="46">
        <f t="shared" si="2"/>
        <v>0</v>
      </c>
    </row>
    <row r="32" spans="1:17" ht="13.2" hidden="1" customHeight="1" x14ac:dyDescent="0.25">
      <c r="A32" s="2">
        <v>45873</v>
      </c>
      <c r="B32" s="13"/>
      <c r="C32" s="2">
        <v>45660</v>
      </c>
      <c r="D32" s="6"/>
      <c r="E32" s="2">
        <v>45809</v>
      </c>
      <c r="F32" s="6"/>
      <c r="G32" s="1" t="s">
        <v>5</v>
      </c>
      <c r="H32" s="6"/>
      <c r="I32" s="1" t="s">
        <v>6</v>
      </c>
      <c r="J32" s="7">
        <f t="shared" si="0"/>
        <v>0</v>
      </c>
      <c r="K32" s="50"/>
      <c r="M32" s="50"/>
      <c r="N32" s="48"/>
      <c r="P32" s="47"/>
      <c r="Q32" s="46">
        <f t="shared" si="2"/>
        <v>0</v>
      </c>
    </row>
    <row r="33" spans="1:17" ht="13.2" hidden="1" customHeight="1" x14ac:dyDescent="0.25">
      <c r="A33" s="2">
        <v>45752</v>
      </c>
      <c r="B33" s="13"/>
      <c r="C33" s="2">
        <v>45750</v>
      </c>
      <c r="D33" s="6"/>
      <c r="E33" s="2">
        <v>45778</v>
      </c>
      <c r="F33" s="6"/>
      <c r="G33" s="1" t="s">
        <v>7</v>
      </c>
      <c r="H33" s="6"/>
      <c r="I33" s="1" t="s">
        <v>6</v>
      </c>
      <c r="J33" s="7">
        <f t="shared" si="0"/>
        <v>0</v>
      </c>
      <c r="K33" s="50"/>
      <c r="M33" s="50"/>
      <c r="N33" s="48"/>
      <c r="P33" s="47"/>
      <c r="Q33" s="46">
        <f t="shared" si="2"/>
        <v>0</v>
      </c>
    </row>
    <row r="34" spans="1:17" ht="13.2" hidden="1" customHeight="1" x14ac:dyDescent="0.25">
      <c r="A34" s="2">
        <v>45693</v>
      </c>
      <c r="B34" s="13"/>
      <c r="C34" s="2">
        <v>45661</v>
      </c>
      <c r="D34" s="6"/>
      <c r="E34" s="2">
        <v>45778</v>
      </c>
      <c r="F34" s="6"/>
      <c r="G34" s="1" t="s">
        <v>9</v>
      </c>
      <c r="H34" s="6"/>
      <c r="I34" s="1" t="s">
        <v>6</v>
      </c>
      <c r="J34" s="7">
        <f t="shared" ref="J34:J65" si="3">B34*D34+F34*H34</f>
        <v>0</v>
      </c>
      <c r="K34" s="50"/>
      <c r="M34" s="50"/>
      <c r="N34" s="48"/>
      <c r="P34" s="47"/>
      <c r="Q34" s="46">
        <f t="shared" si="2"/>
        <v>0</v>
      </c>
    </row>
    <row r="35" spans="1:17" ht="13.2" hidden="1" customHeight="1" x14ac:dyDescent="0.25">
      <c r="A35" s="2">
        <v>45782</v>
      </c>
      <c r="B35" s="13"/>
      <c r="C35" s="2">
        <v>45692</v>
      </c>
      <c r="D35" s="6"/>
      <c r="E35" s="2">
        <v>45748</v>
      </c>
      <c r="F35" s="6"/>
      <c r="G35" s="1" t="s">
        <v>5</v>
      </c>
      <c r="H35" s="6"/>
      <c r="I35" s="1" t="s">
        <v>6</v>
      </c>
      <c r="J35" s="7">
        <f t="shared" si="3"/>
        <v>0</v>
      </c>
      <c r="K35" s="50"/>
      <c r="M35" s="50"/>
      <c r="N35" s="48"/>
      <c r="P35" s="47"/>
      <c r="Q35" s="46">
        <f t="shared" si="2"/>
        <v>0</v>
      </c>
    </row>
    <row r="36" spans="1:17" ht="13.2" hidden="1" customHeight="1" x14ac:dyDescent="0.25">
      <c r="A36" s="2">
        <v>45904</v>
      </c>
      <c r="B36" s="13"/>
      <c r="C36" s="2">
        <v>45660</v>
      </c>
      <c r="D36" s="6"/>
      <c r="E36" s="2">
        <v>45778</v>
      </c>
      <c r="F36" s="6"/>
      <c r="G36" s="1" t="s">
        <v>5</v>
      </c>
      <c r="H36" s="6"/>
      <c r="I36" s="1" t="s">
        <v>6</v>
      </c>
      <c r="J36" s="7">
        <f t="shared" si="3"/>
        <v>0</v>
      </c>
      <c r="K36" s="50"/>
      <c r="M36" s="50"/>
      <c r="N36" s="48"/>
      <c r="P36" s="47"/>
      <c r="Q36" s="46">
        <f t="shared" si="2"/>
        <v>0</v>
      </c>
    </row>
    <row r="37" spans="1:17" ht="13.2" hidden="1" customHeight="1" x14ac:dyDescent="0.25">
      <c r="A37" s="1">
        <v>5</v>
      </c>
      <c r="B37" s="13"/>
      <c r="C37" s="2">
        <v>45691</v>
      </c>
      <c r="D37" s="6"/>
      <c r="E37" s="2">
        <v>45689</v>
      </c>
      <c r="F37" s="6"/>
      <c r="G37" s="1" t="s">
        <v>5</v>
      </c>
      <c r="H37" s="6"/>
      <c r="I37" s="1" t="s">
        <v>6</v>
      </c>
      <c r="J37" s="7">
        <f t="shared" si="3"/>
        <v>0</v>
      </c>
      <c r="K37" s="50"/>
      <c r="M37" s="50"/>
      <c r="N37" s="48"/>
      <c r="P37" s="47"/>
      <c r="Q37" s="46">
        <f t="shared" si="2"/>
        <v>0</v>
      </c>
    </row>
    <row r="38" spans="1:17" ht="13.2" hidden="1" customHeight="1" x14ac:dyDescent="0.25">
      <c r="A38" s="2">
        <v>45782</v>
      </c>
      <c r="B38" s="13"/>
      <c r="C38" s="2">
        <v>45780</v>
      </c>
      <c r="D38" s="6"/>
      <c r="E38" s="2">
        <v>45717</v>
      </c>
      <c r="F38" s="6"/>
      <c r="G38" s="1" t="s">
        <v>5</v>
      </c>
      <c r="H38" s="6"/>
      <c r="I38" s="1" t="s">
        <v>6</v>
      </c>
      <c r="J38" s="7">
        <f t="shared" si="3"/>
        <v>0</v>
      </c>
      <c r="K38" s="50"/>
      <c r="M38" s="50"/>
      <c r="N38" s="48"/>
      <c r="P38" s="47"/>
      <c r="Q38" s="46">
        <f t="shared" si="2"/>
        <v>0</v>
      </c>
    </row>
    <row r="39" spans="1:17" ht="13.2" hidden="1" customHeight="1" x14ac:dyDescent="0.25">
      <c r="A39" s="2">
        <v>45904</v>
      </c>
      <c r="B39" s="13"/>
      <c r="C39" s="2">
        <v>45811</v>
      </c>
      <c r="D39" s="6"/>
      <c r="E39" s="2">
        <v>45748</v>
      </c>
      <c r="F39" s="6"/>
      <c r="G39" s="1" t="s">
        <v>9</v>
      </c>
      <c r="H39" s="6"/>
      <c r="I39" s="1" t="s">
        <v>6</v>
      </c>
      <c r="J39" s="7">
        <f t="shared" si="3"/>
        <v>0</v>
      </c>
      <c r="K39" s="50"/>
      <c r="M39" s="50"/>
      <c r="N39" s="48"/>
      <c r="P39" s="47"/>
      <c r="Q39" s="46">
        <f t="shared" si="2"/>
        <v>0</v>
      </c>
    </row>
    <row r="40" spans="1:17" ht="13.2" hidden="1" customHeight="1" x14ac:dyDescent="0.25">
      <c r="A40" s="2">
        <v>45751</v>
      </c>
      <c r="B40" s="13"/>
      <c r="C40" s="1">
        <v>3</v>
      </c>
      <c r="D40" s="6"/>
      <c r="E40" s="2">
        <v>45717</v>
      </c>
      <c r="F40" s="6"/>
      <c r="G40" s="1" t="s">
        <v>5</v>
      </c>
      <c r="H40" s="6"/>
      <c r="I40" s="1" t="s">
        <v>6</v>
      </c>
      <c r="J40" s="7">
        <f t="shared" si="3"/>
        <v>0</v>
      </c>
      <c r="K40" s="50"/>
      <c r="M40" s="50"/>
      <c r="N40" s="48"/>
      <c r="P40" s="47"/>
      <c r="Q40" s="46">
        <f t="shared" si="2"/>
        <v>0</v>
      </c>
    </row>
    <row r="41" spans="1:17" ht="13.2" hidden="1" customHeight="1" x14ac:dyDescent="0.25">
      <c r="A41" s="2">
        <v>45662</v>
      </c>
      <c r="B41" s="13"/>
      <c r="C41" s="2">
        <v>45750</v>
      </c>
      <c r="D41" s="6"/>
      <c r="E41" s="2">
        <v>45778</v>
      </c>
      <c r="F41" s="6"/>
      <c r="G41" s="1" t="s">
        <v>5</v>
      </c>
      <c r="H41" s="6"/>
      <c r="I41" s="1" t="s">
        <v>6</v>
      </c>
      <c r="J41" s="7">
        <f t="shared" si="3"/>
        <v>0</v>
      </c>
      <c r="K41" s="50"/>
      <c r="M41" s="50"/>
      <c r="N41" s="48"/>
      <c r="P41" s="47"/>
      <c r="Q41" s="46">
        <f t="shared" si="2"/>
        <v>0</v>
      </c>
    </row>
    <row r="42" spans="1:17" ht="13.2" hidden="1" customHeight="1" x14ac:dyDescent="0.25">
      <c r="A42" s="1">
        <v>5</v>
      </c>
      <c r="B42" s="13"/>
      <c r="C42" s="2">
        <v>45780</v>
      </c>
      <c r="D42" s="6"/>
      <c r="E42" s="2">
        <v>45717</v>
      </c>
      <c r="F42" s="6"/>
      <c r="G42" s="1" t="s">
        <v>8</v>
      </c>
      <c r="H42" s="6"/>
      <c r="I42" s="1" t="s">
        <v>6</v>
      </c>
      <c r="J42" s="7">
        <f t="shared" si="3"/>
        <v>0</v>
      </c>
      <c r="K42" s="50"/>
      <c r="M42" s="50"/>
      <c r="N42" s="48"/>
      <c r="P42" s="47"/>
      <c r="Q42" s="46">
        <f t="shared" si="2"/>
        <v>0</v>
      </c>
    </row>
    <row r="43" spans="1:17" ht="13.2" hidden="1" customHeight="1" x14ac:dyDescent="0.25">
      <c r="A43" s="2">
        <v>45781</v>
      </c>
      <c r="B43" s="13"/>
      <c r="C43" s="2">
        <v>45718</v>
      </c>
      <c r="D43" s="6"/>
      <c r="E43" s="2">
        <v>45717</v>
      </c>
      <c r="F43" s="6"/>
      <c r="G43" s="1" t="s">
        <v>8</v>
      </c>
      <c r="H43" s="6"/>
      <c r="I43" s="1" t="s">
        <v>6</v>
      </c>
      <c r="J43" s="7">
        <f t="shared" si="3"/>
        <v>0</v>
      </c>
      <c r="K43" s="50"/>
      <c r="M43" s="50"/>
      <c r="N43" s="48"/>
      <c r="P43" s="47"/>
      <c r="Q43" s="46">
        <f t="shared" si="2"/>
        <v>0</v>
      </c>
    </row>
    <row r="44" spans="1:17" ht="13.2" hidden="1" customHeight="1" x14ac:dyDescent="0.25">
      <c r="A44" s="2">
        <v>45751</v>
      </c>
      <c r="B44" s="13"/>
      <c r="C44" s="2">
        <v>45691</v>
      </c>
      <c r="D44" s="6"/>
      <c r="E44" s="2">
        <v>45717</v>
      </c>
      <c r="F44" s="6"/>
      <c r="G44" s="1" t="s">
        <v>5</v>
      </c>
      <c r="H44" s="6"/>
      <c r="I44" s="1" t="s">
        <v>6</v>
      </c>
      <c r="J44" s="7">
        <f t="shared" si="3"/>
        <v>0</v>
      </c>
      <c r="K44" s="50"/>
      <c r="M44" s="50"/>
      <c r="N44" s="48"/>
      <c r="P44" s="47"/>
      <c r="Q44" s="46">
        <f t="shared" si="2"/>
        <v>0</v>
      </c>
    </row>
    <row r="45" spans="1:17" ht="13.2" hidden="1" customHeight="1" x14ac:dyDescent="0.25">
      <c r="A45" s="1">
        <v>5</v>
      </c>
      <c r="B45" s="13"/>
      <c r="C45" s="2">
        <v>45780</v>
      </c>
      <c r="D45" s="6"/>
      <c r="E45" s="2">
        <v>45809</v>
      </c>
      <c r="F45" s="6"/>
      <c r="G45" s="1" t="s">
        <v>11</v>
      </c>
      <c r="H45" s="6"/>
      <c r="I45" s="1" t="s">
        <v>6</v>
      </c>
      <c r="J45" s="7">
        <f t="shared" si="3"/>
        <v>0</v>
      </c>
      <c r="K45" s="50"/>
      <c r="M45" s="50"/>
      <c r="N45" s="48"/>
      <c r="P45" s="47"/>
      <c r="Q45" s="46">
        <f t="shared" si="2"/>
        <v>0</v>
      </c>
    </row>
    <row r="46" spans="1:17" ht="13.2" hidden="1" customHeight="1" x14ac:dyDescent="0.25">
      <c r="A46" s="2">
        <v>45662</v>
      </c>
      <c r="B46" s="13"/>
      <c r="C46" s="2">
        <v>45872</v>
      </c>
      <c r="D46" s="6"/>
      <c r="E46" s="2">
        <v>45901</v>
      </c>
      <c r="F46" s="6"/>
      <c r="G46" s="1" t="s">
        <v>7</v>
      </c>
      <c r="H46" s="6"/>
      <c r="I46" s="1" t="s">
        <v>6</v>
      </c>
      <c r="J46" s="7">
        <f t="shared" si="3"/>
        <v>0</v>
      </c>
      <c r="K46" s="50"/>
      <c r="M46" s="50"/>
      <c r="N46" s="48"/>
      <c r="P46" s="47"/>
      <c r="Q46" s="46">
        <f t="shared" si="2"/>
        <v>0</v>
      </c>
    </row>
    <row r="47" spans="1:17" ht="13.2" hidden="1" customHeight="1" x14ac:dyDescent="0.25">
      <c r="A47" s="2">
        <v>45873</v>
      </c>
      <c r="B47" s="13"/>
      <c r="C47" s="1">
        <v>3</v>
      </c>
      <c r="D47" s="6"/>
      <c r="E47" s="2">
        <v>45748</v>
      </c>
      <c r="F47" s="6"/>
      <c r="G47" s="1" t="s">
        <v>8</v>
      </c>
      <c r="H47" s="6"/>
      <c r="I47" s="1" t="s">
        <v>6</v>
      </c>
      <c r="J47" s="7">
        <f t="shared" si="3"/>
        <v>0</v>
      </c>
      <c r="K47" s="50"/>
      <c r="M47" s="50"/>
      <c r="N47" s="48"/>
      <c r="P47" s="47"/>
      <c r="Q47" s="46">
        <f t="shared" si="2"/>
        <v>0</v>
      </c>
    </row>
    <row r="48" spans="1:17" ht="13.2" hidden="1" customHeight="1" x14ac:dyDescent="0.25">
      <c r="A48" s="2">
        <v>45662</v>
      </c>
      <c r="B48" s="13"/>
      <c r="C48" s="2">
        <v>45872</v>
      </c>
      <c r="D48" s="6"/>
      <c r="E48" s="2">
        <v>45809</v>
      </c>
      <c r="F48" s="6"/>
      <c r="G48" s="1" t="s">
        <v>5</v>
      </c>
      <c r="H48" s="6"/>
      <c r="I48" s="1" t="s">
        <v>6</v>
      </c>
      <c r="J48" s="7">
        <f t="shared" si="3"/>
        <v>0</v>
      </c>
      <c r="K48" s="50"/>
      <c r="M48" s="50"/>
      <c r="N48" s="48"/>
      <c r="P48" s="47"/>
      <c r="Q48" s="46">
        <f t="shared" si="2"/>
        <v>0</v>
      </c>
    </row>
    <row r="49" spans="1:17" ht="13.2" hidden="1" customHeight="1" x14ac:dyDescent="0.25">
      <c r="A49" s="2">
        <v>45812</v>
      </c>
      <c r="B49" s="13"/>
      <c r="C49" s="2">
        <v>45691</v>
      </c>
      <c r="D49" s="6"/>
      <c r="E49" s="2">
        <v>45748</v>
      </c>
      <c r="F49" s="6"/>
      <c r="G49" s="1" t="s">
        <v>5</v>
      </c>
      <c r="H49" s="6"/>
      <c r="I49" s="1" t="s">
        <v>6</v>
      </c>
      <c r="J49" s="7">
        <f t="shared" si="3"/>
        <v>0</v>
      </c>
      <c r="K49" s="50"/>
      <c r="M49" s="50"/>
      <c r="N49" s="48"/>
      <c r="P49" s="47"/>
      <c r="Q49" s="46">
        <f t="shared" si="2"/>
        <v>0</v>
      </c>
    </row>
    <row r="50" spans="1:17" ht="13.2" hidden="1" customHeight="1" x14ac:dyDescent="0.25">
      <c r="A50" s="2">
        <v>45721</v>
      </c>
      <c r="B50" s="13"/>
      <c r="C50" s="2">
        <v>45841</v>
      </c>
      <c r="D50" s="6"/>
      <c r="E50" s="2">
        <v>45778</v>
      </c>
      <c r="F50" s="6"/>
      <c r="G50" s="1" t="s">
        <v>5</v>
      </c>
      <c r="H50" s="6"/>
      <c r="I50" s="1" t="s">
        <v>6</v>
      </c>
      <c r="J50" s="7">
        <f t="shared" si="3"/>
        <v>0</v>
      </c>
      <c r="K50" s="50"/>
      <c r="M50" s="50"/>
      <c r="N50" s="48"/>
      <c r="P50" s="47"/>
      <c r="Q50" s="46">
        <f t="shared" si="2"/>
        <v>0</v>
      </c>
    </row>
    <row r="51" spans="1:17" ht="13.8" hidden="1" customHeight="1" thickBot="1" x14ac:dyDescent="0.3">
      <c r="A51" s="1">
        <v>5</v>
      </c>
      <c r="B51" s="13"/>
      <c r="C51" s="2">
        <v>45719</v>
      </c>
      <c r="D51" s="6"/>
      <c r="E51" s="2">
        <v>45748</v>
      </c>
      <c r="F51" s="6"/>
      <c r="G51" s="1" t="s">
        <v>5</v>
      </c>
      <c r="H51" s="6"/>
      <c r="I51" s="1" t="s">
        <v>6</v>
      </c>
      <c r="J51" s="7">
        <f t="shared" si="3"/>
        <v>0</v>
      </c>
      <c r="K51" s="50"/>
      <c r="M51" s="50"/>
      <c r="N51" s="48"/>
      <c r="P51" s="47"/>
      <c r="Q51" s="46">
        <f t="shared" si="2"/>
        <v>0</v>
      </c>
    </row>
    <row r="52" spans="1:17" ht="13.8" thickBot="1" x14ac:dyDescent="0.3">
      <c r="A52" s="1">
        <v>7</v>
      </c>
      <c r="B52" s="38">
        <v>7</v>
      </c>
      <c r="C52" s="18">
        <v>45691</v>
      </c>
      <c r="D52" s="39">
        <v>3.2</v>
      </c>
      <c r="E52" s="18">
        <v>45842</v>
      </c>
      <c r="F52" s="40">
        <v>4.7</v>
      </c>
      <c r="G52" s="18">
        <v>45748</v>
      </c>
      <c r="H52" s="39">
        <v>1.4</v>
      </c>
      <c r="I52" s="20" t="s">
        <v>12</v>
      </c>
      <c r="J52" s="22">
        <f t="shared" si="3"/>
        <v>28.980000000000004</v>
      </c>
      <c r="K52" s="50"/>
      <c r="L52" s="23">
        <f>POWER(J52-K$2, 2)</f>
        <v>26.165271040000015</v>
      </c>
      <c r="M52" s="50"/>
      <c r="N52" s="48"/>
      <c r="O52">
        <v>19.829999999999998</v>
      </c>
      <c r="P52" s="47"/>
      <c r="Q52" s="46">
        <f t="shared" si="2"/>
        <v>0.34666666666666668</v>
      </c>
    </row>
    <row r="53" spans="1:17" ht="13.8" thickBot="1" x14ac:dyDescent="0.3">
      <c r="A53" s="2">
        <v>45753</v>
      </c>
      <c r="B53" s="41">
        <v>6.4</v>
      </c>
      <c r="C53" s="27">
        <v>45691</v>
      </c>
      <c r="D53" s="42">
        <v>3.2</v>
      </c>
      <c r="E53" s="27">
        <v>45781</v>
      </c>
      <c r="F53" s="42">
        <v>4.5</v>
      </c>
      <c r="G53" s="27">
        <v>45778</v>
      </c>
      <c r="H53" s="42">
        <v>1.5</v>
      </c>
      <c r="I53" s="25" t="s">
        <v>12</v>
      </c>
      <c r="J53" s="29">
        <f t="shared" si="3"/>
        <v>27.230000000000004</v>
      </c>
      <c r="K53" s="50"/>
      <c r="L53" s="23">
        <f t="shared" ref="L53:L116" si="4">POWER(J53-K$2, 2)</f>
        <v>11.324571040000011</v>
      </c>
      <c r="M53" s="50"/>
      <c r="N53" s="48"/>
      <c r="O53">
        <v>19.899999999999999</v>
      </c>
      <c r="P53" s="47"/>
      <c r="Q53" s="46">
        <f t="shared" si="2"/>
        <v>0.36</v>
      </c>
    </row>
    <row r="54" spans="1:17" ht="13.8" thickBot="1" x14ac:dyDescent="0.3">
      <c r="A54" s="2">
        <v>45906</v>
      </c>
      <c r="B54" s="41">
        <v>6.9</v>
      </c>
      <c r="C54" s="27">
        <v>45660</v>
      </c>
      <c r="D54" s="42">
        <v>3.1</v>
      </c>
      <c r="E54" s="27">
        <v>45904</v>
      </c>
      <c r="F54" s="42">
        <v>4.9000000000000004</v>
      </c>
      <c r="G54" s="27">
        <v>45778</v>
      </c>
      <c r="H54" s="42">
        <v>1.5</v>
      </c>
      <c r="I54" s="25" t="s">
        <v>12</v>
      </c>
      <c r="J54" s="29">
        <f t="shared" si="3"/>
        <v>28.740000000000002</v>
      </c>
      <c r="K54" s="50"/>
      <c r="L54" s="23">
        <f t="shared" si="4"/>
        <v>23.767575039999997</v>
      </c>
      <c r="M54" s="50"/>
      <c r="N54" s="48"/>
      <c r="O54">
        <v>20.280000000000005</v>
      </c>
      <c r="P54" s="47"/>
      <c r="Q54" s="46">
        <f t="shared" si="2"/>
        <v>0.37333333333333335</v>
      </c>
    </row>
    <row r="55" spans="1:17" ht="13.8" thickBot="1" x14ac:dyDescent="0.3">
      <c r="A55" s="2">
        <v>45782</v>
      </c>
      <c r="B55" s="41">
        <v>5.5</v>
      </c>
      <c r="C55" s="27">
        <v>45718</v>
      </c>
      <c r="D55" s="42">
        <v>2.2999999999999998</v>
      </c>
      <c r="E55" s="25">
        <v>4</v>
      </c>
      <c r="F55" s="42">
        <v>4</v>
      </c>
      <c r="G55" s="27">
        <v>45717</v>
      </c>
      <c r="H55" s="42">
        <v>1.3</v>
      </c>
      <c r="I55" s="25" t="s">
        <v>12</v>
      </c>
      <c r="J55" s="29">
        <f t="shared" si="3"/>
        <v>17.849999999999998</v>
      </c>
      <c r="K55" s="50"/>
      <c r="L55" s="23">
        <f t="shared" si="4"/>
        <v>36.177819040000053</v>
      </c>
      <c r="M55" s="50"/>
      <c r="N55" s="48"/>
      <c r="O55">
        <v>20.39</v>
      </c>
      <c r="P55" s="47"/>
      <c r="Q55" s="46">
        <f t="shared" si="2"/>
        <v>0.38666666666666666</v>
      </c>
    </row>
    <row r="56" spans="1:17" ht="13.8" thickBot="1" x14ac:dyDescent="0.3">
      <c r="A56" s="2">
        <v>45783</v>
      </c>
      <c r="B56" s="41">
        <v>6.5</v>
      </c>
      <c r="C56" s="27">
        <v>45871</v>
      </c>
      <c r="D56" s="42">
        <v>2.8</v>
      </c>
      <c r="E56" s="27">
        <v>45812</v>
      </c>
      <c r="F56" s="42">
        <v>4.5999999999999996</v>
      </c>
      <c r="G56" s="27">
        <v>45778</v>
      </c>
      <c r="H56" s="42">
        <v>1.5</v>
      </c>
      <c r="I56" s="25" t="s">
        <v>12</v>
      </c>
      <c r="J56" s="29">
        <f t="shared" si="3"/>
        <v>25.099999999999998</v>
      </c>
      <c r="K56" s="50"/>
      <c r="L56" s="23">
        <f t="shared" si="4"/>
        <v>1.5257190399999887</v>
      </c>
      <c r="M56" s="50"/>
      <c r="N56" s="48"/>
      <c r="O56">
        <v>20.700000000000003</v>
      </c>
      <c r="P56" s="47"/>
      <c r="Q56" s="46">
        <f t="shared" si="2"/>
        <v>0.4</v>
      </c>
    </row>
    <row r="57" spans="1:17" ht="13.8" thickBot="1" x14ac:dyDescent="0.3">
      <c r="A57" s="2">
        <v>45843</v>
      </c>
      <c r="B57" s="41">
        <v>5.7</v>
      </c>
      <c r="C57" s="27">
        <v>45871</v>
      </c>
      <c r="D57" s="42">
        <v>2.8</v>
      </c>
      <c r="E57" s="27">
        <v>45781</v>
      </c>
      <c r="F57" s="42">
        <v>4.5</v>
      </c>
      <c r="G57" s="27">
        <v>45717</v>
      </c>
      <c r="H57" s="42">
        <v>1.3</v>
      </c>
      <c r="I57" s="25" t="s">
        <v>12</v>
      </c>
      <c r="J57" s="29">
        <f t="shared" si="3"/>
        <v>21.81</v>
      </c>
      <c r="K57" s="50"/>
      <c r="L57" s="23">
        <f t="shared" si="4"/>
        <v>4.2222030400000152</v>
      </c>
      <c r="M57" s="50"/>
      <c r="N57" s="48"/>
      <c r="O57">
        <v>20.919999999999998</v>
      </c>
      <c r="P57" s="47"/>
      <c r="Q57" s="46">
        <f t="shared" si="2"/>
        <v>0.41333333333333333</v>
      </c>
    </row>
    <row r="58" spans="1:17" ht="13.8" thickBot="1" x14ac:dyDescent="0.3">
      <c r="A58" s="2">
        <v>45722</v>
      </c>
      <c r="B58" s="41">
        <v>6.3</v>
      </c>
      <c r="C58" s="27">
        <v>45719</v>
      </c>
      <c r="D58" s="42">
        <v>3.3</v>
      </c>
      <c r="E58" s="27">
        <v>45842</v>
      </c>
      <c r="F58" s="42">
        <v>4.7</v>
      </c>
      <c r="G58" s="27">
        <v>45809</v>
      </c>
      <c r="H58" s="42">
        <v>1.6</v>
      </c>
      <c r="I58" s="25" t="s">
        <v>12</v>
      </c>
      <c r="J58" s="29">
        <f t="shared" si="3"/>
        <v>28.31</v>
      </c>
      <c r="K58" s="50"/>
      <c r="L58" s="23">
        <f t="shared" si="4"/>
        <v>19.759803039999966</v>
      </c>
      <c r="M58" s="50"/>
      <c r="N58" s="48"/>
      <c r="O58">
        <v>21.580000000000002</v>
      </c>
      <c r="P58" s="47"/>
      <c r="Q58" s="46">
        <f t="shared" si="2"/>
        <v>0.42666666666666669</v>
      </c>
    </row>
    <row r="59" spans="1:17" ht="13.8" thickBot="1" x14ac:dyDescent="0.3">
      <c r="A59" s="2">
        <v>45904</v>
      </c>
      <c r="B59" s="41">
        <v>4.9000000000000004</v>
      </c>
      <c r="C59" s="27">
        <v>45749</v>
      </c>
      <c r="D59" s="42">
        <v>2.4</v>
      </c>
      <c r="E59" s="27">
        <v>45719</v>
      </c>
      <c r="F59" s="42">
        <v>3.3</v>
      </c>
      <c r="G59" s="25">
        <v>1</v>
      </c>
      <c r="H59" s="42">
        <v>1</v>
      </c>
      <c r="I59" s="25" t="s">
        <v>12</v>
      </c>
      <c r="J59" s="29">
        <f t="shared" si="3"/>
        <v>15.059999999999999</v>
      </c>
      <c r="K59" s="50"/>
      <c r="L59" s="23">
        <f t="shared" si="4"/>
        <v>77.52450304000007</v>
      </c>
      <c r="M59" s="50"/>
      <c r="N59" s="48"/>
      <c r="O59">
        <v>21.740000000000002</v>
      </c>
      <c r="P59" s="47"/>
      <c r="Q59" s="46">
        <f t="shared" si="2"/>
        <v>0.44</v>
      </c>
    </row>
    <row r="60" spans="1:17" ht="13.8" thickBot="1" x14ac:dyDescent="0.3">
      <c r="A60" s="2">
        <v>45814</v>
      </c>
      <c r="B60" s="41">
        <v>6.6</v>
      </c>
      <c r="C60" s="27">
        <v>45902</v>
      </c>
      <c r="D60" s="42">
        <v>2.9</v>
      </c>
      <c r="E60" s="27">
        <v>45812</v>
      </c>
      <c r="F60" s="42">
        <v>4.5999999999999996</v>
      </c>
      <c r="G60" s="27">
        <v>45717</v>
      </c>
      <c r="H60" s="42">
        <v>1.3</v>
      </c>
      <c r="I60" s="25" t="s">
        <v>12</v>
      </c>
      <c r="J60" s="29">
        <f t="shared" si="3"/>
        <v>25.119999999999997</v>
      </c>
      <c r="K60" s="50"/>
      <c r="L60" s="23">
        <f t="shared" si="4"/>
        <v>1.5755270399999874</v>
      </c>
      <c r="M60" s="50"/>
      <c r="N60" s="48"/>
      <c r="O60">
        <v>21.81</v>
      </c>
      <c r="P60" s="47"/>
      <c r="Q60" s="46">
        <f t="shared" si="2"/>
        <v>0.45333333333333331</v>
      </c>
    </row>
    <row r="61" spans="1:17" ht="13.8" thickBot="1" x14ac:dyDescent="0.3">
      <c r="A61" s="2">
        <v>45693</v>
      </c>
      <c r="B61" s="41">
        <v>5.2</v>
      </c>
      <c r="C61" s="27">
        <v>45840</v>
      </c>
      <c r="D61" s="42">
        <v>2.7</v>
      </c>
      <c r="E61" s="27">
        <v>45903</v>
      </c>
      <c r="F61" s="42">
        <v>3.9</v>
      </c>
      <c r="G61" s="27">
        <v>45748</v>
      </c>
      <c r="H61" s="42">
        <v>1.4</v>
      </c>
      <c r="I61" s="25" t="s">
        <v>12</v>
      </c>
      <c r="J61" s="29">
        <f t="shared" si="3"/>
        <v>19.5</v>
      </c>
      <c r="K61" s="50"/>
      <c r="L61" s="23">
        <f t="shared" si="4"/>
        <v>19.051479040000022</v>
      </c>
      <c r="M61" s="50"/>
      <c r="N61" s="48"/>
      <c r="O61">
        <v>22.17</v>
      </c>
      <c r="P61" s="47"/>
      <c r="Q61" s="46">
        <f t="shared" si="2"/>
        <v>0.46666666666666667</v>
      </c>
    </row>
    <row r="62" spans="1:17" ht="13.8" thickBot="1" x14ac:dyDescent="0.3">
      <c r="A62" s="1">
        <v>5</v>
      </c>
      <c r="B62" s="41">
        <v>5</v>
      </c>
      <c r="C62" s="25">
        <v>2</v>
      </c>
      <c r="D62" s="42">
        <v>2</v>
      </c>
      <c r="E62" s="27">
        <v>45780</v>
      </c>
      <c r="F62" s="42">
        <v>3.5</v>
      </c>
      <c r="G62" s="25">
        <v>1</v>
      </c>
      <c r="H62" s="42">
        <v>1</v>
      </c>
      <c r="I62" s="25" t="s">
        <v>12</v>
      </c>
      <c r="J62" s="29">
        <f t="shared" si="3"/>
        <v>13.5</v>
      </c>
      <c r="K62" s="50"/>
      <c r="L62" s="23">
        <f t="shared" si="4"/>
        <v>107.42907904000005</v>
      </c>
      <c r="M62" s="50"/>
      <c r="N62" s="48"/>
      <c r="O62">
        <v>22.279999999999998</v>
      </c>
      <c r="P62" s="47"/>
      <c r="Q62" s="46">
        <f t="shared" si="2"/>
        <v>0.48</v>
      </c>
    </row>
    <row r="63" spans="1:17" ht="13.8" thickBot="1" x14ac:dyDescent="0.3">
      <c r="A63" s="2">
        <v>45905</v>
      </c>
      <c r="B63" s="41">
        <v>5.9</v>
      </c>
      <c r="C63" s="25">
        <v>3</v>
      </c>
      <c r="D63" s="42">
        <v>3</v>
      </c>
      <c r="E63" s="27">
        <v>45692</v>
      </c>
      <c r="F63" s="42">
        <v>4.2</v>
      </c>
      <c r="G63" s="27">
        <v>45778</v>
      </c>
      <c r="H63" s="42">
        <v>1.5</v>
      </c>
      <c r="I63" s="25" t="s">
        <v>12</v>
      </c>
      <c r="J63" s="29">
        <f t="shared" si="3"/>
        <v>24.000000000000004</v>
      </c>
      <c r="K63" s="50"/>
      <c r="L63" s="23">
        <f t="shared" si="4"/>
        <v>1.8279040000000298E-2</v>
      </c>
      <c r="M63" s="50"/>
      <c r="N63" s="48"/>
      <c r="O63">
        <v>22.72</v>
      </c>
      <c r="P63" s="47"/>
      <c r="Q63" s="46">
        <f t="shared" si="2"/>
        <v>0.49333333333333335</v>
      </c>
    </row>
    <row r="64" spans="1:17" ht="13.8" thickBot="1" x14ac:dyDescent="0.3">
      <c r="A64" s="1">
        <v>6</v>
      </c>
      <c r="B64" s="41">
        <v>6</v>
      </c>
      <c r="C64" s="27">
        <v>45690</v>
      </c>
      <c r="D64" s="42">
        <v>2.2000000000000002</v>
      </c>
      <c r="E64" s="25">
        <v>4</v>
      </c>
      <c r="F64" s="42">
        <v>4</v>
      </c>
      <c r="G64" s="25">
        <v>1</v>
      </c>
      <c r="H64" s="42">
        <v>1</v>
      </c>
      <c r="I64" s="25" t="s">
        <v>12</v>
      </c>
      <c r="J64" s="29">
        <f t="shared" si="3"/>
        <v>17.200000000000003</v>
      </c>
      <c r="K64" s="50"/>
      <c r="L64" s="23">
        <f t="shared" si="4"/>
        <v>44.419559039999996</v>
      </c>
      <c r="M64" s="50"/>
      <c r="N64" s="48"/>
      <c r="O64">
        <v>23.1</v>
      </c>
      <c r="P64" s="47"/>
      <c r="Q64" s="46">
        <f t="shared" si="2"/>
        <v>0.50666666666666671</v>
      </c>
    </row>
    <row r="65" spans="1:17" ht="13.8" thickBot="1" x14ac:dyDescent="0.3">
      <c r="A65" s="2">
        <v>45663</v>
      </c>
      <c r="B65" s="41">
        <v>6.1</v>
      </c>
      <c r="C65" s="27">
        <v>45902</v>
      </c>
      <c r="D65" s="42">
        <v>2.9</v>
      </c>
      <c r="E65" s="27">
        <v>45842</v>
      </c>
      <c r="F65" s="42">
        <v>4.7</v>
      </c>
      <c r="G65" s="27">
        <v>45748</v>
      </c>
      <c r="H65" s="42">
        <v>1.4</v>
      </c>
      <c r="I65" s="25" t="s">
        <v>12</v>
      </c>
      <c r="J65" s="29">
        <f t="shared" si="3"/>
        <v>24.269999999999996</v>
      </c>
      <c r="K65" s="50"/>
      <c r="L65" s="23">
        <f t="shared" si="4"/>
        <v>0.16418703999999479</v>
      </c>
      <c r="M65" s="50"/>
      <c r="N65" s="48"/>
      <c r="O65">
        <v>23.439999999999998</v>
      </c>
      <c r="P65" s="47"/>
      <c r="Q65" s="46">
        <f t="shared" si="2"/>
        <v>0.52</v>
      </c>
    </row>
    <row r="66" spans="1:17" ht="13.8" thickBot="1" x14ac:dyDescent="0.3">
      <c r="A66" s="2">
        <v>45813</v>
      </c>
      <c r="B66" s="41">
        <v>5.6</v>
      </c>
      <c r="C66" s="27">
        <v>45902</v>
      </c>
      <c r="D66" s="42">
        <v>2.9</v>
      </c>
      <c r="E66" s="27">
        <v>45811</v>
      </c>
      <c r="F66" s="42">
        <v>3.6</v>
      </c>
      <c r="G66" s="27">
        <v>45717</v>
      </c>
      <c r="H66" s="42">
        <v>1.3</v>
      </c>
      <c r="I66" s="25" t="s">
        <v>12</v>
      </c>
      <c r="J66" s="29">
        <f t="shared" ref="J66:J97" si="5">B66*D66+F66*H66</f>
        <v>20.919999999999998</v>
      </c>
      <c r="K66" s="50"/>
      <c r="L66" s="23">
        <f t="shared" si="4"/>
        <v>8.671847040000026</v>
      </c>
      <c r="M66" s="50"/>
      <c r="N66" s="48"/>
      <c r="O66">
        <v>23.549999999999997</v>
      </c>
      <c r="P66" s="47"/>
      <c r="Q66" s="46">
        <f t="shared" si="2"/>
        <v>0.53333333333333333</v>
      </c>
    </row>
    <row r="67" spans="1:17" ht="13.8" thickBot="1" x14ac:dyDescent="0.3">
      <c r="A67" s="2">
        <v>45844</v>
      </c>
      <c r="B67" s="41">
        <v>6.7</v>
      </c>
      <c r="C67" s="27">
        <v>45660</v>
      </c>
      <c r="D67" s="42">
        <v>3.1</v>
      </c>
      <c r="E67" s="27">
        <v>45751</v>
      </c>
      <c r="F67" s="42">
        <v>4.4000000000000004</v>
      </c>
      <c r="G67" s="27">
        <v>45748</v>
      </c>
      <c r="H67" s="42">
        <v>1.4</v>
      </c>
      <c r="I67" s="25" t="s">
        <v>12</v>
      </c>
      <c r="J67" s="29">
        <f t="shared" si="5"/>
        <v>26.93</v>
      </c>
      <c r="K67" s="50"/>
      <c r="L67" s="23">
        <f t="shared" si="4"/>
        <v>9.3954510399999833</v>
      </c>
      <c r="M67" s="50"/>
      <c r="N67" s="48"/>
      <c r="O67">
        <v>24.000000000000004</v>
      </c>
      <c r="P67" s="47"/>
      <c r="Q67" s="46">
        <f t="shared" ref="Q67:Q126" si="6">COUNTIF($O$2:$O$126, "&lt;="&amp;O67)/75</f>
        <v>0.54666666666666663</v>
      </c>
    </row>
    <row r="68" spans="1:17" ht="13.8" thickBot="1" x14ac:dyDescent="0.3">
      <c r="A68" s="2">
        <v>45813</v>
      </c>
      <c r="B68" s="41">
        <v>5.6</v>
      </c>
      <c r="C68" s="25">
        <v>3</v>
      </c>
      <c r="D68" s="42">
        <v>3</v>
      </c>
      <c r="E68" s="27">
        <v>45781</v>
      </c>
      <c r="F68" s="42">
        <v>4.5</v>
      </c>
      <c r="G68" s="27">
        <v>45778</v>
      </c>
      <c r="H68" s="42">
        <v>1.5</v>
      </c>
      <c r="I68" s="25" t="s">
        <v>12</v>
      </c>
      <c r="J68" s="29">
        <f t="shared" si="5"/>
        <v>23.549999999999997</v>
      </c>
      <c r="K68" s="50"/>
      <c r="L68" s="23">
        <f t="shared" si="4"/>
        <v>9.909904000000333E-2</v>
      </c>
      <c r="M68" s="50"/>
      <c r="N68" s="48"/>
      <c r="O68">
        <v>24.15</v>
      </c>
      <c r="P68" s="47"/>
      <c r="Q68" s="46">
        <f t="shared" si="6"/>
        <v>0.56000000000000005</v>
      </c>
    </row>
    <row r="69" spans="1:17" ht="13.8" thickBot="1" x14ac:dyDescent="0.3">
      <c r="A69" s="2">
        <v>45874</v>
      </c>
      <c r="B69" s="41">
        <v>5.8</v>
      </c>
      <c r="C69" s="27">
        <v>45840</v>
      </c>
      <c r="D69" s="42">
        <v>2.7</v>
      </c>
      <c r="E69" s="27">
        <v>45661</v>
      </c>
      <c r="F69" s="42">
        <v>4.0999999999999996</v>
      </c>
      <c r="G69" s="25">
        <v>1</v>
      </c>
      <c r="H69" s="42">
        <v>1</v>
      </c>
      <c r="I69" s="25" t="s">
        <v>12</v>
      </c>
      <c r="J69" s="29">
        <f t="shared" si="5"/>
        <v>19.759999999999998</v>
      </c>
      <c r="K69" s="50"/>
      <c r="L69" s="23">
        <f t="shared" si="4"/>
        <v>16.849383040000035</v>
      </c>
      <c r="M69" s="50"/>
      <c r="N69" s="48"/>
      <c r="O69">
        <v>24.25</v>
      </c>
      <c r="P69" s="47"/>
      <c r="Q69" s="46">
        <f t="shared" si="6"/>
        <v>0.57333333333333336</v>
      </c>
    </row>
    <row r="70" spans="1:17" ht="13.8" thickBot="1" x14ac:dyDescent="0.3">
      <c r="A70" s="2">
        <v>45694</v>
      </c>
      <c r="B70" s="41">
        <v>6.2</v>
      </c>
      <c r="C70" s="27">
        <v>45690</v>
      </c>
      <c r="D70" s="42">
        <v>2.2000000000000002</v>
      </c>
      <c r="E70" s="27">
        <v>45781</v>
      </c>
      <c r="F70" s="42">
        <v>4.5</v>
      </c>
      <c r="G70" s="27">
        <v>45778</v>
      </c>
      <c r="H70" s="42">
        <v>1.5</v>
      </c>
      <c r="I70" s="25" t="s">
        <v>12</v>
      </c>
      <c r="J70" s="29">
        <f t="shared" si="5"/>
        <v>20.39</v>
      </c>
      <c r="K70" s="50"/>
      <c r="L70" s="23">
        <f t="shared" si="4"/>
        <v>12.074235040000014</v>
      </c>
      <c r="M70" s="50"/>
      <c r="N70" s="48"/>
      <c r="O70">
        <v>24.269999999999996</v>
      </c>
      <c r="P70" s="47"/>
      <c r="Q70" s="46">
        <f t="shared" si="6"/>
        <v>0.58666666666666667</v>
      </c>
    </row>
    <row r="71" spans="1:17" ht="13.8" thickBot="1" x14ac:dyDescent="0.3">
      <c r="A71" s="2">
        <v>45813</v>
      </c>
      <c r="B71" s="41">
        <v>5.6</v>
      </c>
      <c r="C71" s="27">
        <v>45779</v>
      </c>
      <c r="D71" s="42">
        <v>2.5</v>
      </c>
      <c r="E71" s="27">
        <v>45903</v>
      </c>
      <c r="F71" s="42">
        <v>3.9</v>
      </c>
      <c r="G71" s="27">
        <v>45658</v>
      </c>
      <c r="H71" s="42">
        <v>1.1000000000000001</v>
      </c>
      <c r="I71" s="25" t="s">
        <v>12</v>
      </c>
      <c r="J71" s="29">
        <f t="shared" si="5"/>
        <v>18.29</v>
      </c>
      <c r="K71" s="50"/>
      <c r="L71" s="23">
        <f t="shared" si="4"/>
        <v>31.078395040000036</v>
      </c>
      <c r="M71" s="50"/>
      <c r="N71" s="48"/>
      <c r="O71">
        <v>25.099999999999998</v>
      </c>
      <c r="P71" s="47"/>
      <c r="Q71" s="46">
        <f t="shared" si="6"/>
        <v>0.6</v>
      </c>
    </row>
    <row r="72" spans="1:17" ht="13.8" thickBot="1" x14ac:dyDescent="0.3">
      <c r="A72" s="2">
        <v>45905</v>
      </c>
      <c r="B72" s="41">
        <v>5.9</v>
      </c>
      <c r="C72" s="27">
        <v>45691</v>
      </c>
      <c r="D72" s="42">
        <v>3.2</v>
      </c>
      <c r="E72" s="27">
        <v>45873</v>
      </c>
      <c r="F72" s="42">
        <v>4.8</v>
      </c>
      <c r="G72" s="27">
        <v>45870</v>
      </c>
      <c r="H72" s="42">
        <v>1.8</v>
      </c>
      <c r="I72" s="25" t="s">
        <v>12</v>
      </c>
      <c r="J72" s="29">
        <f t="shared" si="5"/>
        <v>27.520000000000003</v>
      </c>
      <c r="K72" s="50"/>
      <c r="L72" s="23">
        <f t="shared" si="4"/>
        <v>13.360487040000004</v>
      </c>
      <c r="M72" s="50"/>
      <c r="N72" s="48"/>
      <c r="O72">
        <v>25.119999999999997</v>
      </c>
      <c r="P72" s="47"/>
      <c r="Q72" s="46">
        <f t="shared" si="6"/>
        <v>0.61333333333333329</v>
      </c>
    </row>
    <row r="73" spans="1:17" ht="13.8" thickBot="1" x14ac:dyDescent="0.3">
      <c r="A73" s="2">
        <v>45663</v>
      </c>
      <c r="B73" s="41">
        <v>6.1</v>
      </c>
      <c r="C73" s="27">
        <v>45871</v>
      </c>
      <c r="D73" s="42">
        <v>2.8</v>
      </c>
      <c r="E73" s="25">
        <v>4</v>
      </c>
      <c r="F73" s="42">
        <v>4</v>
      </c>
      <c r="G73" s="27">
        <v>45717</v>
      </c>
      <c r="H73" s="42">
        <v>1.3</v>
      </c>
      <c r="I73" s="25" t="s">
        <v>12</v>
      </c>
      <c r="J73" s="29">
        <f t="shared" si="5"/>
        <v>22.279999999999998</v>
      </c>
      <c r="K73" s="50"/>
      <c r="L73" s="23">
        <f t="shared" si="4"/>
        <v>2.5115910400000154</v>
      </c>
      <c r="M73" s="50"/>
      <c r="N73" s="48"/>
      <c r="O73">
        <v>25.35</v>
      </c>
      <c r="P73" s="47"/>
      <c r="Q73" s="46">
        <f t="shared" si="6"/>
        <v>0.62666666666666671</v>
      </c>
    </row>
    <row r="74" spans="1:17" ht="13.8" thickBot="1" x14ac:dyDescent="0.3">
      <c r="A74" s="2">
        <v>45722</v>
      </c>
      <c r="B74" s="41">
        <v>6.3</v>
      </c>
      <c r="C74" s="27">
        <v>45779</v>
      </c>
      <c r="D74" s="42">
        <v>2.5</v>
      </c>
      <c r="E74" s="27">
        <v>45904</v>
      </c>
      <c r="F74" s="42">
        <v>4.9000000000000004</v>
      </c>
      <c r="G74" s="27">
        <v>45778</v>
      </c>
      <c r="H74" s="42">
        <v>1.5</v>
      </c>
      <c r="I74" s="25" t="s">
        <v>12</v>
      </c>
      <c r="J74" s="29">
        <f t="shared" si="5"/>
        <v>23.1</v>
      </c>
      <c r="K74" s="50"/>
      <c r="L74" s="23">
        <f t="shared" si="4"/>
        <v>0.58491904000000161</v>
      </c>
      <c r="M74" s="50"/>
      <c r="N74" s="48"/>
      <c r="O74">
        <v>25.479999999999997</v>
      </c>
      <c r="P74" s="47"/>
      <c r="Q74" s="46">
        <f t="shared" si="6"/>
        <v>0.64</v>
      </c>
    </row>
    <row r="75" spans="1:17" ht="13.8" thickBot="1" x14ac:dyDescent="0.3">
      <c r="A75" s="2">
        <v>45663</v>
      </c>
      <c r="B75" s="41">
        <v>6.1</v>
      </c>
      <c r="C75" s="27">
        <v>45871</v>
      </c>
      <c r="D75" s="42">
        <v>2.8</v>
      </c>
      <c r="E75" s="27">
        <v>45842</v>
      </c>
      <c r="F75" s="42">
        <v>4.7</v>
      </c>
      <c r="G75" s="27">
        <v>45689</v>
      </c>
      <c r="H75" s="42">
        <v>1.2</v>
      </c>
      <c r="I75" s="25" t="s">
        <v>12</v>
      </c>
      <c r="J75" s="29">
        <f t="shared" si="5"/>
        <v>22.72</v>
      </c>
      <c r="K75" s="50"/>
      <c r="L75" s="23">
        <f t="shared" si="4"/>
        <v>1.3105670400000082</v>
      </c>
      <c r="M75" s="50"/>
      <c r="N75" s="48"/>
      <c r="O75">
        <v>25.680000000000003</v>
      </c>
      <c r="P75" s="47"/>
      <c r="Q75" s="46">
        <f t="shared" si="6"/>
        <v>0.65333333333333332</v>
      </c>
    </row>
    <row r="76" spans="1:17" ht="13.8" thickBot="1" x14ac:dyDescent="0.3">
      <c r="A76" s="2">
        <v>45753</v>
      </c>
      <c r="B76" s="43">
        <v>6.4</v>
      </c>
      <c r="C76" s="32">
        <v>45902</v>
      </c>
      <c r="D76" s="44">
        <v>2.9</v>
      </c>
      <c r="E76" s="32">
        <v>45720</v>
      </c>
      <c r="F76" s="44">
        <v>4.3</v>
      </c>
      <c r="G76" s="32">
        <v>45717</v>
      </c>
      <c r="H76" s="44">
        <v>1.3</v>
      </c>
      <c r="I76" s="34" t="s">
        <v>12</v>
      </c>
      <c r="J76" s="36">
        <f t="shared" si="5"/>
        <v>24.15</v>
      </c>
      <c r="K76" s="50"/>
      <c r="L76" s="23">
        <f t="shared" si="4"/>
        <v>8.1339039999997795E-2</v>
      </c>
      <c r="M76" s="50"/>
      <c r="N76" s="48"/>
      <c r="O76">
        <v>25.830000000000002</v>
      </c>
      <c r="P76" s="47"/>
      <c r="Q76" s="46">
        <f t="shared" si="6"/>
        <v>0.66666666666666663</v>
      </c>
    </row>
    <row r="77" spans="1:17" ht="13.2" hidden="1" customHeight="1" x14ac:dyDescent="0.25">
      <c r="A77" s="2">
        <v>45814</v>
      </c>
      <c r="B77" s="13"/>
      <c r="C77" s="1">
        <v>3</v>
      </c>
      <c r="D77" s="13"/>
      <c r="E77" s="2">
        <v>45751</v>
      </c>
      <c r="F77" s="13"/>
      <c r="G77" s="2">
        <v>45748</v>
      </c>
      <c r="H77" s="13"/>
      <c r="I77" s="1" t="s">
        <v>12</v>
      </c>
      <c r="J77" s="7">
        <f t="shared" si="5"/>
        <v>0</v>
      </c>
      <c r="K77" s="50"/>
      <c r="L77" s="23">
        <f t="shared" si="4"/>
        <v>569.52867904000016</v>
      </c>
      <c r="M77" s="50"/>
      <c r="N77" s="48"/>
      <c r="P77" s="47"/>
      <c r="Q77" s="46">
        <f t="shared" si="6"/>
        <v>0</v>
      </c>
    </row>
    <row r="78" spans="1:17" ht="13.2" hidden="1" customHeight="1" x14ac:dyDescent="0.25">
      <c r="A78" s="2">
        <v>45875</v>
      </c>
      <c r="B78" s="13"/>
      <c r="C78" s="2">
        <v>45871</v>
      </c>
      <c r="D78" s="13"/>
      <c r="E78" s="2">
        <v>45873</v>
      </c>
      <c r="F78" s="13"/>
      <c r="G78" s="2">
        <v>45748</v>
      </c>
      <c r="H78" s="13"/>
      <c r="I78" s="1" t="s">
        <v>12</v>
      </c>
      <c r="J78" s="7">
        <f t="shared" si="5"/>
        <v>0</v>
      </c>
      <c r="K78" s="50"/>
      <c r="L78" s="23">
        <f t="shared" si="4"/>
        <v>569.52867904000016</v>
      </c>
      <c r="M78" s="50"/>
      <c r="N78" s="48"/>
      <c r="P78" s="47"/>
      <c r="Q78" s="46">
        <f t="shared" si="6"/>
        <v>0</v>
      </c>
    </row>
    <row r="79" spans="1:17" ht="13.2" hidden="1" customHeight="1" x14ac:dyDescent="0.25">
      <c r="A79" s="2">
        <v>45844</v>
      </c>
      <c r="B79" s="13"/>
      <c r="C79" s="1">
        <v>3</v>
      </c>
      <c r="D79" s="13"/>
      <c r="E79" s="1">
        <v>5</v>
      </c>
      <c r="F79" s="13"/>
      <c r="G79" s="2">
        <v>45839</v>
      </c>
      <c r="H79" s="13"/>
      <c r="I79" s="1" t="s">
        <v>12</v>
      </c>
      <c r="J79" s="7">
        <f t="shared" si="5"/>
        <v>0</v>
      </c>
      <c r="K79" s="50"/>
      <c r="L79" s="23">
        <f t="shared" si="4"/>
        <v>569.52867904000016</v>
      </c>
      <c r="M79" s="50"/>
      <c r="N79" s="48"/>
      <c r="P79" s="47"/>
      <c r="Q79" s="46">
        <f t="shared" si="6"/>
        <v>0</v>
      </c>
    </row>
    <row r="80" spans="1:17" ht="13.2" hidden="1" customHeight="1" x14ac:dyDescent="0.25">
      <c r="A80" s="1">
        <v>6</v>
      </c>
      <c r="B80" s="13"/>
      <c r="C80" s="2">
        <v>45902</v>
      </c>
      <c r="D80" s="13"/>
      <c r="E80" s="2">
        <v>45781</v>
      </c>
      <c r="F80" s="13"/>
      <c r="G80" s="2">
        <v>45778</v>
      </c>
      <c r="H80" s="13"/>
      <c r="I80" s="1" t="s">
        <v>12</v>
      </c>
      <c r="J80" s="7">
        <f t="shared" si="5"/>
        <v>0</v>
      </c>
      <c r="K80" s="50"/>
      <c r="L80" s="23">
        <f t="shared" si="4"/>
        <v>569.52867904000016</v>
      </c>
      <c r="M80" s="50"/>
      <c r="N80" s="48"/>
      <c r="P80" s="47"/>
      <c r="Q80" s="46">
        <f t="shared" si="6"/>
        <v>0</v>
      </c>
    </row>
    <row r="81" spans="1:17" ht="13.2" hidden="1" customHeight="1" x14ac:dyDescent="0.25">
      <c r="A81" s="2">
        <v>45843</v>
      </c>
      <c r="B81" s="13"/>
      <c r="C81" s="2">
        <v>45810</v>
      </c>
      <c r="D81" s="13"/>
      <c r="E81" s="2">
        <v>45780</v>
      </c>
      <c r="F81" s="13"/>
      <c r="G81" s="1">
        <v>1</v>
      </c>
      <c r="H81" s="13"/>
      <c r="I81" s="1" t="s">
        <v>12</v>
      </c>
      <c r="J81" s="7">
        <f t="shared" si="5"/>
        <v>0</v>
      </c>
      <c r="K81" s="50"/>
      <c r="L81" s="23">
        <f t="shared" si="4"/>
        <v>569.52867904000016</v>
      </c>
      <c r="M81" s="50"/>
      <c r="N81" s="48"/>
      <c r="P81" s="47"/>
      <c r="Q81" s="46">
        <f t="shared" si="6"/>
        <v>0</v>
      </c>
    </row>
    <row r="82" spans="1:17" ht="13.2" hidden="1" customHeight="1" x14ac:dyDescent="0.25">
      <c r="A82" s="2">
        <v>45782</v>
      </c>
      <c r="B82" s="13"/>
      <c r="C82" s="2">
        <v>45749</v>
      </c>
      <c r="D82" s="13"/>
      <c r="E82" s="2">
        <v>45872</v>
      </c>
      <c r="F82" s="13"/>
      <c r="G82" s="2">
        <v>45658</v>
      </c>
      <c r="H82" s="13"/>
      <c r="I82" s="1" t="s">
        <v>12</v>
      </c>
      <c r="J82" s="7">
        <f t="shared" si="5"/>
        <v>0</v>
      </c>
      <c r="K82" s="50"/>
      <c r="L82" s="23">
        <f t="shared" si="4"/>
        <v>569.52867904000016</v>
      </c>
      <c r="M82" s="50"/>
      <c r="N82" s="48"/>
      <c r="P82" s="47"/>
      <c r="Q82" s="46">
        <f t="shared" si="6"/>
        <v>0</v>
      </c>
    </row>
    <row r="83" spans="1:17" ht="13.2" hidden="1" customHeight="1" x14ac:dyDescent="0.25">
      <c r="A83" s="2">
        <v>45782</v>
      </c>
      <c r="B83" s="13"/>
      <c r="C83" s="2">
        <v>45749</v>
      </c>
      <c r="D83" s="13"/>
      <c r="E83" s="2">
        <v>45841</v>
      </c>
      <c r="F83" s="13"/>
      <c r="G83" s="1">
        <v>1</v>
      </c>
      <c r="H83" s="13"/>
      <c r="I83" s="1" t="s">
        <v>12</v>
      </c>
      <c r="J83" s="7">
        <f t="shared" si="5"/>
        <v>0</v>
      </c>
      <c r="K83" s="50"/>
      <c r="L83" s="23">
        <f t="shared" si="4"/>
        <v>569.52867904000016</v>
      </c>
      <c r="M83" s="50"/>
      <c r="N83" s="48"/>
      <c r="P83" s="47"/>
      <c r="Q83" s="46">
        <f t="shared" si="6"/>
        <v>0</v>
      </c>
    </row>
    <row r="84" spans="1:17" ht="13.2" hidden="1" customHeight="1" x14ac:dyDescent="0.25">
      <c r="A84" s="2">
        <v>45874</v>
      </c>
      <c r="B84" s="13"/>
      <c r="C84" s="2">
        <v>45840</v>
      </c>
      <c r="D84" s="13"/>
      <c r="E84" s="2">
        <v>45903</v>
      </c>
      <c r="F84" s="13"/>
      <c r="G84" s="2">
        <v>45689</v>
      </c>
      <c r="H84" s="13"/>
      <c r="I84" s="1" t="s">
        <v>12</v>
      </c>
      <c r="J84" s="7">
        <f t="shared" si="5"/>
        <v>0</v>
      </c>
      <c r="K84" s="50"/>
      <c r="L84" s="23">
        <f t="shared" si="4"/>
        <v>569.52867904000016</v>
      </c>
      <c r="M84" s="50"/>
      <c r="N84" s="48"/>
      <c r="P84" s="47"/>
      <c r="Q84" s="46">
        <f t="shared" si="6"/>
        <v>0</v>
      </c>
    </row>
    <row r="85" spans="1:17" ht="13.2" hidden="1" customHeight="1" x14ac:dyDescent="0.25">
      <c r="A85" s="1">
        <v>6</v>
      </c>
      <c r="B85" s="13"/>
      <c r="C85" s="2">
        <v>45840</v>
      </c>
      <c r="D85" s="13"/>
      <c r="E85" s="2">
        <v>45662</v>
      </c>
      <c r="F85" s="13"/>
      <c r="G85" s="2">
        <v>45809</v>
      </c>
      <c r="H85" s="13"/>
      <c r="I85" s="1" t="s">
        <v>12</v>
      </c>
      <c r="J85" s="7">
        <f t="shared" si="5"/>
        <v>0</v>
      </c>
      <c r="K85" s="50"/>
      <c r="L85" s="23">
        <f t="shared" si="4"/>
        <v>569.52867904000016</v>
      </c>
      <c r="M85" s="50"/>
      <c r="N85" s="48"/>
      <c r="P85" s="47"/>
      <c r="Q85" s="46">
        <f t="shared" si="6"/>
        <v>0</v>
      </c>
    </row>
    <row r="86" spans="1:17" ht="13.2" hidden="1" customHeight="1" x14ac:dyDescent="0.25">
      <c r="A86" s="2">
        <v>45752</v>
      </c>
      <c r="B86" s="13"/>
      <c r="C86" s="1">
        <v>3</v>
      </c>
      <c r="D86" s="13"/>
      <c r="E86" s="2">
        <v>45781</v>
      </c>
      <c r="F86" s="13"/>
      <c r="G86" s="2">
        <v>45778</v>
      </c>
      <c r="H86" s="13"/>
      <c r="I86" s="1" t="s">
        <v>12</v>
      </c>
      <c r="J86" s="7">
        <f t="shared" si="5"/>
        <v>0</v>
      </c>
      <c r="K86" s="50"/>
      <c r="L86" s="23">
        <f t="shared" si="4"/>
        <v>569.52867904000016</v>
      </c>
      <c r="M86" s="50"/>
      <c r="N86" s="48"/>
      <c r="P86" s="47"/>
      <c r="Q86" s="46">
        <f t="shared" si="6"/>
        <v>0</v>
      </c>
    </row>
    <row r="87" spans="1:17" ht="13.2" hidden="1" customHeight="1" x14ac:dyDescent="0.25">
      <c r="A87" s="1">
        <v>6</v>
      </c>
      <c r="B87" s="13"/>
      <c r="C87" s="2">
        <v>45750</v>
      </c>
      <c r="D87" s="13"/>
      <c r="E87" s="2">
        <v>45781</v>
      </c>
      <c r="F87" s="13"/>
      <c r="G87" s="2">
        <v>45809</v>
      </c>
      <c r="H87" s="13"/>
      <c r="I87" s="1" t="s">
        <v>12</v>
      </c>
      <c r="J87" s="7">
        <f t="shared" si="5"/>
        <v>0</v>
      </c>
      <c r="K87" s="50"/>
      <c r="L87" s="23">
        <f t="shared" si="4"/>
        <v>569.52867904000016</v>
      </c>
      <c r="M87" s="50"/>
      <c r="N87" s="48"/>
      <c r="P87" s="47"/>
      <c r="Q87" s="46">
        <f t="shared" si="6"/>
        <v>0</v>
      </c>
    </row>
    <row r="88" spans="1:17" ht="13.2" hidden="1" customHeight="1" x14ac:dyDescent="0.25">
      <c r="A88" s="2">
        <v>45844</v>
      </c>
      <c r="B88" s="13"/>
      <c r="C88" s="2">
        <v>45660</v>
      </c>
      <c r="D88" s="13"/>
      <c r="E88" s="2">
        <v>45842</v>
      </c>
      <c r="F88" s="13"/>
      <c r="G88" s="2">
        <v>45778</v>
      </c>
      <c r="H88" s="13"/>
      <c r="I88" s="1" t="s">
        <v>12</v>
      </c>
      <c r="J88" s="7">
        <f t="shared" si="5"/>
        <v>0</v>
      </c>
      <c r="K88" s="50"/>
      <c r="L88" s="23">
        <f t="shared" si="4"/>
        <v>569.52867904000016</v>
      </c>
      <c r="M88" s="50"/>
      <c r="N88" s="48"/>
      <c r="P88" s="47"/>
      <c r="Q88" s="46">
        <f t="shared" si="6"/>
        <v>0</v>
      </c>
    </row>
    <row r="89" spans="1:17" ht="13.2" hidden="1" customHeight="1" x14ac:dyDescent="0.25">
      <c r="A89" s="2">
        <v>45722</v>
      </c>
      <c r="B89" s="13"/>
      <c r="C89" s="2">
        <v>45718</v>
      </c>
      <c r="D89" s="13"/>
      <c r="E89" s="2">
        <v>45751</v>
      </c>
      <c r="F89" s="13"/>
      <c r="G89" s="2">
        <v>45717</v>
      </c>
      <c r="H89" s="13"/>
      <c r="I89" s="1" t="s">
        <v>12</v>
      </c>
      <c r="J89" s="7">
        <f t="shared" si="5"/>
        <v>0</v>
      </c>
      <c r="K89" s="50"/>
      <c r="L89" s="23">
        <f t="shared" si="4"/>
        <v>569.52867904000016</v>
      </c>
      <c r="M89" s="50"/>
      <c r="N89" s="48"/>
      <c r="P89" s="47"/>
      <c r="Q89" s="46">
        <f t="shared" si="6"/>
        <v>0</v>
      </c>
    </row>
    <row r="90" spans="1:17" ht="13.2" hidden="1" customHeight="1" x14ac:dyDescent="0.25">
      <c r="A90" s="2">
        <v>45813</v>
      </c>
      <c r="B90" s="13"/>
      <c r="C90" s="1">
        <v>3</v>
      </c>
      <c r="D90" s="13"/>
      <c r="E90" s="2">
        <v>45661</v>
      </c>
      <c r="F90" s="13"/>
      <c r="G90" s="2">
        <v>45717</v>
      </c>
      <c r="H90" s="13"/>
      <c r="I90" s="1" t="s">
        <v>12</v>
      </c>
      <c r="J90" s="7">
        <f t="shared" si="5"/>
        <v>0</v>
      </c>
      <c r="K90" s="50"/>
      <c r="L90" s="23">
        <f t="shared" si="4"/>
        <v>569.52867904000016</v>
      </c>
      <c r="M90" s="50"/>
      <c r="N90" s="48"/>
      <c r="P90" s="47"/>
      <c r="Q90" s="46">
        <f t="shared" si="6"/>
        <v>0</v>
      </c>
    </row>
    <row r="91" spans="1:17" ht="13.2" hidden="1" customHeight="1" x14ac:dyDescent="0.25">
      <c r="A91" s="2">
        <v>45782</v>
      </c>
      <c r="B91" s="13"/>
      <c r="C91" s="2">
        <v>45779</v>
      </c>
      <c r="D91" s="13"/>
      <c r="E91" s="1">
        <v>4</v>
      </c>
      <c r="F91" s="13"/>
      <c r="G91" s="2">
        <v>45717</v>
      </c>
      <c r="H91" s="13"/>
      <c r="I91" s="1" t="s">
        <v>12</v>
      </c>
      <c r="J91" s="7">
        <f t="shared" si="5"/>
        <v>0</v>
      </c>
      <c r="K91" s="50"/>
      <c r="L91" s="23">
        <f t="shared" si="4"/>
        <v>569.52867904000016</v>
      </c>
      <c r="M91" s="50"/>
      <c r="N91" s="48"/>
      <c r="P91" s="47"/>
      <c r="Q91" s="46">
        <f t="shared" si="6"/>
        <v>0</v>
      </c>
    </row>
    <row r="92" spans="1:17" ht="13.2" hidden="1" customHeight="1" x14ac:dyDescent="0.25">
      <c r="A92" s="2">
        <v>45782</v>
      </c>
      <c r="B92" s="13"/>
      <c r="C92" s="2">
        <v>45810</v>
      </c>
      <c r="D92" s="13"/>
      <c r="E92" s="2">
        <v>45751</v>
      </c>
      <c r="F92" s="13"/>
      <c r="G92" s="2">
        <v>45689</v>
      </c>
      <c r="H92" s="13"/>
      <c r="I92" s="1" t="s">
        <v>12</v>
      </c>
      <c r="J92" s="7">
        <f t="shared" si="5"/>
        <v>0</v>
      </c>
      <c r="K92" s="50"/>
      <c r="L92" s="23">
        <f t="shared" si="4"/>
        <v>569.52867904000016</v>
      </c>
      <c r="M92" s="50"/>
      <c r="N92" s="48"/>
      <c r="P92" s="47"/>
      <c r="Q92" s="46">
        <f t="shared" si="6"/>
        <v>0</v>
      </c>
    </row>
    <row r="93" spans="1:17" ht="13.2" hidden="1" customHeight="1" x14ac:dyDescent="0.25">
      <c r="A93" s="2">
        <v>45663</v>
      </c>
      <c r="B93" s="13"/>
      <c r="C93" s="1">
        <v>3</v>
      </c>
      <c r="D93" s="13"/>
      <c r="E93" s="2">
        <v>45812</v>
      </c>
      <c r="F93" s="13"/>
      <c r="G93" s="2">
        <v>45748</v>
      </c>
      <c r="H93" s="13"/>
      <c r="I93" s="1" t="s">
        <v>12</v>
      </c>
      <c r="J93" s="7">
        <f t="shared" si="5"/>
        <v>0</v>
      </c>
      <c r="K93" s="50"/>
      <c r="L93" s="23">
        <f t="shared" si="4"/>
        <v>569.52867904000016</v>
      </c>
      <c r="M93" s="50"/>
      <c r="N93" s="48"/>
      <c r="P93" s="47"/>
      <c r="Q93" s="46">
        <f t="shared" si="6"/>
        <v>0</v>
      </c>
    </row>
    <row r="94" spans="1:17" ht="13.2" hidden="1" customHeight="1" x14ac:dyDescent="0.25">
      <c r="A94" s="2">
        <v>45874</v>
      </c>
      <c r="B94" s="13"/>
      <c r="C94" s="2">
        <v>45810</v>
      </c>
      <c r="D94" s="13"/>
      <c r="E94" s="1">
        <v>4</v>
      </c>
      <c r="F94" s="13"/>
      <c r="G94" s="2">
        <v>45689</v>
      </c>
      <c r="H94" s="13"/>
      <c r="I94" s="1" t="s">
        <v>12</v>
      </c>
      <c r="J94" s="7">
        <f t="shared" si="5"/>
        <v>0</v>
      </c>
      <c r="K94" s="50"/>
      <c r="L94" s="23">
        <f t="shared" si="4"/>
        <v>569.52867904000016</v>
      </c>
      <c r="M94" s="50"/>
      <c r="N94" s="48"/>
      <c r="P94" s="47"/>
      <c r="Q94" s="46">
        <f t="shared" si="6"/>
        <v>0</v>
      </c>
    </row>
    <row r="95" spans="1:17" ht="13.2" hidden="1" customHeight="1" x14ac:dyDescent="0.25">
      <c r="A95" s="1">
        <v>5</v>
      </c>
      <c r="B95" s="13"/>
      <c r="C95" s="2">
        <v>45718</v>
      </c>
      <c r="D95" s="13"/>
      <c r="E95" s="2">
        <v>45719</v>
      </c>
      <c r="F95" s="13"/>
      <c r="G95" s="1">
        <v>1</v>
      </c>
      <c r="H95" s="13"/>
      <c r="I95" s="1" t="s">
        <v>12</v>
      </c>
      <c r="J95" s="7">
        <f t="shared" si="5"/>
        <v>0</v>
      </c>
      <c r="K95" s="50"/>
      <c r="L95" s="23">
        <f t="shared" si="4"/>
        <v>569.52867904000016</v>
      </c>
      <c r="M95" s="50"/>
      <c r="N95" s="48"/>
      <c r="P95" s="47"/>
      <c r="Q95" s="46">
        <f t="shared" si="6"/>
        <v>0</v>
      </c>
    </row>
    <row r="96" spans="1:17" ht="13.2" hidden="1" customHeight="1" x14ac:dyDescent="0.25">
      <c r="A96" s="2">
        <v>45813</v>
      </c>
      <c r="B96" s="13"/>
      <c r="C96" s="2">
        <v>45840</v>
      </c>
      <c r="D96" s="13"/>
      <c r="E96" s="2">
        <v>45692</v>
      </c>
      <c r="F96" s="13"/>
      <c r="G96" s="2">
        <v>45717</v>
      </c>
      <c r="H96" s="13"/>
      <c r="I96" s="1" t="s">
        <v>12</v>
      </c>
      <c r="J96" s="7">
        <f t="shared" si="5"/>
        <v>0</v>
      </c>
      <c r="K96" s="50"/>
      <c r="L96" s="23">
        <f t="shared" si="4"/>
        <v>569.52867904000016</v>
      </c>
      <c r="M96" s="50"/>
      <c r="N96" s="48"/>
      <c r="P96" s="47"/>
      <c r="Q96" s="46">
        <f t="shared" si="6"/>
        <v>0</v>
      </c>
    </row>
    <row r="97" spans="1:17" ht="13.2" hidden="1" customHeight="1" x14ac:dyDescent="0.25">
      <c r="A97" s="2">
        <v>45843</v>
      </c>
      <c r="B97" s="13"/>
      <c r="C97" s="1">
        <v>3</v>
      </c>
      <c r="D97" s="13"/>
      <c r="E97" s="2">
        <v>45692</v>
      </c>
      <c r="F97" s="13"/>
      <c r="G97" s="2">
        <v>45689</v>
      </c>
      <c r="H97" s="13"/>
      <c r="I97" s="1" t="s">
        <v>12</v>
      </c>
      <c r="J97" s="7">
        <f t="shared" si="5"/>
        <v>0</v>
      </c>
      <c r="K97" s="50"/>
      <c r="L97" s="23">
        <f t="shared" si="4"/>
        <v>569.52867904000016</v>
      </c>
      <c r="M97" s="50"/>
      <c r="N97" s="48"/>
      <c r="P97" s="47"/>
      <c r="Q97" s="46">
        <f t="shared" si="6"/>
        <v>0</v>
      </c>
    </row>
    <row r="98" spans="1:17" ht="13.2" hidden="1" customHeight="1" x14ac:dyDescent="0.25">
      <c r="A98" s="2">
        <v>45843</v>
      </c>
      <c r="B98" s="13"/>
      <c r="C98" s="2">
        <v>45902</v>
      </c>
      <c r="D98" s="13"/>
      <c r="E98" s="2">
        <v>45692</v>
      </c>
      <c r="F98" s="13"/>
      <c r="G98" s="2">
        <v>45717</v>
      </c>
      <c r="H98" s="13"/>
      <c r="I98" s="1" t="s">
        <v>12</v>
      </c>
      <c r="J98" s="7">
        <f t="shared" ref="J98:J126" si="7">B98*D98+F98*H98</f>
        <v>0</v>
      </c>
      <c r="K98" s="50"/>
      <c r="L98" s="23">
        <f t="shared" si="4"/>
        <v>569.52867904000016</v>
      </c>
      <c r="M98" s="50"/>
      <c r="N98" s="48"/>
      <c r="P98" s="47"/>
      <c r="Q98" s="46">
        <f t="shared" si="6"/>
        <v>0</v>
      </c>
    </row>
    <row r="99" spans="1:17" ht="13.2" hidden="1" customHeight="1" x14ac:dyDescent="0.25">
      <c r="A99" s="2">
        <v>45694</v>
      </c>
      <c r="B99" s="13"/>
      <c r="C99" s="2">
        <v>45902</v>
      </c>
      <c r="D99" s="13"/>
      <c r="E99" s="2">
        <v>45720</v>
      </c>
      <c r="F99" s="13"/>
      <c r="G99" s="2">
        <v>45717</v>
      </c>
      <c r="H99" s="13"/>
      <c r="I99" s="1" t="s">
        <v>12</v>
      </c>
      <c r="J99" s="7">
        <f t="shared" si="7"/>
        <v>0</v>
      </c>
      <c r="K99" s="50"/>
      <c r="L99" s="23">
        <f t="shared" si="4"/>
        <v>569.52867904000016</v>
      </c>
      <c r="M99" s="50"/>
      <c r="N99" s="48"/>
      <c r="P99" s="47"/>
      <c r="Q99" s="46">
        <f t="shared" si="6"/>
        <v>0</v>
      </c>
    </row>
    <row r="100" spans="1:17" ht="13.2" hidden="1" customHeight="1" x14ac:dyDescent="0.25">
      <c r="A100" s="2">
        <v>45662</v>
      </c>
      <c r="B100" s="13"/>
      <c r="C100" s="2">
        <v>45779</v>
      </c>
      <c r="D100" s="13"/>
      <c r="E100" s="1">
        <v>3</v>
      </c>
      <c r="F100" s="13"/>
      <c r="G100" s="2">
        <v>45658</v>
      </c>
      <c r="H100" s="13"/>
      <c r="I100" s="1" t="s">
        <v>12</v>
      </c>
      <c r="J100" s="7">
        <f t="shared" si="7"/>
        <v>0</v>
      </c>
      <c r="K100" s="50"/>
      <c r="L100" s="23">
        <f t="shared" si="4"/>
        <v>569.52867904000016</v>
      </c>
      <c r="M100" s="50"/>
      <c r="N100" s="48"/>
      <c r="P100" s="47"/>
      <c r="Q100" s="46">
        <f t="shared" si="6"/>
        <v>0</v>
      </c>
    </row>
    <row r="101" spans="1:17" ht="13.8" hidden="1" customHeight="1" thickBot="1" x14ac:dyDescent="0.3">
      <c r="A101" s="2">
        <v>45843</v>
      </c>
      <c r="B101" s="13"/>
      <c r="C101" s="2">
        <v>45871</v>
      </c>
      <c r="D101" s="13"/>
      <c r="E101" s="2">
        <v>45661</v>
      </c>
      <c r="F101" s="13"/>
      <c r="G101" s="2">
        <v>45717</v>
      </c>
      <c r="H101" s="13"/>
      <c r="I101" s="1" t="s">
        <v>12</v>
      </c>
      <c r="J101" s="7">
        <f t="shared" si="7"/>
        <v>0</v>
      </c>
      <c r="K101" s="50"/>
      <c r="L101" s="23">
        <f t="shared" si="4"/>
        <v>569.52867904000016</v>
      </c>
      <c r="M101" s="50"/>
      <c r="N101" s="48"/>
      <c r="P101" s="47"/>
      <c r="Q101" s="46">
        <f t="shared" si="6"/>
        <v>0</v>
      </c>
    </row>
    <row r="102" spans="1:17" ht="13.8" thickBot="1" x14ac:dyDescent="0.3">
      <c r="A102" s="2">
        <v>45722</v>
      </c>
      <c r="B102" s="38">
        <v>6.3</v>
      </c>
      <c r="C102" s="18">
        <v>45719</v>
      </c>
      <c r="D102" s="39">
        <v>3.3</v>
      </c>
      <c r="E102" s="20">
        <v>6</v>
      </c>
      <c r="F102" s="39">
        <v>6</v>
      </c>
      <c r="G102" s="18">
        <v>45779</v>
      </c>
      <c r="H102" s="39">
        <v>2.5</v>
      </c>
      <c r="I102" s="20" t="s">
        <v>13</v>
      </c>
      <c r="J102" s="22">
        <f t="shared" si="7"/>
        <v>35.79</v>
      </c>
      <c r="K102" s="50"/>
      <c r="L102" s="23">
        <f t="shared" si="4"/>
        <v>142.21039503999992</v>
      </c>
      <c r="M102" s="50"/>
      <c r="N102" s="48"/>
      <c r="O102">
        <v>26.93</v>
      </c>
      <c r="P102" s="47"/>
      <c r="Q102" s="46">
        <f t="shared" si="6"/>
        <v>0.68</v>
      </c>
    </row>
    <row r="103" spans="1:17" ht="13.8" thickBot="1" x14ac:dyDescent="0.3">
      <c r="A103" s="2">
        <v>45874</v>
      </c>
      <c r="B103" s="41">
        <v>5.8</v>
      </c>
      <c r="C103" s="27">
        <v>45840</v>
      </c>
      <c r="D103" s="42">
        <v>2.7</v>
      </c>
      <c r="E103" s="27">
        <v>45662</v>
      </c>
      <c r="F103" s="42">
        <v>5.0999999999999996</v>
      </c>
      <c r="G103" s="27">
        <v>45901</v>
      </c>
      <c r="H103" s="42">
        <v>1.9</v>
      </c>
      <c r="I103" s="25" t="s">
        <v>13</v>
      </c>
      <c r="J103" s="29">
        <f t="shared" si="7"/>
        <v>25.35</v>
      </c>
      <c r="K103" s="50"/>
      <c r="L103" s="23">
        <f t="shared" si="4"/>
        <v>2.2058190399999971</v>
      </c>
      <c r="M103" s="50"/>
      <c r="N103" s="48"/>
      <c r="O103">
        <v>27.189999999999998</v>
      </c>
      <c r="P103" s="47"/>
      <c r="Q103" s="46">
        <f t="shared" si="6"/>
        <v>0.69333333333333336</v>
      </c>
    </row>
    <row r="104" spans="1:17" ht="13.8" thickBot="1" x14ac:dyDescent="0.3">
      <c r="A104" s="2">
        <v>45664</v>
      </c>
      <c r="B104" s="41">
        <v>7.1</v>
      </c>
      <c r="C104" s="25">
        <v>3</v>
      </c>
      <c r="D104" s="42">
        <v>3</v>
      </c>
      <c r="E104" s="27">
        <v>45905</v>
      </c>
      <c r="F104" s="42">
        <v>5.9</v>
      </c>
      <c r="G104" s="27">
        <v>45659</v>
      </c>
      <c r="H104" s="42">
        <v>2.1</v>
      </c>
      <c r="I104" s="25" t="s">
        <v>13</v>
      </c>
      <c r="J104" s="29">
        <f t="shared" si="7"/>
        <v>33.69</v>
      </c>
      <c r="K104" s="50"/>
      <c r="L104" s="23">
        <f t="shared" si="4"/>
        <v>96.534555039999901</v>
      </c>
      <c r="M104" s="50"/>
      <c r="N104" s="48"/>
      <c r="O104">
        <v>27.230000000000004</v>
      </c>
      <c r="P104" s="47"/>
      <c r="Q104" s="46">
        <f t="shared" si="6"/>
        <v>0.70666666666666667</v>
      </c>
    </row>
    <row r="105" spans="1:17" ht="13.8" thickBot="1" x14ac:dyDescent="0.3">
      <c r="A105" s="2">
        <v>45722</v>
      </c>
      <c r="B105" s="41">
        <v>6.3</v>
      </c>
      <c r="C105" s="27">
        <v>45902</v>
      </c>
      <c r="D105" s="42">
        <v>2.9</v>
      </c>
      <c r="E105" s="27">
        <v>45813</v>
      </c>
      <c r="F105" s="42">
        <v>5.6</v>
      </c>
      <c r="G105" s="27">
        <v>45870</v>
      </c>
      <c r="H105" s="42">
        <v>1.8</v>
      </c>
      <c r="I105" s="25" t="s">
        <v>13</v>
      </c>
      <c r="J105" s="29">
        <f t="shared" si="7"/>
        <v>28.35</v>
      </c>
      <c r="K105" s="50"/>
      <c r="L105" s="23">
        <f t="shared" si="4"/>
        <v>20.117019039999992</v>
      </c>
      <c r="M105" s="50"/>
      <c r="N105" s="48"/>
      <c r="O105">
        <v>27.35</v>
      </c>
      <c r="P105" s="47"/>
      <c r="Q105" s="46">
        <f t="shared" si="6"/>
        <v>0.72</v>
      </c>
    </row>
    <row r="106" spans="1:17" ht="13.8" thickBot="1" x14ac:dyDescent="0.3">
      <c r="A106" s="2">
        <v>45783</v>
      </c>
      <c r="B106" s="41">
        <v>6.5</v>
      </c>
      <c r="C106" s="25">
        <v>3</v>
      </c>
      <c r="D106" s="42">
        <v>3</v>
      </c>
      <c r="E106" s="27">
        <v>45874</v>
      </c>
      <c r="F106" s="42">
        <v>5.8</v>
      </c>
      <c r="G106" s="27">
        <v>45690</v>
      </c>
      <c r="H106" s="42">
        <v>2.2000000000000002</v>
      </c>
      <c r="I106" s="25" t="s">
        <v>13</v>
      </c>
      <c r="J106" s="29">
        <f t="shared" si="7"/>
        <v>32.26</v>
      </c>
      <c r="K106" s="50"/>
      <c r="L106" s="23">
        <f t="shared" si="4"/>
        <v>70.479383039999931</v>
      </c>
      <c r="M106" s="50"/>
      <c r="N106" s="48"/>
      <c r="O106">
        <v>27.520000000000003</v>
      </c>
      <c r="P106" s="47"/>
      <c r="Q106" s="46">
        <f t="shared" si="6"/>
        <v>0.73333333333333328</v>
      </c>
    </row>
    <row r="107" spans="1:17" ht="13.8" thickBot="1" x14ac:dyDescent="0.3">
      <c r="A107" s="2">
        <v>45815</v>
      </c>
      <c r="B107" s="41">
        <v>7.6</v>
      </c>
      <c r="C107" s="25">
        <v>3</v>
      </c>
      <c r="D107" s="42">
        <v>3</v>
      </c>
      <c r="E107" s="27">
        <v>45814</v>
      </c>
      <c r="F107" s="42">
        <v>6.6</v>
      </c>
      <c r="G107" s="27">
        <v>45659</v>
      </c>
      <c r="H107" s="42">
        <v>2.1</v>
      </c>
      <c r="I107" s="25" t="s">
        <v>13</v>
      </c>
      <c r="J107" s="29">
        <f t="shared" si="7"/>
        <v>36.659999999999997</v>
      </c>
      <c r="K107" s="50"/>
      <c r="L107" s="23">
        <f t="shared" si="4"/>
        <v>163.71714303999985</v>
      </c>
      <c r="M107" s="50"/>
      <c r="N107" s="48"/>
      <c r="O107">
        <v>28.31</v>
      </c>
      <c r="P107" s="47"/>
      <c r="Q107" s="46">
        <f t="shared" si="6"/>
        <v>0.7466666666666667</v>
      </c>
    </row>
    <row r="108" spans="1:17" ht="13.8" thickBot="1" x14ac:dyDescent="0.3">
      <c r="A108" s="2">
        <v>45904</v>
      </c>
      <c r="B108" s="41">
        <v>4.9000000000000004</v>
      </c>
      <c r="C108" s="27">
        <v>45779</v>
      </c>
      <c r="D108" s="42">
        <v>2.5</v>
      </c>
      <c r="E108" s="27">
        <v>45781</v>
      </c>
      <c r="F108" s="42">
        <v>4.5</v>
      </c>
      <c r="G108" s="27">
        <v>45839</v>
      </c>
      <c r="H108" s="42">
        <v>1.7</v>
      </c>
      <c r="I108" s="25" t="s">
        <v>13</v>
      </c>
      <c r="J108" s="29">
        <f t="shared" si="7"/>
        <v>19.899999999999999</v>
      </c>
      <c r="K108" s="50"/>
      <c r="L108" s="23">
        <f t="shared" si="4"/>
        <v>15.719639040000031</v>
      </c>
      <c r="M108" s="50"/>
      <c r="N108" s="48"/>
      <c r="O108">
        <v>28.35</v>
      </c>
      <c r="P108" s="47"/>
      <c r="Q108" s="46">
        <f t="shared" si="6"/>
        <v>0.76</v>
      </c>
    </row>
    <row r="109" spans="1:17" ht="13.8" thickBot="1" x14ac:dyDescent="0.3">
      <c r="A109" s="2">
        <v>45723</v>
      </c>
      <c r="B109" s="41">
        <v>7.3</v>
      </c>
      <c r="C109" s="27">
        <v>45902</v>
      </c>
      <c r="D109" s="42">
        <v>2.9</v>
      </c>
      <c r="E109" s="27">
        <v>45722</v>
      </c>
      <c r="F109" s="42">
        <v>6.3</v>
      </c>
      <c r="G109" s="27">
        <v>45870</v>
      </c>
      <c r="H109" s="42">
        <v>1.8</v>
      </c>
      <c r="I109" s="25" t="s">
        <v>13</v>
      </c>
      <c r="J109" s="29">
        <f t="shared" si="7"/>
        <v>32.51</v>
      </c>
      <c r="K109" s="50"/>
      <c r="L109" s="23">
        <f t="shared" si="4"/>
        <v>74.739483039999925</v>
      </c>
      <c r="M109" s="50"/>
      <c r="N109" s="48"/>
      <c r="O109">
        <v>28.479999999999997</v>
      </c>
      <c r="P109" s="47"/>
      <c r="Q109" s="46">
        <f t="shared" si="6"/>
        <v>0.77333333333333332</v>
      </c>
    </row>
    <row r="110" spans="1:17" ht="13.8" thickBot="1" x14ac:dyDescent="0.3">
      <c r="A110" s="2">
        <v>45844</v>
      </c>
      <c r="B110" s="41">
        <v>6.7</v>
      </c>
      <c r="C110" s="27">
        <v>45779</v>
      </c>
      <c r="D110" s="42">
        <v>2.5</v>
      </c>
      <c r="E110" s="27">
        <v>45874</v>
      </c>
      <c r="F110" s="42">
        <v>5.8</v>
      </c>
      <c r="G110" s="27">
        <v>45870</v>
      </c>
      <c r="H110" s="42">
        <v>1.8</v>
      </c>
      <c r="I110" s="25" t="s">
        <v>13</v>
      </c>
      <c r="J110" s="29">
        <f t="shared" si="7"/>
        <v>27.189999999999998</v>
      </c>
      <c r="K110" s="50"/>
      <c r="L110" s="23">
        <f t="shared" si="4"/>
        <v>11.056955039999968</v>
      </c>
      <c r="M110" s="50"/>
      <c r="N110" s="48"/>
      <c r="O110">
        <v>28.740000000000002</v>
      </c>
      <c r="P110" s="47"/>
      <c r="Q110" s="46">
        <f t="shared" si="6"/>
        <v>0.78666666666666663</v>
      </c>
    </row>
    <row r="111" spans="1:17" ht="13.8" thickBot="1" x14ac:dyDescent="0.3">
      <c r="A111" s="2">
        <v>45695</v>
      </c>
      <c r="B111" s="41">
        <v>7.2</v>
      </c>
      <c r="C111" s="27">
        <v>45811</v>
      </c>
      <c r="D111" s="42">
        <v>3.6</v>
      </c>
      <c r="E111" s="27">
        <v>45663</v>
      </c>
      <c r="F111" s="42">
        <v>6.1</v>
      </c>
      <c r="G111" s="27">
        <v>45779</v>
      </c>
      <c r="H111" s="42">
        <v>2.5</v>
      </c>
      <c r="I111" s="25" t="s">
        <v>13</v>
      </c>
      <c r="J111" s="29">
        <f t="shared" si="7"/>
        <v>41.17</v>
      </c>
      <c r="K111" s="50"/>
      <c r="L111" s="23">
        <f t="shared" si="4"/>
        <v>299.46994703999997</v>
      </c>
      <c r="M111" s="50"/>
      <c r="N111" s="48"/>
      <c r="O111">
        <v>28.980000000000004</v>
      </c>
      <c r="P111" s="47"/>
      <c r="Q111" s="46">
        <f t="shared" si="6"/>
        <v>0.8</v>
      </c>
    </row>
    <row r="112" spans="1:17" ht="13.8" thickBot="1" x14ac:dyDescent="0.3">
      <c r="A112" s="2">
        <v>45783</v>
      </c>
      <c r="B112" s="41">
        <v>6.5</v>
      </c>
      <c r="C112" s="27">
        <v>45691</v>
      </c>
      <c r="D112" s="42">
        <v>3.2</v>
      </c>
      <c r="E112" s="27">
        <v>45662</v>
      </c>
      <c r="F112" s="42">
        <v>5.0999999999999996</v>
      </c>
      <c r="G112" s="25">
        <v>2</v>
      </c>
      <c r="H112" s="42">
        <v>2</v>
      </c>
      <c r="I112" s="25" t="s">
        <v>13</v>
      </c>
      <c r="J112" s="29">
        <f t="shared" si="7"/>
        <v>31</v>
      </c>
      <c r="K112" s="50"/>
      <c r="L112" s="23">
        <f t="shared" si="4"/>
        <v>50.911079039999962</v>
      </c>
      <c r="M112" s="50"/>
      <c r="N112" s="48"/>
      <c r="O112">
        <v>29.4</v>
      </c>
      <c r="P112" s="47"/>
      <c r="Q112" s="46">
        <f t="shared" si="6"/>
        <v>0.81333333333333335</v>
      </c>
    </row>
    <row r="113" spans="1:17" ht="13.8" thickBot="1" x14ac:dyDescent="0.3">
      <c r="A113" s="2">
        <v>45753</v>
      </c>
      <c r="B113" s="41">
        <v>6.4</v>
      </c>
      <c r="C113" s="27">
        <v>45840</v>
      </c>
      <c r="D113" s="42">
        <v>2.7</v>
      </c>
      <c r="E113" s="27">
        <v>45721</v>
      </c>
      <c r="F113" s="42">
        <v>5.3</v>
      </c>
      <c r="G113" s="27">
        <v>45901</v>
      </c>
      <c r="H113" s="42">
        <v>1.9</v>
      </c>
      <c r="I113" s="25" t="s">
        <v>13</v>
      </c>
      <c r="J113" s="29">
        <f t="shared" si="7"/>
        <v>27.35</v>
      </c>
      <c r="K113" s="50"/>
      <c r="L113" s="23">
        <f t="shared" si="4"/>
        <v>12.146619039999992</v>
      </c>
      <c r="M113" s="50"/>
      <c r="N113" s="48"/>
      <c r="O113">
        <v>31</v>
      </c>
      <c r="P113" s="47"/>
      <c r="Q113" s="46">
        <f t="shared" si="6"/>
        <v>0.82666666666666666</v>
      </c>
    </row>
    <row r="114" spans="1:17" ht="13.8" thickBot="1" x14ac:dyDescent="0.3">
      <c r="A114" s="2">
        <v>45875</v>
      </c>
      <c r="B114" s="41">
        <v>6.8</v>
      </c>
      <c r="C114" s="25">
        <v>3</v>
      </c>
      <c r="D114" s="42">
        <v>3</v>
      </c>
      <c r="E114" s="27">
        <v>45782</v>
      </c>
      <c r="F114" s="42">
        <v>5.5</v>
      </c>
      <c r="G114" s="27">
        <v>45659</v>
      </c>
      <c r="H114" s="42">
        <v>2.1</v>
      </c>
      <c r="I114" s="25" t="s">
        <v>13</v>
      </c>
      <c r="J114" s="29">
        <f t="shared" si="7"/>
        <v>31.95</v>
      </c>
      <c r="K114" s="50"/>
      <c r="L114" s="23">
        <f t="shared" si="4"/>
        <v>65.370459039999943</v>
      </c>
      <c r="M114" s="50"/>
      <c r="N114" s="48"/>
      <c r="O114">
        <v>31.95</v>
      </c>
      <c r="P114" s="47"/>
      <c r="Q114" s="46">
        <f t="shared" si="6"/>
        <v>0.84</v>
      </c>
    </row>
    <row r="115" spans="1:17" ht="13.8" thickBot="1" x14ac:dyDescent="0.3">
      <c r="A115" s="2">
        <v>45843</v>
      </c>
      <c r="B115" s="41">
        <v>5.7</v>
      </c>
      <c r="C115" s="27">
        <v>45779</v>
      </c>
      <c r="D115" s="42">
        <v>2.5</v>
      </c>
      <c r="E115" s="25">
        <v>5</v>
      </c>
      <c r="F115" s="42">
        <v>5</v>
      </c>
      <c r="G115" s="25">
        <v>2</v>
      </c>
      <c r="H115" s="42">
        <v>2</v>
      </c>
      <c r="I115" s="25" t="s">
        <v>13</v>
      </c>
      <c r="J115" s="29">
        <f t="shared" si="7"/>
        <v>24.25</v>
      </c>
      <c r="K115" s="50"/>
      <c r="L115" s="23">
        <f t="shared" si="4"/>
        <v>0.1483790399999981</v>
      </c>
      <c r="M115" s="50"/>
      <c r="N115" s="48"/>
      <c r="O115">
        <v>32.26</v>
      </c>
      <c r="P115" s="47"/>
      <c r="Q115" s="46">
        <f t="shared" si="6"/>
        <v>0.85333333333333339</v>
      </c>
    </row>
    <row r="116" spans="1:17" ht="13.8" thickBot="1" x14ac:dyDescent="0.3">
      <c r="A116" s="2">
        <v>45874</v>
      </c>
      <c r="B116" s="41">
        <v>5.8</v>
      </c>
      <c r="C116" s="27">
        <v>45871</v>
      </c>
      <c r="D116" s="42">
        <v>2.8</v>
      </c>
      <c r="E116" s="27">
        <v>45662</v>
      </c>
      <c r="F116" s="42">
        <v>5.0999999999999996</v>
      </c>
      <c r="G116" s="27">
        <v>45749</v>
      </c>
      <c r="H116" s="42">
        <v>2.4</v>
      </c>
      <c r="I116" s="25" t="s">
        <v>13</v>
      </c>
      <c r="J116" s="29">
        <f t="shared" si="7"/>
        <v>28.479999999999997</v>
      </c>
      <c r="K116" s="50"/>
      <c r="L116" s="23">
        <f t="shared" si="4"/>
        <v>21.300071039999949</v>
      </c>
      <c r="M116" s="50"/>
      <c r="N116" s="48"/>
      <c r="O116">
        <v>32.51</v>
      </c>
      <c r="P116" s="47"/>
      <c r="Q116" s="46">
        <f t="shared" si="6"/>
        <v>0.8666666666666667</v>
      </c>
    </row>
    <row r="117" spans="1:17" ht="13.8" thickBot="1" x14ac:dyDescent="0.3">
      <c r="A117" s="2">
        <v>45753</v>
      </c>
      <c r="B117" s="41">
        <v>6.4</v>
      </c>
      <c r="C117" s="27">
        <v>45691</v>
      </c>
      <c r="D117" s="42">
        <v>3.2</v>
      </c>
      <c r="E117" s="27">
        <v>45721</v>
      </c>
      <c r="F117" s="42">
        <v>5.3</v>
      </c>
      <c r="G117" s="27">
        <v>45718</v>
      </c>
      <c r="H117" s="42">
        <v>2.2999999999999998</v>
      </c>
      <c r="I117" s="25" t="s">
        <v>13</v>
      </c>
      <c r="J117" s="29">
        <f t="shared" si="7"/>
        <v>32.67</v>
      </c>
      <c r="K117" s="50"/>
      <c r="L117" s="23">
        <f t="shared" ref="L117:L126" si="8">POWER(J117-K$2, 2)</f>
        <v>77.531547039999992</v>
      </c>
      <c r="M117" s="50"/>
      <c r="N117" s="48"/>
      <c r="O117">
        <v>32.67</v>
      </c>
      <c r="P117" s="47"/>
      <c r="Q117" s="46">
        <f t="shared" si="6"/>
        <v>0.88</v>
      </c>
    </row>
    <row r="118" spans="1:17" ht="13.8" thickBot="1" x14ac:dyDescent="0.3">
      <c r="A118" s="2">
        <v>45783</v>
      </c>
      <c r="B118" s="41">
        <v>6.5</v>
      </c>
      <c r="C118" s="25">
        <v>3</v>
      </c>
      <c r="D118" s="42">
        <v>3</v>
      </c>
      <c r="E118" s="27">
        <v>45782</v>
      </c>
      <c r="F118" s="42">
        <v>5.5</v>
      </c>
      <c r="G118" s="27">
        <v>45870</v>
      </c>
      <c r="H118" s="42">
        <v>1.8</v>
      </c>
      <c r="I118" s="25" t="s">
        <v>13</v>
      </c>
      <c r="J118" s="29">
        <f t="shared" si="7"/>
        <v>29.4</v>
      </c>
      <c r="K118" s="50"/>
      <c r="L118" s="23">
        <f t="shared" si="8"/>
        <v>30.638439039999955</v>
      </c>
      <c r="M118" s="50"/>
      <c r="N118" s="48"/>
      <c r="O118">
        <v>33.69</v>
      </c>
      <c r="P118" s="47"/>
      <c r="Q118" s="46">
        <f t="shared" si="6"/>
        <v>0.89333333333333331</v>
      </c>
    </row>
    <row r="119" spans="1:17" ht="13.8" thickBot="1" x14ac:dyDescent="0.3">
      <c r="A119" s="2">
        <v>45845</v>
      </c>
      <c r="B119" s="41">
        <v>7.7</v>
      </c>
      <c r="C119" s="27">
        <v>45872</v>
      </c>
      <c r="D119" s="42">
        <v>3.8</v>
      </c>
      <c r="E119" s="27">
        <v>45844</v>
      </c>
      <c r="F119" s="42">
        <v>6.7</v>
      </c>
      <c r="G119" s="27">
        <v>45690</v>
      </c>
      <c r="H119" s="42">
        <v>2.2000000000000002</v>
      </c>
      <c r="I119" s="25" t="s">
        <v>13</v>
      </c>
      <c r="J119" s="29">
        <f t="shared" si="7"/>
        <v>44</v>
      </c>
      <c r="K119" s="50"/>
      <c r="L119" s="23">
        <f t="shared" si="8"/>
        <v>405.42627903999988</v>
      </c>
      <c r="M119" s="50"/>
      <c r="N119" s="48"/>
      <c r="O119">
        <v>34.08</v>
      </c>
      <c r="P119" s="47"/>
      <c r="Q119" s="46">
        <f t="shared" si="6"/>
        <v>0.90666666666666662</v>
      </c>
    </row>
    <row r="120" spans="1:17" ht="13.8" thickBot="1" x14ac:dyDescent="0.3">
      <c r="A120" s="2">
        <v>45845</v>
      </c>
      <c r="B120" s="41">
        <v>7.7</v>
      </c>
      <c r="C120" s="27">
        <v>45810</v>
      </c>
      <c r="D120" s="42">
        <v>2.6</v>
      </c>
      <c r="E120" s="27">
        <v>45906</v>
      </c>
      <c r="F120" s="42">
        <v>6.9</v>
      </c>
      <c r="G120" s="27">
        <v>45718</v>
      </c>
      <c r="H120" s="42">
        <v>2.2999999999999998</v>
      </c>
      <c r="I120" s="25" t="s">
        <v>13</v>
      </c>
      <c r="J120" s="29">
        <f t="shared" si="7"/>
        <v>35.89</v>
      </c>
      <c r="K120" s="50"/>
      <c r="L120" s="23">
        <f t="shared" si="8"/>
        <v>144.60543503999995</v>
      </c>
      <c r="M120" s="50"/>
      <c r="N120" s="48"/>
      <c r="O120">
        <v>34.96</v>
      </c>
      <c r="P120" s="47"/>
      <c r="Q120" s="46">
        <f t="shared" si="6"/>
        <v>0.92</v>
      </c>
    </row>
    <row r="121" spans="1:17" ht="13.8" thickBot="1" x14ac:dyDescent="0.3">
      <c r="A121" s="1">
        <v>6</v>
      </c>
      <c r="B121" s="41">
        <v>6</v>
      </c>
      <c r="C121" s="27">
        <v>45690</v>
      </c>
      <c r="D121" s="42">
        <v>2.2000000000000002</v>
      </c>
      <c r="E121" s="25">
        <v>5</v>
      </c>
      <c r="F121" s="42">
        <v>5</v>
      </c>
      <c r="G121" s="27">
        <v>45778</v>
      </c>
      <c r="H121" s="42">
        <v>1.5</v>
      </c>
      <c r="I121" s="25" t="s">
        <v>13</v>
      </c>
      <c r="J121" s="29">
        <f t="shared" si="7"/>
        <v>20.700000000000003</v>
      </c>
      <c r="K121" s="50"/>
      <c r="L121" s="23">
        <f t="shared" si="8"/>
        <v>10.015959039999997</v>
      </c>
      <c r="M121" s="50"/>
      <c r="N121" s="48"/>
      <c r="O121">
        <v>35.19</v>
      </c>
      <c r="P121" s="47"/>
      <c r="Q121" s="46">
        <f t="shared" si="6"/>
        <v>0.93333333333333335</v>
      </c>
    </row>
    <row r="122" spans="1:17" ht="13.8" thickBot="1" x14ac:dyDescent="0.3">
      <c r="A122" s="2">
        <v>45906</v>
      </c>
      <c r="B122" s="41">
        <v>6.9</v>
      </c>
      <c r="C122" s="27">
        <v>45691</v>
      </c>
      <c r="D122" s="42">
        <v>3.2</v>
      </c>
      <c r="E122" s="27">
        <v>45843</v>
      </c>
      <c r="F122" s="42">
        <v>5.7</v>
      </c>
      <c r="G122" s="27">
        <v>45718</v>
      </c>
      <c r="H122" s="42">
        <v>2.2999999999999998</v>
      </c>
      <c r="I122" s="25" t="s">
        <v>13</v>
      </c>
      <c r="J122" s="29">
        <f t="shared" si="7"/>
        <v>35.19</v>
      </c>
      <c r="K122" s="50"/>
      <c r="L122" s="23">
        <f t="shared" si="8"/>
        <v>128.26015503999989</v>
      </c>
      <c r="M122" s="50"/>
      <c r="N122" s="48"/>
      <c r="O122">
        <v>35.79</v>
      </c>
      <c r="P122" s="47"/>
      <c r="Q122" s="46">
        <f t="shared" si="6"/>
        <v>0.94666666666666666</v>
      </c>
    </row>
    <row r="123" spans="1:17" ht="13.8" thickBot="1" x14ac:dyDescent="0.3">
      <c r="A123" s="2">
        <v>45813</v>
      </c>
      <c r="B123" s="41">
        <v>5.6</v>
      </c>
      <c r="C123" s="27">
        <v>45871</v>
      </c>
      <c r="D123" s="42">
        <v>2.8</v>
      </c>
      <c r="E123" s="27">
        <v>45904</v>
      </c>
      <c r="F123" s="42">
        <v>4.9000000000000004</v>
      </c>
      <c r="G123" s="25">
        <v>2</v>
      </c>
      <c r="H123" s="42">
        <v>2</v>
      </c>
      <c r="I123" s="25" t="s">
        <v>13</v>
      </c>
      <c r="J123" s="29">
        <f t="shared" si="7"/>
        <v>25.479999999999997</v>
      </c>
      <c r="K123" s="50"/>
      <c r="L123" s="23">
        <f t="shared" si="8"/>
        <v>2.6088710399999822</v>
      </c>
      <c r="M123" s="50"/>
      <c r="N123" s="48"/>
      <c r="O123">
        <v>35.89</v>
      </c>
      <c r="P123" s="47"/>
      <c r="Q123" s="46">
        <f t="shared" si="6"/>
        <v>0.96</v>
      </c>
    </row>
    <row r="124" spans="1:17" ht="13.8" thickBot="1" x14ac:dyDescent="0.3">
      <c r="A124" s="2">
        <v>45845</v>
      </c>
      <c r="B124" s="41">
        <v>7.7</v>
      </c>
      <c r="C124" s="27">
        <v>45871</v>
      </c>
      <c r="D124" s="42">
        <v>2.8</v>
      </c>
      <c r="E124" s="27">
        <v>45844</v>
      </c>
      <c r="F124" s="42">
        <v>6.7</v>
      </c>
      <c r="G124" s="25">
        <v>2</v>
      </c>
      <c r="H124" s="42">
        <v>2</v>
      </c>
      <c r="I124" s="25" t="s">
        <v>13</v>
      </c>
      <c r="J124" s="29">
        <f t="shared" si="7"/>
        <v>34.96</v>
      </c>
      <c r="K124" s="50"/>
      <c r="L124" s="23">
        <f t="shared" si="8"/>
        <v>123.10346303999997</v>
      </c>
      <c r="M124" s="50"/>
      <c r="N124" s="48"/>
      <c r="O124">
        <v>36.659999999999997</v>
      </c>
      <c r="P124" s="47"/>
      <c r="Q124" s="46">
        <f t="shared" si="6"/>
        <v>0.97333333333333338</v>
      </c>
    </row>
    <row r="125" spans="1:17" ht="13.8" thickBot="1" x14ac:dyDescent="0.3">
      <c r="A125" s="2">
        <v>45722</v>
      </c>
      <c r="B125" s="41">
        <v>6.3</v>
      </c>
      <c r="C125" s="27">
        <v>45840</v>
      </c>
      <c r="D125" s="42">
        <v>2.7</v>
      </c>
      <c r="E125" s="27">
        <v>45904</v>
      </c>
      <c r="F125" s="42">
        <v>4.9000000000000004</v>
      </c>
      <c r="G125" s="27">
        <v>45870</v>
      </c>
      <c r="H125" s="42">
        <v>1.8</v>
      </c>
      <c r="I125" s="25" t="s">
        <v>13</v>
      </c>
      <c r="J125" s="29">
        <f t="shared" si="7"/>
        <v>25.830000000000002</v>
      </c>
      <c r="K125" s="50"/>
      <c r="L125" s="23">
        <f t="shared" si="8"/>
        <v>3.8620110399999974</v>
      </c>
      <c r="M125" s="50"/>
      <c r="N125" s="48"/>
      <c r="O125">
        <v>41.17</v>
      </c>
      <c r="P125" s="47"/>
      <c r="Q125" s="46">
        <f t="shared" si="6"/>
        <v>0.98666666666666669</v>
      </c>
    </row>
    <row r="126" spans="1:17" ht="13.8" thickBot="1" x14ac:dyDescent="0.3">
      <c r="A126" s="2">
        <v>45844</v>
      </c>
      <c r="B126" s="43">
        <v>6.7</v>
      </c>
      <c r="C126" s="32">
        <v>45719</v>
      </c>
      <c r="D126" s="44">
        <v>3.3</v>
      </c>
      <c r="E126" s="32">
        <v>45843</v>
      </c>
      <c r="F126" s="44">
        <v>5.7</v>
      </c>
      <c r="G126" s="32">
        <v>45659</v>
      </c>
      <c r="H126" s="44">
        <v>2.1</v>
      </c>
      <c r="I126" s="34" t="s">
        <v>13</v>
      </c>
      <c r="J126" s="36">
        <f t="shared" si="7"/>
        <v>34.08</v>
      </c>
      <c r="K126" s="50"/>
      <c r="L126" s="23">
        <f t="shared" si="8"/>
        <v>104.35031103999991</v>
      </c>
      <c r="M126" s="51"/>
      <c r="N126" s="48"/>
      <c r="O126">
        <v>44</v>
      </c>
      <c r="P126" s="47"/>
      <c r="Q126" s="46">
        <f t="shared" si="6"/>
        <v>1</v>
      </c>
    </row>
    <row r="127" spans="1:17" ht="13.2" hidden="1" customHeight="1" x14ac:dyDescent="0.25">
      <c r="A127" s="2">
        <v>45695</v>
      </c>
      <c r="B127" s="13"/>
      <c r="C127" s="2">
        <v>45691</v>
      </c>
      <c r="D127" s="6"/>
      <c r="E127" s="1">
        <v>6</v>
      </c>
      <c r="F127" s="6"/>
      <c r="G127" s="2">
        <v>45870</v>
      </c>
      <c r="H127" s="6"/>
      <c r="I127" s="1" t="s">
        <v>13</v>
      </c>
      <c r="K127" s="50"/>
      <c r="N127" s="48"/>
      <c r="P127" s="47"/>
    </row>
    <row r="128" spans="1:17" ht="13.2" hidden="1" customHeight="1" x14ac:dyDescent="0.25">
      <c r="A128" s="2">
        <v>45694</v>
      </c>
      <c r="B128" s="13"/>
      <c r="C128" s="2">
        <v>45871</v>
      </c>
      <c r="D128" s="6"/>
      <c r="E128" s="2">
        <v>45873</v>
      </c>
      <c r="F128" s="6"/>
      <c r="G128" s="2">
        <v>45870</v>
      </c>
      <c r="H128" s="6"/>
      <c r="I128" s="1" t="s">
        <v>13</v>
      </c>
      <c r="K128" s="50"/>
      <c r="N128" s="48"/>
      <c r="P128" s="47"/>
    </row>
    <row r="129" spans="1:16" ht="13.2" hidden="1" customHeight="1" x14ac:dyDescent="0.25">
      <c r="A129" s="2">
        <v>45663</v>
      </c>
      <c r="B129" s="13"/>
      <c r="C129" s="1">
        <v>3</v>
      </c>
      <c r="D129" s="6"/>
      <c r="E129" s="2">
        <v>45904</v>
      </c>
      <c r="F129" s="6"/>
      <c r="G129" s="2">
        <v>45870</v>
      </c>
      <c r="H129" s="6"/>
      <c r="I129" s="1" t="s">
        <v>13</v>
      </c>
      <c r="K129" s="50"/>
      <c r="N129" s="48"/>
      <c r="P129" s="47"/>
    </row>
    <row r="130" spans="1:16" ht="13.2" hidden="1" customHeight="1" x14ac:dyDescent="0.25">
      <c r="A130" s="2">
        <v>45753</v>
      </c>
      <c r="B130" s="13"/>
      <c r="C130" s="2">
        <v>45871</v>
      </c>
      <c r="D130" s="6"/>
      <c r="E130" s="2">
        <v>45813</v>
      </c>
      <c r="F130" s="6"/>
      <c r="G130" s="2">
        <v>45659</v>
      </c>
      <c r="H130" s="6"/>
      <c r="I130" s="1" t="s">
        <v>13</v>
      </c>
      <c r="K130" s="50"/>
      <c r="N130" s="48"/>
      <c r="P130" s="47"/>
    </row>
    <row r="131" spans="1:16" ht="13.2" hidden="1" customHeight="1" x14ac:dyDescent="0.25">
      <c r="A131" s="2">
        <v>45695</v>
      </c>
      <c r="B131" s="13"/>
      <c r="C131" s="1">
        <v>3</v>
      </c>
      <c r="D131" s="6"/>
      <c r="E131" s="2">
        <v>45874</v>
      </c>
      <c r="F131" s="6"/>
      <c r="G131" s="2">
        <v>45809</v>
      </c>
      <c r="H131" s="6"/>
      <c r="I131" s="1" t="s">
        <v>13</v>
      </c>
      <c r="K131" s="50"/>
      <c r="N131" s="48"/>
      <c r="P131" s="47"/>
    </row>
    <row r="132" spans="1:16" ht="13.2" hidden="1" customHeight="1" x14ac:dyDescent="0.25">
      <c r="A132" s="2">
        <v>45754</v>
      </c>
      <c r="B132" s="13"/>
      <c r="C132" s="2">
        <v>45871</v>
      </c>
      <c r="D132" s="6"/>
      <c r="E132" s="2">
        <v>45663</v>
      </c>
      <c r="F132" s="6"/>
      <c r="G132" s="2">
        <v>45901</v>
      </c>
      <c r="H132" s="6"/>
      <c r="I132" s="1" t="s">
        <v>13</v>
      </c>
      <c r="K132" s="50"/>
      <c r="N132" s="48"/>
      <c r="P132" s="47"/>
    </row>
    <row r="133" spans="1:16" ht="13.2" hidden="1" customHeight="1" x14ac:dyDescent="0.25">
      <c r="A133" s="2">
        <v>45907</v>
      </c>
      <c r="B133" s="13"/>
      <c r="C133" s="2">
        <v>45872</v>
      </c>
      <c r="D133" s="6"/>
      <c r="E133" s="2">
        <v>45753</v>
      </c>
      <c r="F133" s="6"/>
      <c r="G133" s="1">
        <v>2</v>
      </c>
      <c r="H133" s="6"/>
      <c r="I133" s="1" t="s">
        <v>13</v>
      </c>
      <c r="K133" s="50"/>
      <c r="N133" s="48"/>
      <c r="P133" s="47"/>
    </row>
    <row r="134" spans="1:16" ht="13.2" hidden="1" customHeight="1" x14ac:dyDescent="0.25">
      <c r="A134" s="2">
        <v>45753</v>
      </c>
      <c r="B134" s="13"/>
      <c r="C134" s="2">
        <v>45871</v>
      </c>
      <c r="D134" s="6"/>
      <c r="E134" s="2">
        <v>45813</v>
      </c>
      <c r="F134" s="6"/>
      <c r="G134" s="2">
        <v>45690</v>
      </c>
      <c r="H134" s="6"/>
      <c r="I134" s="1" t="s">
        <v>13</v>
      </c>
      <c r="K134" s="50"/>
      <c r="N134" s="48"/>
      <c r="P134" s="47"/>
    </row>
    <row r="135" spans="1:16" ht="13.2" hidden="1" customHeight="1" x14ac:dyDescent="0.25">
      <c r="A135" s="2">
        <v>45722</v>
      </c>
      <c r="B135" s="13"/>
      <c r="C135" s="2">
        <v>45871</v>
      </c>
      <c r="D135" s="6"/>
      <c r="E135" s="2">
        <v>45662</v>
      </c>
      <c r="F135" s="6"/>
      <c r="G135" s="2">
        <v>45778</v>
      </c>
      <c r="H135" s="6"/>
      <c r="I135" s="1" t="s">
        <v>13</v>
      </c>
      <c r="K135" s="50"/>
      <c r="N135" s="48"/>
      <c r="P135" s="47"/>
    </row>
    <row r="136" spans="1:16" ht="13.2" hidden="1" customHeight="1" x14ac:dyDescent="0.25">
      <c r="A136" s="2">
        <v>45663</v>
      </c>
      <c r="B136" s="13"/>
      <c r="C136" s="2">
        <v>45810</v>
      </c>
      <c r="D136" s="6"/>
      <c r="E136" s="2">
        <v>45813</v>
      </c>
      <c r="F136" s="6"/>
      <c r="G136" s="2">
        <v>45748</v>
      </c>
      <c r="H136" s="6"/>
      <c r="I136" s="1" t="s">
        <v>13</v>
      </c>
      <c r="K136" s="50"/>
      <c r="N136" s="48"/>
      <c r="P136" s="47"/>
    </row>
    <row r="137" spans="1:16" ht="13.2" hidden="1" customHeight="1" x14ac:dyDescent="0.25">
      <c r="A137" s="2">
        <v>45845</v>
      </c>
      <c r="B137" s="13"/>
      <c r="C137" s="1">
        <v>3</v>
      </c>
      <c r="D137" s="6"/>
      <c r="E137" s="2">
        <v>45663</v>
      </c>
      <c r="F137" s="6"/>
      <c r="G137" s="2">
        <v>45718</v>
      </c>
      <c r="H137" s="6"/>
      <c r="I137" s="1" t="s">
        <v>13</v>
      </c>
      <c r="K137" s="50"/>
      <c r="N137" s="48"/>
      <c r="P137" s="47"/>
    </row>
    <row r="138" spans="1:16" ht="13.2" hidden="1" customHeight="1" x14ac:dyDescent="0.25">
      <c r="A138" s="2">
        <v>45722</v>
      </c>
      <c r="B138" s="13"/>
      <c r="C138" s="2">
        <v>45750</v>
      </c>
      <c r="D138" s="6"/>
      <c r="E138" s="2">
        <v>45813</v>
      </c>
      <c r="F138" s="6"/>
      <c r="G138" s="2">
        <v>45749</v>
      </c>
      <c r="H138" s="6"/>
      <c r="I138" s="1" t="s">
        <v>13</v>
      </c>
      <c r="K138" s="50"/>
      <c r="N138" s="48"/>
      <c r="P138" s="47"/>
    </row>
    <row r="139" spans="1:16" ht="13.2" hidden="1" customHeight="1" x14ac:dyDescent="0.25">
      <c r="A139" s="2">
        <v>45753</v>
      </c>
      <c r="B139" s="13"/>
      <c r="C139" s="2">
        <v>45660</v>
      </c>
      <c r="D139" s="6"/>
      <c r="E139" s="2">
        <v>45782</v>
      </c>
      <c r="F139" s="6"/>
      <c r="G139" s="2">
        <v>45870</v>
      </c>
      <c r="H139" s="6"/>
      <c r="I139" s="1" t="s">
        <v>13</v>
      </c>
      <c r="K139" s="50"/>
      <c r="N139" s="48"/>
      <c r="P139" s="47"/>
    </row>
    <row r="140" spans="1:16" ht="13.2" hidden="1" customHeight="1" x14ac:dyDescent="0.25">
      <c r="A140" s="1">
        <v>6</v>
      </c>
      <c r="B140" s="13"/>
      <c r="C140" s="1">
        <v>3</v>
      </c>
      <c r="D140" s="6"/>
      <c r="E140" s="2">
        <v>45873</v>
      </c>
      <c r="F140" s="6"/>
      <c r="G140" s="2">
        <v>45870</v>
      </c>
      <c r="H140" s="6"/>
      <c r="I140" s="1" t="s">
        <v>13</v>
      </c>
      <c r="K140" s="50"/>
      <c r="N140" s="48"/>
      <c r="P140" s="47"/>
    </row>
    <row r="141" spans="1:16" ht="13.2" hidden="1" customHeight="1" x14ac:dyDescent="0.25">
      <c r="A141" s="2">
        <v>45906</v>
      </c>
      <c r="B141" s="13"/>
      <c r="C141" s="2">
        <v>45660</v>
      </c>
      <c r="D141" s="6"/>
      <c r="E141" s="2">
        <v>45752</v>
      </c>
      <c r="F141" s="6"/>
      <c r="G141" s="2">
        <v>45659</v>
      </c>
      <c r="H141" s="6"/>
      <c r="I141" s="1" t="s">
        <v>13</v>
      </c>
      <c r="K141" s="50"/>
      <c r="N141" s="48"/>
      <c r="P141" s="47"/>
    </row>
    <row r="142" spans="1:16" ht="13.2" hidden="1" customHeight="1" x14ac:dyDescent="0.25">
      <c r="A142" s="2">
        <v>45844</v>
      </c>
      <c r="B142" s="13"/>
      <c r="C142" s="2">
        <v>45660</v>
      </c>
      <c r="D142" s="6"/>
      <c r="E142" s="2">
        <v>45813</v>
      </c>
      <c r="F142" s="6"/>
      <c r="G142" s="2">
        <v>45749</v>
      </c>
      <c r="H142" s="6"/>
      <c r="I142" s="1" t="s">
        <v>13</v>
      </c>
      <c r="K142" s="50"/>
      <c r="N142" s="48"/>
      <c r="P142" s="47"/>
    </row>
    <row r="143" spans="1:16" ht="13.2" hidden="1" customHeight="1" x14ac:dyDescent="0.25">
      <c r="A143" s="2">
        <v>45906</v>
      </c>
      <c r="B143" s="13"/>
      <c r="C143" s="2">
        <v>45660</v>
      </c>
      <c r="D143" s="6"/>
      <c r="E143" s="2">
        <v>45662</v>
      </c>
      <c r="F143" s="6"/>
      <c r="G143" s="2">
        <v>45718</v>
      </c>
      <c r="H143" s="6"/>
      <c r="I143" s="1" t="s">
        <v>13</v>
      </c>
      <c r="K143" s="50"/>
      <c r="N143" s="48"/>
      <c r="P143" s="47"/>
    </row>
    <row r="144" spans="1:16" ht="13.2" hidden="1" customHeight="1" x14ac:dyDescent="0.25">
      <c r="A144" s="2">
        <v>45874</v>
      </c>
      <c r="B144" s="13"/>
      <c r="C144" s="2">
        <v>45840</v>
      </c>
      <c r="D144" s="6"/>
      <c r="E144" s="2">
        <v>45662</v>
      </c>
      <c r="F144" s="6"/>
      <c r="G144" s="2">
        <v>45901</v>
      </c>
      <c r="H144" s="6"/>
      <c r="I144" s="1" t="s">
        <v>13</v>
      </c>
      <c r="K144" s="50"/>
      <c r="N144" s="48"/>
      <c r="P144" s="47"/>
    </row>
    <row r="145" spans="1:16" ht="13.2" hidden="1" customHeight="1" x14ac:dyDescent="0.25">
      <c r="A145" s="2">
        <v>45875</v>
      </c>
      <c r="B145" s="13"/>
      <c r="C145" s="2">
        <v>45691</v>
      </c>
      <c r="D145" s="6"/>
      <c r="E145" s="2">
        <v>45905</v>
      </c>
      <c r="F145" s="6"/>
      <c r="G145" s="2">
        <v>45718</v>
      </c>
      <c r="H145" s="6"/>
      <c r="I145" s="1" t="s">
        <v>13</v>
      </c>
      <c r="K145" s="50"/>
      <c r="N145" s="48"/>
      <c r="P145" s="47"/>
    </row>
    <row r="146" spans="1:16" ht="13.2" hidden="1" customHeight="1" x14ac:dyDescent="0.25">
      <c r="A146" s="2">
        <v>45844</v>
      </c>
      <c r="B146" s="13"/>
      <c r="C146" s="2">
        <v>45719</v>
      </c>
      <c r="D146" s="6"/>
      <c r="E146" s="2">
        <v>45843</v>
      </c>
      <c r="F146" s="6"/>
      <c r="G146" s="2">
        <v>45779</v>
      </c>
      <c r="H146" s="6"/>
      <c r="I146" s="1" t="s">
        <v>13</v>
      </c>
      <c r="K146" s="50"/>
      <c r="N146" s="48"/>
      <c r="P146" s="47"/>
    </row>
    <row r="147" spans="1:16" ht="13.2" hidden="1" customHeight="1" x14ac:dyDescent="0.25">
      <c r="A147" s="2">
        <v>45844</v>
      </c>
      <c r="B147" s="13"/>
      <c r="C147" s="1">
        <v>3</v>
      </c>
      <c r="D147" s="6"/>
      <c r="E147" s="2">
        <v>45693</v>
      </c>
      <c r="F147" s="6"/>
      <c r="G147" s="2">
        <v>45718</v>
      </c>
      <c r="H147" s="6"/>
      <c r="I147" s="1" t="s">
        <v>13</v>
      </c>
      <c r="K147" s="50"/>
      <c r="N147" s="48"/>
      <c r="P147" s="47"/>
    </row>
    <row r="148" spans="1:16" ht="13.2" hidden="1" customHeight="1" x14ac:dyDescent="0.25">
      <c r="A148" s="2">
        <v>45722</v>
      </c>
      <c r="B148" s="13"/>
      <c r="C148" s="2">
        <v>45779</v>
      </c>
      <c r="D148" s="6"/>
      <c r="E148" s="1">
        <v>5</v>
      </c>
      <c r="F148" s="6"/>
      <c r="G148" s="2">
        <v>45901</v>
      </c>
      <c r="H148" s="6"/>
      <c r="I148" s="1" t="s">
        <v>13</v>
      </c>
      <c r="K148" s="50"/>
      <c r="N148" s="48"/>
      <c r="P148" s="47"/>
    </row>
    <row r="149" spans="1:16" ht="13.2" hidden="1" customHeight="1" x14ac:dyDescent="0.25">
      <c r="A149" s="2">
        <v>45783</v>
      </c>
      <c r="B149" s="13"/>
      <c r="C149" s="1">
        <v>3</v>
      </c>
      <c r="D149" s="6"/>
      <c r="E149" s="2">
        <v>45693</v>
      </c>
      <c r="F149" s="6"/>
      <c r="G149" s="1">
        <v>2</v>
      </c>
      <c r="H149" s="6"/>
      <c r="I149" s="1" t="s">
        <v>13</v>
      </c>
      <c r="K149" s="50"/>
      <c r="N149" s="48"/>
      <c r="P149" s="47"/>
    </row>
    <row r="150" spans="1:16" ht="13.2" hidden="1" customHeight="1" x14ac:dyDescent="0.25">
      <c r="A150" s="2">
        <v>45694</v>
      </c>
      <c r="B150" s="13"/>
      <c r="C150" s="2">
        <v>45750</v>
      </c>
      <c r="D150" s="6"/>
      <c r="E150" s="2">
        <v>45752</v>
      </c>
      <c r="F150" s="6"/>
      <c r="G150" s="2">
        <v>45718</v>
      </c>
      <c r="H150" s="6"/>
      <c r="I150" s="1" t="s">
        <v>13</v>
      </c>
      <c r="K150" s="50"/>
      <c r="N150" s="48"/>
    </row>
    <row r="151" spans="1:16" ht="13.2" hidden="1" customHeight="1" x14ac:dyDescent="0.25">
      <c r="A151" s="2">
        <v>45905</v>
      </c>
      <c r="B151" s="13"/>
      <c r="C151" s="1">
        <v>3</v>
      </c>
      <c r="D151" s="6"/>
      <c r="E151" s="2">
        <v>45662</v>
      </c>
      <c r="F151" s="6"/>
      <c r="G151" s="2">
        <v>45870</v>
      </c>
      <c r="H151" s="6"/>
      <c r="I151" s="1" t="s">
        <v>13</v>
      </c>
      <c r="K151" s="50"/>
    </row>
    <row r="152" spans="1:16" x14ac:dyDescent="0.25">
      <c r="B152" s="14"/>
      <c r="D152" s="7"/>
      <c r="F152" s="7"/>
      <c r="H152" s="7"/>
    </row>
  </sheetData>
  <sortState ref="O2:O126">
    <sortCondition ref="O2"/>
  </sortState>
  <mergeCells count="4">
    <mergeCell ref="K2:K151"/>
    <mergeCell ref="M2:M126"/>
    <mergeCell ref="N2:N150"/>
    <mergeCell ref="P2:P1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iris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2025-05-25T22:05:13Z</dcterms:modified>
</cp:coreProperties>
</file>