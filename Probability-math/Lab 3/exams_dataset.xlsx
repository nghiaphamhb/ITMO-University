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IMPORTANT_STUDY\Мат. Статистика\Lab 3\"/>
    </mc:Choice>
  </mc:AlternateContent>
  <bookViews>
    <workbookView xWindow="0" yWindow="0" windowWidth="23040" windowHeight="9072" activeTab="2"/>
  </bookViews>
  <sheets>
    <sheet name="exams_dataset" sheetId="1" r:id="rId1"/>
    <sheet name="exams_dataset (2)" sheetId="2" r:id="rId2"/>
    <sheet name="exams_dataset (3)" sheetId="3" r:id="rId3"/>
  </sheets>
  <calcPr calcId="162913"/>
</workbook>
</file>

<file path=xl/calcChain.xml><?xml version="1.0" encoding="utf-8"?>
<calcChain xmlns="http://schemas.openxmlformats.org/spreadsheetml/2006/main">
  <c r="O2" i="3" l="1"/>
  <c r="M22" i="3"/>
  <c r="K13" i="3"/>
  <c r="M2" i="3"/>
  <c r="K998" i="3"/>
  <c r="K999" i="3"/>
  <c r="K1000" i="3"/>
  <c r="K1001" i="3"/>
  <c r="K3" i="3"/>
  <c r="K4" i="3"/>
  <c r="K5" i="3"/>
  <c r="K6" i="3"/>
  <c r="K7" i="3"/>
  <c r="K8" i="3"/>
  <c r="K9" i="3"/>
  <c r="K10" i="3"/>
  <c r="K11" i="3"/>
  <c r="K12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2" i="3"/>
  <c r="I502" i="3"/>
  <c r="J502" i="3"/>
  <c r="I503" i="3"/>
  <c r="J503" i="3"/>
  <c r="I504" i="3"/>
  <c r="J504" i="3"/>
  <c r="I505" i="3"/>
  <c r="J505" i="3"/>
  <c r="I506" i="3"/>
  <c r="J506" i="3"/>
  <c r="I507" i="3"/>
  <c r="J507" i="3"/>
  <c r="I508" i="3"/>
  <c r="J508" i="3"/>
  <c r="I509" i="3"/>
  <c r="J509" i="3"/>
  <c r="I510" i="3"/>
  <c r="J510" i="3"/>
  <c r="I511" i="3"/>
  <c r="J511" i="3"/>
  <c r="I512" i="3"/>
  <c r="J512" i="3"/>
  <c r="I513" i="3"/>
  <c r="J513" i="3"/>
  <c r="I514" i="3"/>
  <c r="J514" i="3"/>
  <c r="I515" i="3"/>
  <c r="J515" i="3"/>
  <c r="I516" i="3"/>
  <c r="J516" i="3"/>
  <c r="I517" i="3"/>
  <c r="J517" i="3"/>
  <c r="I518" i="3"/>
  <c r="J518" i="3"/>
  <c r="I519" i="3"/>
  <c r="J519" i="3"/>
  <c r="I520" i="3"/>
  <c r="J520" i="3"/>
  <c r="I521" i="3"/>
  <c r="J521" i="3"/>
  <c r="I522" i="3"/>
  <c r="J522" i="3"/>
  <c r="I523" i="3"/>
  <c r="J523" i="3"/>
  <c r="I524" i="3"/>
  <c r="J524" i="3"/>
  <c r="I525" i="3"/>
  <c r="J525" i="3"/>
  <c r="I526" i="3"/>
  <c r="J526" i="3"/>
  <c r="I527" i="3"/>
  <c r="J527" i="3"/>
  <c r="I528" i="3"/>
  <c r="J528" i="3"/>
  <c r="I529" i="3"/>
  <c r="J529" i="3"/>
  <c r="I530" i="3"/>
  <c r="J530" i="3"/>
  <c r="I531" i="3"/>
  <c r="J531" i="3"/>
  <c r="I532" i="3"/>
  <c r="J532" i="3"/>
  <c r="I533" i="3"/>
  <c r="J533" i="3"/>
  <c r="I534" i="3"/>
  <c r="J534" i="3"/>
  <c r="I535" i="3"/>
  <c r="J535" i="3"/>
  <c r="I536" i="3"/>
  <c r="J536" i="3"/>
  <c r="I537" i="3"/>
  <c r="J537" i="3"/>
  <c r="I538" i="3"/>
  <c r="J538" i="3"/>
  <c r="I539" i="3"/>
  <c r="J539" i="3"/>
  <c r="I540" i="3"/>
  <c r="J540" i="3"/>
  <c r="I541" i="3"/>
  <c r="J541" i="3"/>
  <c r="I542" i="3"/>
  <c r="J542" i="3"/>
  <c r="I543" i="3"/>
  <c r="J543" i="3"/>
  <c r="I544" i="3"/>
  <c r="J544" i="3"/>
  <c r="I545" i="3"/>
  <c r="J545" i="3"/>
  <c r="I546" i="3"/>
  <c r="J546" i="3"/>
  <c r="I547" i="3"/>
  <c r="J547" i="3"/>
  <c r="I548" i="3"/>
  <c r="J548" i="3"/>
  <c r="I549" i="3"/>
  <c r="J549" i="3"/>
  <c r="I550" i="3"/>
  <c r="J550" i="3"/>
  <c r="I551" i="3"/>
  <c r="J551" i="3"/>
  <c r="I552" i="3"/>
  <c r="J552" i="3"/>
  <c r="I553" i="3"/>
  <c r="J553" i="3"/>
  <c r="I554" i="3"/>
  <c r="J554" i="3"/>
  <c r="I555" i="3"/>
  <c r="J555" i="3"/>
  <c r="I556" i="3"/>
  <c r="J556" i="3"/>
  <c r="I557" i="3"/>
  <c r="J557" i="3"/>
  <c r="I558" i="3"/>
  <c r="J558" i="3"/>
  <c r="I559" i="3"/>
  <c r="J559" i="3"/>
  <c r="I560" i="3"/>
  <c r="J560" i="3"/>
  <c r="I561" i="3"/>
  <c r="J561" i="3"/>
  <c r="I562" i="3"/>
  <c r="J562" i="3"/>
  <c r="I563" i="3"/>
  <c r="J563" i="3"/>
  <c r="I564" i="3"/>
  <c r="J564" i="3"/>
  <c r="I565" i="3"/>
  <c r="J565" i="3"/>
  <c r="I566" i="3"/>
  <c r="J566" i="3"/>
  <c r="I567" i="3"/>
  <c r="J567" i="3"/>
  <c r="I568" i="3"/>
  <c r="J568" i="3"/>
  <c r="I569" i="3"/>
  <c r="J569" i="3"/>
  <c r="I570" i="3"/>
  <c r="J570" i="3"/>
  <c r="I571" i="3"/>
  <c r="J571" i="3"/>
  <c r="I572" i="3"/>
  <c r="J572" i="3"/>
  <c r="I573" i="3"/>
  <c r="J573" i="3"/>
  <c r="I574" i="3"/>
  <c r="J574" i="3"/>
  <c r="I575" i="3"/>
  <c r="J575" i="3"/>
  <c r="I576" i="3"/>
  <c r="J576" i="3"/>
  <c r="I577" i="3"/>
  <c r="J577" i="3"/>
  <c r="I578" i="3"/>
  <c r="J578" i="3"/>
  <c r="I579" i="3"/>
  <c r="J579" i="3"/>
  <c r="I580" i="3"/>
  <c r="J580" i="3"/>
  <c r="I581" i="3"/>
  <c r="J581" i="3"/>
  <c r="I582" i="3"/>
  <c r="J582" i="3"/>
  <c r="I583" i="3"/>
  <c r="J583" i="3"/>
  <c r="I584" i="3"/>
  <c r="J584" i="3"/>
  <c r="I585" i="3"/>
  <c r="J585" i="3"/>
  <c r="I586" i="3"/>
  <c r="J586" i="3"/>
  <c r="I587" i="3"/>
  <c r="J587" i="3"/>
  <c r="I588" i="3"/>
  <c r="J588" i="3"/>
  <c r="I589" i="3"/>
  <c r="J589" i="3"/>
  <c r="I590" i="3"/>
  <c r="J590" i="3"/>
  <c r="I591" i="3"/>
  <c r="J591" i="3"/>
  <c r="I592" i="3"/>
  <c r="J592" i="3"/>
  <c r="I593" i="3"/>
  <c r="J593" i="3"/>
  <c r="I594" i="3"/>
  <c r="J594" i="3"/>
  <c r="I595" i="3"/>
  <c r="J595" i="3"/>
  <c r="I596" i="3"/>
  <c r="J596" i="3"/>
  <c r="I597" i="3"/>
  <c r="J597" i="3"/>
  <c r="I598" i="3"/>
  <c r="J598" i="3"/>
  <c r="I599" i="3"/>
  <c r="J599" i="3"/>
  <c r="I600" i="3"/>
  <c r="J600" i="3"/>
  <c r="I601" i="3"/>
  <c r="J601" i="3"/>
  <c r="I602" i="3"/>
  <c r="J602" i="3"/>
  <c r="I603" i="3"/>
  <c r="J603" i="3"/>
  <c r="I604" i="3"/>
  <c r="J604" i="3"/>
  <c r="I605" i="3"/>
  <c r="J605" i="3"/>
  <c r="I606" i="3"/>
  <c r="J606" i="3"/>
  <c r="I607" i="3"/>
  <c r="J607" i="3"/>
  <c r="I608" i="3"/>
  <c r="J608" i="3"/>
  <c r="I609" i="3"/>
  <c r="J609" i="3"/>
  <c r="I610" i="3"/>
  <c r="J610" i="3"/>
  <c r="I611" i="3"/>
  <c r="J611" i="3"/>
  <c r="I612" i="3"/>
  <c r="J612" i="3"/>
  <c r="I613" i="3"/>
  <c r="J613" i="3"/>
  <c r="I614" i="3"/>
  <c r="J614" i="3"/>
  <c r="I615" i="3"/>
  <c r="J615" i="3"/>
  <c r="I616" i="3"/>
  <c r="J616" i="3"/>
  <c r="I617" i="3"/>
  <c r="J617" i="3"/>
  <c r="I618" i="3"/>
  <c r="J618" i="3"/>
  <c r="I619" i="3"/>
  <c r="J619" i="3"/>
  <c r="I620" i="3"/>
  <c r="J620" i="3"/>
  <c r="I621" i="3"/>
  <c r="J621" i="3"/>
  <c r="I622" i="3"/>
  <c r="J622" i="3"/>
  <c r="I623" i="3"/>
  <c r="J623" i="3"/>
  <c r="I624" i="3"/>
  <c r="J624" i="3"/>
  <c r="I625" i="3"/>
  <c r="J625" i="3"/>
  <c r="I626" i="3"/>
  <c r="J626" i="3"/>
  <c r="I627" i="3"/>
  <c r="J627" i="3"/>
  <c r="I628" i="3"/>
  <c r="J628" i="3"/>
  <c r="I629" i="3"/>
  <c r="J629" i="3"/>
  <c r="I630" i="3"/>
  <c r="J630" i="3"/>
  <c r="I631" i="3"/>
  <c r="J631" i="3"/>
  <c r="I632" i="3"/>
  <c r="J632" i="3"/>
  <c r="I633" i="3"/>
  <c r="J633" i="3"/>
  <c r="I634" i="3"/>
  <c r="J634" i="3"/>
  <c r="I635" i="3"/>
  <c r="J635" i="3"/>
  <c r="I636" i="3"/>
  <c r="J636" i="3"/>
  <c r="I637" i="3"/>
  <c r="J637" i="3"/>
  <c r="I638" i="3"/>
  <c r="J638" i="3"/>
  <c r="I639" i="3"/>
  <c r="J639" i="3"/>
  <c r="I640" i="3"/>
  <c r="J640" i="3"/>
  <c r="I641" i="3"/>
  <c r="J641" i="3"/>
  <c r="I642" i="3"/>
  <c r="J642" i="3"/>
  <c r="I643" i="3"/>
  <c r="J643" i="3"/>
  <c r="I644" i="3"/>
  <c r="J644" i="3"/>
  <c r="I645" i="3"/>
  <c r="J645" i="3"/>
  <c r="I646" i="3"/>
  <c r="J646" i="3"/>
  <c r="I647" i="3"/>
  <c r="J647" i="3"/>
  <c r="I648" i="3"/>
  <c r="J648" i="3"/>
  <c r="I649" i="3"/>
  <c r="J649" i="3"/>
  <c r="I650" i="3"/>
  <c r="J650" i="3"/>
  <c r="I651" i="3"/>
  <c r="J651" i="3"/>
  <c r="I652" i="3"/>
  <c r="J652" i="3"/>
  <c r="I653" i="3"/>
  <c r="J653" i="3"/>
  <c r="I654" i="3"/>
  <c r="J654" i="3"/>
  <c r="I655" i="3"/>
  <c r="J655" i="3"/>
  <c r="I656" i="3"/>
  <c r="J656" i="3"/>
  <c r="I657" i="3"/>
  <c r="J657" i="3"/>
  <c r="I658" i="3"/>
  <c r="J658" i="3"/>
  <c r="I659" i="3"/>
  <c r="J659" i="3"/>
  <c r="I660" i="3"/>
  <c r="J660" i="3"/>
  <c r="I661" i="3"/>
  <c r="J661" i="3"/>
  <c r="I662" i="3"/>
  <c r="J662" i="3"/>
  <c r="I663" i="3"/>
  <c r="J663" i="3"/>
  <c r="I664" i="3"/>
  <c r="J664" i="3"/>
  <c r="I665" i="3"/>
  <c r="J665" i="3"/>
  <c r="I666" i="3"/>
  <c r="J666" i="3"/>
  <c r="I667" i="3"/>
  <c r="J667" i="3"/>
  <c r="I668" i="3"/>
  <c r="J668" i="3"/>
  <c r="I669" i="3"/>
  <c r="J669" i="3"/>
  <c r="I670" i="3"/>
  <c r="J670" i="3"/>
  <c r="I671" i="3"/>
  <c r="J671" i="3"/>
  <c r="I672" i="3"/>
  <c r="J672" i="3"/>
  <c r="I673" i="3"/>
  <c r="J673" i="3"/>
  <c r="I674" i="3"/>
  <c r="J674" i="3"/>
  <c r="I675" i="3"/>
  <c r="J675" i="3"/>
  <c r="I676" i="3"/>
  <c r="J676" i="3"/>
  <c r="I677" i="3"/>
  <c r="J677" i="3"/>
  <c r="I678" i="3"/>
  <c r="J678" i="3"/>
  <c r="I679" i="3"/>
  <c r="J679" i="3"/>
  <c r="I680" i="3"/>
  <c r="J680" i="3"/>
  <c r="I681" i="3"/>
  <c r="J681" i="3"/>
  <c r="I682" i="3"/>
  <c r="J682" i="3"/>
  <c r="I683" i="3"/>
  <c r="J683" i="3"/>
  <c r="I684" i="3"/>
  <c r="J684" i="3"/>
  <c r="I685" i="3"/>
  <c r="J685" i="3"/>
  <c r="I686" i="3"/>
  <c r="J686" i="3"/>
  <c r="I687" i="3"/>
  <c r="J687" i="3"/>
  <c r="I688" i="3"/>
  <c r="J688" i="3"/>
  <c r="I689" i="3"/>
  <c r="J689" i="3"/>
  <c r="I690" i="3"/>
  <c r="J690" i="3"/>
  <c r="I691" i="3"/>
  <c r="J691" i="3"/>
  <c r="I692" i="3"/>
  <c r="J692" i="3"/>
  <c r="I693" i="3"/>
  <c r="J693" i="3"/>
  <c r="I694" i="3"/>
  <c r="J694" i="3"/>
  <c r="I695" i="3"/>
  <c r="J695" i="3"/>
  <c r="I696" i="3"/>
  <c r="J696" i="3"/>
  <c r="I697" i="3"/>
  <c r="J697" i="3"/>
  <c r="I698" i="3"/>
  <c r="J698" i="3"/>
  <c r="I699" i="3"/>
  <c r="J699" i="3"/>
  <c r="I700" i="3"/>
  <c r="J700" i="3"/>
  <c r="I701" i="3"/>
  <c r="J701" i="3"/>
  <c r="I702" i="3"/>
  <c r="J702" i="3"/>
  <c r="I703" i="3"/>
  <c r="J703" i="3"/>
  <c r="I704" i="3"/>
  <c r="J704" i="3"/>
  <c r="I705" i="3"/>
  <c r="J705" i="3"/>
  <c r="I706" i="3"/>
  <c r="J706" i="3"/>
  <c r="I707" i="3"/>
  <c r="J707" i="3"/>
  <c r="I708" i="3"/>
  <c r="J708" i="3"/>
  <c r="I709" i="3"/>
  <c r="J709" i="3"/>
  <c r="I710" i="3"/>
  <c r="J710" i="3"/>
  <c r="I711" i="3"/>
  <c r="J711" i="3"/>
  <c r="I712" i="3"/>
  <c r="J712" i="3"/>
  <c r="I713" i="3"/>
  <c r="J713" i="3"/>
  <c r="I714" i="3"/>
  <c r="J714" i="3"/>
  <c r="I715" i="3"/>
  <c r="J715" i="3"/>
  <c r="I716" i="3"/>
  <c r="J716" i="3"/>
  <c r="I717" i="3"/>
  <c r="J717" i="3"/>
  <c r="I718" i="3"/>
  <c r="J718" i="3"/>
  <c r="I719" i="3"/>
  <c r="J719" i="3"/>
  <c r="I720" i="3"/>
  <c r="J720" i="3"/>
  <c r="I721" i="3"/>
  <c r="J721" i="3"/>
  <c r="I722" i="3"/>
  <c r="J722" i="3"/>
  <c r="I723" i="3"/>
  <c r="J723" i="3"/>
  <c r="I724" i="3"/>
  <c r="J724" i="3"/>
  <c r="I725" i="3"/>
  <c r="J725" i="3"/>
  <c r="I726" i="3"/>
  <c r="J726" i="3"/>
  <c r="I727" i="3"/>
  <c r="J727" i="3"/>
  <c r="I728" i="3"/>
  <c r="J728" i="3"/>
  <c r="I729" i="3"/>
  <c r="J729" i="3"/>
  <c r="I730" i="3"/>
  <c r="J730" i="3"/>
  <c r="I731" i="3"/>
  <c r="J731" i="3"/>
  <c r="I732" i="3"/>
  <c r="J732" i="3"/>
  <c r="I733" i="3"/>
  <c r="J733" i="3"/>
  <c r="I734" i="3"/>
  <c r="J734" i="3"/>
  <c r="I735" i="3"/>
  <c r="J735" i="3"/>
  <c r="I736" i="3"/>
  <c r="J736" i="3"/>
  <c r="I737" i="3"/>
  <c r="J737" i="3"/>
  <c r="I738" i="3"/>
  <c r="J738" i="3"/>
  <c r="I739" i="3"/>
  <c r="J739" i="3"/>
  <c r="I740" i="3"/>
  <c r="J740" i="3"/>
  <c r="I741" i="3"/>
  <c r="J741" i="3"/>
  <c r="I742" i="3"/>
  <c r="J742" i="3"/>
  <c r="I743" i="3"/>
  <c r="J743" i="3"/>
  <c r="I744" i="3"/>
  <c r="J744" i="3"/>
  <c r="I745" i="3"/>
  <c r="J745" i="3"/>
  <c r="I746" i="3"/>
  <c r="J746" i="3"/>
  <c r="I747" i="3"/>
  <c r="J747" i="3"/>
  <c r="I748" i="3"/>
  <c r="J748" i="3"/>
  <c r="I749" i="3"/>
  <c r="J749" i="3"/>
  <c r="I750" i="3"/>
  <c r="J750" i="3"/>
  <c r="I751" i="3"/>
  <c r="J751" i="3"/>
  <c r="I752" i="3"/>
  <c r="J752" i="3"/>
  <c r="I753" i="3"/>
  <c r="J753" i="3"/>
  <c r="I754" i="3"/>
  <c r="J754" i="3"/>
  <c r="I755" i="3"/>
  <c r="J755" i="3"/>
  <c r="I756" i="3"/>
  <c r="J756" i="3"/>
  <c r="I757" i="3"/>
  <c r="J757" i="3"/>
  <c r="I758" i="3"/>
  <c r="J758" i="3"/>
  <c r="I759" i="3"/>
  <c r="J759" i="3"/>
  <c r="I760" i="3"/>
  <c r="J760" i="3"/>
  <c r="I761" i="3"/>
  <c r="J761" i="3"/>
  <c r="I762" i="3"/>
  <c r="J762" i="3"/>
  <c r="I763" i="3"/>
  <c r="J763" i="3"/>
  <c r="I764" i="3"/>
  <c r="J764" i="3"/>
  <c r="I765" i="3"/>
  <c r="J765" i="3"/>
  <c r="I766" i="3"/>
  <c r="J766" i="3"/>
  <c r="I767" i="3"/>
  <c r="J767" i="3"/>
  <c r="I768" i="3"/>
  <c r="J768" i="3"/>
  <c r="I769" i="3"/>
  <c r="J769" i="3"/>
  <c r="I770" i="3"/>
  <c r="J770" i="3"/>
  <c r="I771" i="3"/>
  <c r="J771" i="3"/>
  <c r="I772" i="3"/>
  <c r="J772" i="3"/>
  <c r="I773" i="3"/>
  <c r="J773" i="3"/>
  <c r="I774" i="3"/>
  <c r="J774" i="3"/>
  <c r="I775" i="3"/>
  <c r="J775" i="3"/>
  <c r="I776" i="3"/>
  <c r="J776" i="3"/>
  <c r="I777" i="3"/>
  <c r="J777" i="3"/>
  <c r="I778" i="3"/>
  <c r="J778" i="3"/>
  <c r="I779" i="3"/>
  <c r="J779" i="3"/>
  <c r="I780" i="3"/>
  <c r="J780" i="3"/>
  <c r="I781" i="3"/>
  <c r="J781" i="3"/>
  <c r="I782" i="3"/>
  <c r="J782" i="3"/>
  <c r="I783" i="3"/>
  <c r="J783" i="3"/>
  <c r="I784" i="3"/>
  <c r="J784" i="3"/>
  <c r="I785" i="3"/>
  <c r="J785" i="3"/>
  <c r="I786" i="3"/>
  <c r="J786" i="3"/>
  <c r="I787" i="3"/>
  <c r="J787" i="3"/>
  <c r="I788" i="3"/>
  <c r="J788" i="3"/>
  <c r="I789" i="3"/>
  <c r="J789" i="3"/>
  <c r="I790" i="3"/>
  <c r="J790" i="3"/>
  <c r="I791" i="3"/>
  <c r="J791" i="3"/>
  <c r="I792" i="3"/>
  <c r="J792" i="3"/>
  <c r="I793" i="3"/>
  <c r="J793" i="3"/>
  <c r="I794" i="3"/>
  <c r="J794" i="3"/>
  <c r="I795" i="3"/>
  <c r="J795" i="3"/>
  <c r="I796" i="3"/>
  <c r="J796" i="3"/>
  <c r="I797" i="3"/>
  <c r="J797" i="3"/>
  <c r="I798" i="3"/>
  <c r="J798" i="3"/>
  <c r="I799" i="3"/>
  <c r="J799" i="3"/>
  <c r="I800" i="3"/>
  <c r="J800" i="3"/>
  <c r="I801" i="3"/>
  <c r="J801" i="3"/>
  <c r="I802" i="3"/>
  <c r="J802" i="3"/>
  <c r="I803" i="3"/>
  <c r="J803" i="3"/>
  <c r="I804" i="3"/>
  <c r="J804" i="3"/>
  <c r="I805" i="3"/>
  <c r="J805" i="3"/>
  <c r="I806" i="3"/>
  <c r="J806" i="3"/>
  <c r="I807" i="3"/>
  <c r="J807" i="3"/>
  <c r="I808" i="3"/>
  <c r="J808" i="3"/>
  <c r="I809" i="3"/>
  <c r="J809" i="3"/>
  <c r="I810" i="3"/>
  <c r="J810" i="3"/>
  <c r="I811" i="3"/>
  <c r="J811" i="3"/>
  <c r="I812" i="3"/>
  <c r="J812" i="3"/>
  <c r="I813" i="3"/>
  <c r="J813" i="3"/>
  <c r="I814" i="3"/>
  <c r="J814" i="3"/>
  <c r="I815" i="3"/>
  <c r="J815" i="3"/>
  <c r="I816" i="3"/>
  <c r="J816" i="3"/>
  <c r="I817" i="3"/>
  <c r="J817" i="3"/>
  <c r="I818" i="3"/>
  <c r="J818" i="3"/>
  <c r="I819" i="3"/>
  <c r="J819" i="3"/>
  <c r="I820" i="3"/>
  <c r="J820" i="3"/>
  <c r="I821" i="3"/>
  <c r="J821" i="3"/>
  <c r="I822" i="3"/>
  <c r="J822" i="3"/>
  <c r="I823" i="3"/>
  <c r="J823" i="3"/>
  <c r="I824" i="3"/>
  <c r="J824" i="3"/>
  <c r="I825" i="3"/>
  <c r="J825" i="3"/>
  <c r="I826" i="3"/>
  <c r="J826" i="3"/>
  <c r="I827" i="3"/>
  <c r="J827" i="3"/>
  <c r="I828" i="3"/>
  <c r="J828" i="3"/>
  <c r="I829" i="3"/>
  <c r="J829" i="3"/>
  <c r="I830" i="3"/>
  <c r="J830" i="3"/>
  <c r="I831" i="3"/>
  <c r="J831" i="3"/>
  <c r="I832" i="3"/>
  <c r="J832" i="3"/>
  <c r="I833" i="3"/>
  <c r="J833" i="3"/>
  <c r="I834" i="3"/>
  <c r="J834" i="3"/>
  <c r="I835" i="3"/>
  <c r="J835" i="3"/>
  <c r="I836" i="3"/>
  <c r="J836" i="3"/>
  <c r="I837" i="3"/>
  <c r="J837" i="3"/>
  <c r="I838" i="3"/>
  <c r="J838" i="3"/>
  <c r="I839" i="3"/>
  <c r="J839" i="3"/>
  <c r="I840" i="3"/>
  <c r="J840" i="3"/>
  <c r="I841" i="3"/>
  <c r="J841" i="3"/>
  <c r="I842" i="3"/>
  <c r="J842" i="3"/>
  <c r="I843" i="3"/>
  <c r="J843" i="3"/>
  <c r="I844" i="3"/>
  <c r="J844" i="3"/>
  <c r="I845" i="3"/>
  <c r="J845" i="3"/>
  <c r="I846" i="3"/>
  <c r="J846" i="3"/>
  <c r="I847" i="3"/>
  <c r="J847" i="3"/>
  <c r="I848" i="3"/>
  <c r="J848" i="3"/>
  <c r="I849" i="3"/>
  <c r="J849" i="3"/>
  <c r="I850" i="3"/>
  <c r="J850" i="3"/>
  <c r="I851" i="3"/>
  <c r="J851" i="3"/>
  <c r="I852" i="3"/>
  <c r="J852" i="3"/>
  <c r="I853" i="3"/>
  <c r="J853" i="3"/>
  <c r="I854" i="3"/>
  <c r="J854" i="3"/>
  <c r="I855" i="3"/>
  <c r="J855" i="3"/>
  <c r="I856" i="3"/>
  <c r="J856" i="3"/>
  <c r="I857" i="3"/>
  <c r="J857" i="3"/>
  <c r="I858" i="3"/>
  <c r="J858" i="3"/>
  <c r="I859" i="3"/>
  <c r="J859" i="3"/>
  <c r="I860" i="3"/>
  <c r="J860" i="3"/>
  <c r="I861" i="3"/>
  <c r="J861" i="3"/>
  <c r="I862" i="3"/>
  <c r="J862" i="3"/>
  <c r="I863" i="3"/>
  <c r="J863" i="3"/>
  <c r="I864" i="3"/>
  <c r="J864" i="3"/>
  <c r="I865" i="3"/>
  <c r="J865" i="3"/>
  <c r="I866" i="3"/>
  <c r="J866" i="3"/>
  <c r="I867" i="3"/>
  <c r="J867" i="3"/>
  <c r="I868" i="3"/>
  <c r="J868" i="3"/>
  <c r="I869" i="3"/>
  <c r="J869" i="3"/>
  <c r="I870" i="3"/>
  <c r="J870" i="3"/>
  <c r="I871" i="3"/>
  <c r="J871" i="3"/>
  <c r="I872" i="3"/>
  <c r="J872" i="3"/>
  <c r="I873" i="3"/>
  <c r="J873" i="3"/>
  <c r="I874" i="3"/>
  <c r="J874" i="3"/>
  <c r="I875" i="3"/>
  <c r="J875" i="3"/>
  <c r="I876" i="3"/>
  <c r="J876" i="3"/>
  <c r="I877" i="3"/>
  <c r="J877" i="3"/>
  <c r="I878" i="3"/>
  <c r="J878" i="3"/>
  <c r="I879" i="3"/>
  <c r="J879" i="3"/>
  <c r="I880" i="3"/>
  <c r="J880" i="3"/>
  <c r="I881" i="3"/>
  <c r="J881" i="3"/>
  <c r="I882" i="3"/>
  <c r="J882" i="3"/>
  <c r="I883" i="3"/>
  <c r="J883" i="3"/>
  <c r="I884" i="3"/>
  <c r="J884" i="3"/>
  <c r="I885" i="3"/>
  <c r="J885" i="3"/>
  <c r="I886" i="3"/>
  <c r="J886" i="3"/>
  <c r="I887" i="3"/>
  <c r="J887" i="3"/>
  <c r="I888" i="3"/>
  <c r="J888" i="3"/>
  <c r="I889" i="3"/>
  <c r="J889" i="3"/>
  <c r="I890" i="3"/>
  <c r="J890" i="3"/>
  <c r="I891" i="3"/>
  <c r="J891" i="3"/>
  <c r="I892" i="3"/>
  <c r="J892" i="3"/>
  <c r="I893" i="3"/>
  <c r="J893" i="3"/>
  <c r="I894" i="3"/>
  <c r="J894" i="3"/>
  <c r="I895" i="3"/>
  <c r="J895" i="3"/>
  <c r="I896" i="3"/>
  <c r="J896" i="3"/>
  <c r="I897" i="3"/>
  <c r="J897" i="3"/>
  <c r="I898" i="3"/>
  <c r="J898" i="3"/>
  <c r="I899" i="3"/>
  <c r="J899" i="3"/>
  <c r="I900" i="3"/>
  <c r="J900" i="3"/>
  <c r="I901" i="3"/>
  <c r="J901" i="3"/>
  <c r="I902" i="3"/>
  <c r="J902" i="3"/>
  <c r="I903" i="3"/>
  <c r="J903" i="3"/>
  <c r="I904" i="3"/>
  <c r="J904" i="3"/>
  <c r="I905" i="3"/>
  <c r="J905" i="3"/>
  <c r="I906" i="3"/>
  <c r="J906" i="3"/>
  <c r="I907" i="3"/>
  <c r="J907" i="3"/>
  <c r="I908" i="3"/>
  <c r="J908" i="3"/>
  <c r="I909" i="3"/>
  <c r="J909" i="3"/>
  <c r="I910" i="3"/>
  <c r="J910" i="3"/>
  <c r="I911" i="3"/>
  <c r="J911" i="3"/>
  <c r="I912" i="3"/>
  <c r="J912" i="3"/>
  <c r="I913" i="3"/>
  <c r="J913" i="3"/>
  <c r="I914" i="3"/>
  <c r="J914" i="3"/>
  <c r="I915" i="3"/>
  <c r="J915" i="3"/>
  <c r="I916" i="3"/>
  <c r="J916" i="3"/>
  <c r="I917" i="3"/>
  <c r="J917" i="3"/>
  <c r="I918" i="3"/>
  <c r="J918" i="3"/>
  <c r="I919" i="3"/>
  <c r="J919" i="3"/>
  <c r="I920" i="3"/>
  <c r="J920" i="3"/>
  <c r="I921" i="3"/>
  <c r="J921" i="3"/>
  <c r="I922" i="3"/>
  <c r="J922" i="3"/>
  <c r="I923" i="3"/>
  <c r="J923" i="3"/>
  <c r="I924" i="3"/>
  <c r="J924" i="3"/>
  <c r="I925" i="3"/>
  <c r="J925" i="3"/>
  <c r="I926" i="3"/>
  <c r="J926" i="3"/>
  <c r="I927" i="3"/>
  <c r="J927" i="3"/>
  <c r="I928" i="3"/>
  <c r="J928" i="3"/>
  <c r="I929" i="3"/>
  <c r="J929" i="3"/>
  <c r="I930" i="3"/>
  <c r="J930" i="3"/>
  <c r="I931" i="3"/>
  <c r="J931" i="3"/>
  <c r="I932" i="3"/>
  <c r="J932" i="3"/>
  <c r="I933" i="3"/>
  <c r="J933" i="3"/>
  <c r="I934" i="3"/>
  <c r="J934" i="3"/>
  <c r="I935" i="3"/>
  <c r="J935" i="3"/>
  <c r="I936" i="3"/>
  <c r="J936" i="3"/>
  <c r="I937" i="3"/>
  <c r="J937" i="3"/>
  <c r="I938" i="3"/>
  <c r="J938" i="3"/>
  <c r="I939" i="3"/>
  <c r="J939" i="3"/>
  <c r="I940" i="3"/>
  <c r="J940" i="3"/>
  <c r="I941" i="3"/>
  <c r="J941" i="3"/>
  <c r="I942" i="3"/>
  <c r="J942" i="3"/>
  <c r="I943" i="3"/>
  <c r="J943" i="3"/>
  <c r="I944" i="3"/>
  <c r="J944" i="3"/>
  <c r="I945" i="3"/>
  <c r="J945" i="3"/>
  <c r="I946" i="3"/>
  <c r="J946" i="3"/>
  <c r="I947" i="3"/>
  <c r="J947" i="3"/>
  <c r="I948" i="3"/>
  <c r="J948" i="3"/>
  <c r="I949" i="3"/>
  <c r="J949" i="3"/>
  <c r="I950" i="3"/>
  <c r="J950" i="3"/>
  <c r="I951" i="3"/>
  <c r="J951" i="3"/>
  <c r="I952" i="3"/>
  <c r="J952" i="3"/>
  <c r="I953" i="3"/>
  <c r="J953" i="3"/>
  <c r="I954" i="3"/>
  <c r="J954" i="3"/>
  <c r="I955" i="3"/>
  <c r="J955" i="3"/>
  <c r="I956" i="3"/>
  <c r="J956" i="3"/>
  <c r="I957" i="3"/>
  <c r="J957" i="3"/>
  <c r="I958" i="3"/>
  <c r="J958" i="3"/>
  <c r="I959" i="3"/>
  <c r="J959" i="3"/>
  <c r="I960" i="3"/>
  <c r="J960" i="3"/>
  <c r="I961" i="3"/>
  <c r="J961" i="3"/>
  <c r="I962" i="3"/>
  <c r="J962" i="3"/>
  <c r="I963" i="3"/>
  <c r="J963" i="3"/>
  <c r="I964" i="3"/>
  <c r="J964" i="3"/>
  <c r="I965" i="3"/>
  <c r="J965" i="3"/>
  <c r="I966" i="3"/>
  <c r="J966" i="3"/>
  <c r="I967" i="3"/>
  <c r="J967" i="3"/>
  <c r="I968" i="3"/>
  <c r="J968" i="3"/>
  <c r="I969" i="3"/>
  <c r="J969" i="3"/>
  <c r="I970" i="3"/>
  <c r="J970" i="3"/>
  <c r="I971" i="3"/>
  <c r="J971" i="3"/>
  <c r="I972" i="3"/>
  <c r="J972" i="3"/>
  <c r="I973" i="3"/>
  <c r="J973" i="3"/>
  <c r="I974" i="3"/>
  <c r="J974" i="3"/>
  <c r="I975" i="3"/>
  <c r="J975" i="3"/>
  <c r="I976" i="3"/>
  <c r="J976" i="3"/>
  <c r="I977" i="3"/>
  <c r="J977" i="3"/>
  <c r="I978" i="3"/>
  <c r="J978" i="3"/>
  <c r="I979" i="3"/>
  <c r="J979" i="3"/>
  <c r="I980" i="3"/>
  <c r="J980" i="3"/>
  <c r="I981" i="3"/>
  <c r="J981" i="3"/>
  <c r="I982" i="3"/>
  <c r="J982" i="3"/>
  <c r="I983" i="3"/>
  <c r="J983" i="3"/>
  <c r="I984" i="3"/>
  <c r="J984" i="3"/>
  <c r="I985" i="3"/>
  <c r="J985" i="3"/>
  <c r="I986" i="3"/>
  <c r="J986" i="3"/>
  <c r="I987" i="3"/>
  <c r="J987" i="3"/>
  <c r="I988" i="3"/>
  <c r="J988" i="3"/>
  <c r="I989" i="3"/>
  <c r="J989" i="3"/>
  <c r="I990" i="3"/>
  <c r="J990" i="3"/>
  <c r="I991" i="3"/>
  <c r="J991" i="3"/>
  <c r="I992" i="3"/>
  <c r="J992" i="3"/>
  <c r="I993" i="3"/>
  <c r="J993" i="3"/>
  <c r="I994" i="3"/>
  <c r="J994" i="3"/>
  <c r="I995" i="3"/>
  <c r="J995" i="3"/>
  <c r="I996" i="3"/>
  <c r="J996" i="3"/>
  <c r="I997" i="3"/>
  <c r="J997" i="3"/>
  <c r="I998" i="3"/>
  <c r="J998" i="3"/>
  <c r="I999" i="3"/>
  <c r="J999" i="3"/>
  <c r="I1000" i="3"/>
  <c r="J1000" i="3"/>
  <c r="I1001" i="3"/>
  <c r="J1001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3" i="3"/>
  <c r="J4" i="3"/>
  <c r="J5" i="3"/>
  <c r="J6" i="3"/>
  <c r="J7" i="3"/>
  <c r="J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N2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3" i="2"/>
  <c r="M4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2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3" i="2"/>
  <c r="K4" i="2"/>
  <c r="K2" i="2"/>
  <c r="L746" i="3" l="1"/>
  <c r="M746" i="3" s="1"/>
  <c r="L670" i="3"/>
  <c r="M670" i="3" s="1"/>
  <c r="L606" i="3"/>
  <c r="M606" i="3" s="1"/>
  <c r="L787" i="3"/>
  <c r="M787" i="3" s="1"/>
  <c r="L650" i="3"/>
  <c r="M650" i="3" s="1"/>
  <c r="L899" i="3"/>
  <c r="M899" i="3" s="1"/>
  <c r="L806" i="3"/>
  <c r="M806" i="3" s="1"/>
  <c r="L893" i="3"/>
  <c r="M893" i="3" s="1"/>
  <c r="L773" i="3"/>
  <c r="M773" i="3" s="1"/>
  <c r="L661" i="3"/>
  <c r="M661" i="3" s="1"/>
  <c r="L911" i="3"/>
  <c r="M911" i="3" s="1"/>
  <c r="L950" i="3"/>
  <c r="M950" i="3" s="1"/>
  <c r="L845" i="3"/>
  <c r="M845" i="3" s="1"/>
  <c r="L709" i="3"/>
  <c r="M709" i="3" s="1"/>
  <c r="L879" i="3"/>
  <c r="M879" i="3" s="1"/>
  <c r="L914" i="3"/>
  <c r="M914" i="3" s="1"/>
  <c r="L912" i="3"/>
  <c r="M912" i="3" s="1"/>
  <c r="L784" i="3"/>
  <c r="M784" i="3" s="1"/>
  <c r="L656" i="3"/>
  <c r="M656" i="3" s="1"/>
  <c r="L863" i="3"/>
  <c r="M863" i="3" s="1"/>
  <c r="L902" i="3"/>
  <c r="M902" i="3" s="1"/>
  <c r="L648" i="3"/>
  <c r="M648" i="3" s="1"/>
  <c r="L771" i="3"/>
  <c r="M771" i="3" s="1"/>
  <c r="L715" i="3"/>
  <c r="M715" i="3" s="1"/>
  <c r="L683" i="3"/>
  <c r="M683" i="3" s="1"/>
  <c r="L627" i="3"/>
  <c r="M627" i="3" s="1"/>
  <c r="L619" i="3"/>
  <c r="M619" i="3" s="1"/>
  <c r="L921" i="3"/>
  <c r="M921" i="3" s="1"/>
  <c r="L785" i="3"/>
  <c r="M785" i="3" s="1"/>
  <c r="L961" i="3"/>
  <c r="M961" i="3" s="1"/>
  <c r="L905" i="3"/>
  <c r="M905" i="3" s="1"/>
  <c r="L841" i="3"/>
  <c r="M841" i="3" s="1"/>
  <c r="L705" i="3"/>
  <c r="M705" i="3" s="1"/>
  <c r="L641" i="3"/>
  <c r="M641" i="3" s="1"/>
  <c r="L865" i="3"/>
  <c r="M865" i="3" s="1"/>
  <c r="L753" i="3"/>
  <c r="M753" i="3" s="1"/>
  <c r="L713" i="3"/>
  <c r="M713" i="3" s="1"/>
  <c r="L617" i="3"/>
  <c r="M617" i="3" s="1"/>
  <c r="L873" i="3"/>
  <c r="M873" i="3" s="1"/>
  <c r="L825" i="3"/>
  <c r="M825" i="3" s="1"/>
  <c r="L689" i="3"/>
  <c r="M689" i="3" s="1"/>
  <c r="L625" i="3"/>
  <c r="M625" i="3" s="1"/>
  <c r="L940" i="3"/>
  <c r="M940" i="3" s="1"/>
  <c r="L868" i="3"/>
  <c r="M868" i="3" s="1"/>
  <c r="L844" i="3"/>
  <c r="M844" i="3" s="1"/>
  <c r="L740" i="3"/>
  <c r="M740" i="3" s="1"/>
  <c r="L692" i="3"/>
  <c r="M692" i="3" s="1"/>
  <c r="L676" i="3"/>
  <c r="M676" i="3" s="1"/>
  <c r="L636" i="3"/>
  <c r="M636" i="3" s="1"/>
  <c r="L932" i="3"/>
  <c r="M932" i="3" s="1"/>
  <c r="L876" i="3"/>
  <c r="M876" i="3" s="1"/>
  <c r="L852" i="3"/>
  <c r="M852" i="3" s="1"/>
  <c r="L828" i="3"/>
  <c r="M828" i="3" s="1"/>
  <c r="L756" i="3"/>
  <c r="M756" i="3" s="1"/>
  <c r="L732" i="3"/>
  <c r="M732" i="3" s="1"/>
  <c r="L684" i="3"/>
  <c r="M684" i="3" s="1"/>
  <c r="L660" i="3"/>
  <c r="M660" i="3" s="1"/>
  <c r="L924" i="3"/>
  <c r="M924" i="3" s="1"/>
  <c r="L908" i="3"/>
  <c r="M908" i="3" s="1"/>
  <c r="L860" i="3"/>
  <c r="M860" i="3" s="1"/>
  <c r="L836" i="3"/>
  <c r="M836" i="3" s="1"/>
  <c r="L764" i="3"/>
  <c r="M764" i="3" s="1"/>
  <c r="L748" i="3"/>
  <c r="M748" i="3" s="1"/>
  <c r="L724" i="3"/>
  <c r="M724" i="3" s="1"/>
  <c r="L700" i="3"/>
  <c r="M700" i="3" s="1"/>
  <c r="L668" i="3"/>
  <c r="M668" i="3" s="1"/>
  <c r="L652" i="3"/>
  <c r="M652" i="3" s="1"/>
  <c r="L738" i="3"/>
  <c r="M738" i="3" s="1"/>
  <c r="L2" i="3"/>
  <c r="L10" i="3"/>
  <c r="M10" i="3" s="1"/>
  <c r="L18" i="3"/>
  <c r="M18" i="3" s="1"/>
  <c r="L26" i="3"/>
  <c r="M26" i="3" s="1"/>
  <c r="L34" i="3"/>
  <c r="M34" i="3" s="1"/>
  <c r="L42" i="3"/>
  <c r="M42" i="3" s="1"/>
  <c r="L50" i="3"/>
  <c r="M50" i="3" s="1"/>
  <c r="L58" i="3"/>
  <c r="M58" i="3" s="1"/>
  <c r="L66" i="3"/>
  <c r="M66" i="3" s="1"/>
  <c r="L74" i="3"/>
  <c r="M74" i="3" s="1"/>
  <c r="L82" i="3"/>
  <c r="M82" i="3" s="1"/>
  <c r="L90" i="3"/>
  <c r="M90" i="3" s="1"/>
  <c r="L98" i="3"/>
  <c r="M98" i="3" s="1"/>
  <c r="L106" i="3"/>
  <c r="M106" i="3" s="1"/>
  <c r="L114" i="3"/>
  <c r="M114" i="3" s="1"/>
  <c r="L122" i="3"/>
  <c r="M122" i="3" s="1"/>
  <c r="L130" i="3"/>
  <c r="M130" i="3" s="1"/>
  <c r="L138" i="3"/>
  <c r="M138" i="3" s="1"/>
  <c r="L146" i="3"/>
  <c r="M146" i="3" s="1"/>
  <c r="L154" i="3"/>
  <c r="M154" i="3" s="1"/>
  <c r="L162" i="3"/>
  <c r="M162" i="3" s="1"/>
  <c r="L170" i="3"/>
  <c r="M170" i="3" s="1"/>
  <c r="L178" i="3"/>
  <c r="M178" i="3" s="1"/>
  <c r="L186" i="3"/>
  <c r="M186" i="3" s="1"/>
  <c r="L194" i="3"/>
  <c r="M194" i="3" s="1"/>
  <c r="L202" i="3"/>
  <c r="M202" i="3" s="1"/>
  <c r="L210" i="3"/>
  <c r="M210" i="3" s="1"/>
  <c r="L218" i="3"/>
  <c r="M218" i="3" s="1"/>
  <c r="L226" i="3"/>
  <c r="M226" i="3" s="1"/>
  <c r="L234" i="3"/>
  <c r="M234" i="3" s="1"/>
  <c r="L242" i="3"/>
  <c r="M242" i="3" s="1"/>
  <c r="L250" i="3"/>
  <c r="M250" i="3" s="1"/>
  <c r="L258" i="3"/>
  <c r="M258" i="3" s="1"/>
  <c r="L266" i="3"/>
  <c r="M266" i="3" s="1"/>
  <c r="L274" i="3"/>
  <c r="M274" i="3" s="1"/>
  <c r="L282" i="3"/>
  <c r="M282" i="3" s="1"/>
  <c r="L290" i="3"/>
  <c r="M290" i="3" s="1"/>
  <c r="L298" i="3"/>
  <c r="M298" i="3" s="1"/>
  <c r="L306" i="3"/>
  <c r="M306" i="3" s="1"/>
  <c r="L314" i="3"/>
  <c r="M314" i="3" s="1"/>
  <c r="L322" i="3"/>
  <c r="M322" i="3" s="1"/>
  <c r="L330" i="3"/>
  <c r="M330" i="3" s="1"/>
  <c r="L338" i="3"/>
  <c r="M338" i="3" s="1"/>
  <c r="L346" i="3"/>
  <c r="M346" i="3" s="1"/>
  <c r="L354" i="3"/>
  <c r="M354" i="3" s="1"/>
  <c r="L362" i="3"/>
  <c r="M362" i="3" s="1"/>
  <c r="L370" i="3"/>
  <c r="M370" i="3" s="1"/>
  <c r="L378" i="3"/>
  <c r="M378" i="3" s="1"/>
  <c r="L386" i="3"/>
  <c r="M386" i="3" s="1"/>
  <c r="L394" i="3"/>
  <c r="M394" i="3" s="1"/>
  <c r="L402" i="3"/>
  <c r="M402" i="3" s="1"/>
  <c r="L410" i="3"/>
  <c r="M410" i="3" s="1"/>
  <c r="L418" i="3"/>
  <c r="M418" i="3" s="1"/>
  <c r="L426" i="3"/>
  <c r="M426" i="3" s="1"/>
  <c r="L434" i="3"/>
  <c r="M434" i="3" s="1"/>
  <c r="L442" i="3"/>
  <c r="M442" i="3" s="1"/>
  <c r="L450" i="3"/>
  <c r="M450" i="3" s="1"/>
  <c r="L458" i="3"/>
  <c r="M458" i="3" s="1"/>
  <c r="L466" i="3"/>
  <c r="M466" i="3" s="1"/>
  <c r="L474" i="3"/>
  <c r="M474" i="3" s="1"/>
  <c r="L482" i="3"/>
  <c r="M482" i="3" s="1"/>
  <c r="L490" i="3"/>
  <c r="M490" i="3" s="1"/>
  <c r="L498" i="3"/>
  <c r="M498" i="3" s="1"/>
  <c r="L506" i="3"/>
  <c r="M506" i="3" s="1"/>
  <c r="L514" i="3"/>
  <c r="M514" i="3" s="1"/>
  <c r="L522" i="3"/>
  <c r="M522" i="3" s="1"/>
  <c r="L530" i="3"/>
  <c r="M530" i="3" s="1"/>
  <c r="L538" i="3"/>
  <c r="M538" i="3" s="1"/>
  <c r="L546" i="3"/>
  <c r="M546" i="3" s="1"/>
  <c r="L554" i="3"/>
  <c r="M554" i="3" s="1"/>
  <c r="L562" i="3"/>
  <c r="M562" i="3" s="1"/>
  <c r="L570" i="3"/>
  <c r="M570" i="3" s="1"/>
  <c r="L578" i="3"/>
  <c r="M578" i="3" s="1"/>
  <c r="L586" i="3"/>
  <c r="M586" i="3" s="1"/>
  <c r="L594" i="3"/>
  <c r="M594" i="3" s="1"/>
  <c r="L602" i="3"/>
  <c r="M602" i="3" s="1"/>
  <c r="L610" i="3"/>
  <c r="M610" i="3" s="1"/>
  <c r="L618" i="3"/>
  <c r="M618" i="3" s="1"/>
  <c r="L626" i="3"/>
  <c r="M626" i="3" s="1"/>
  <c r="L634" i="3"/>
  <c r="M634" i="3" s="1"/>
  <c r="L642" i="3"/>
  <c r="M642" i="3" s="1"/>
  <c r="L3" i="3"/>
  <c r="M3" i="3" s="1"/>
  <c r="L11" i="3"/>
  <c r="M11" i="3" s="1"/>
  <c r="L19" i="3"/>
  <c r="M19" i="3" s="1"/>
  <c r="L27" i="3"/>
  <c r="M27" i="3" s="1"/>
  <c r="L35" i="3"/>
  <c r="M35" i="3" s="1"/>
  <c r="L43" i="3"/>
  <c r="M43" i="3" s="1"/>
  <c r="L51" i="3"/>
  <c r="M51" i="3" s="1"/>
  <c r="L59" i="3"/>
  <c r="M59" i="3" s="1"/>
  <c r="L67" i="3"/>
  <c r="M67" i="3" s="1"/>
  <c r="L75" i="3"/>
  <c r="M75" i="3" s="1"/>
  <c r="L83" i="3"/>
  <c r="M83" i="3" s="1"/>
  <c r="L91" i="3"/>
  <c r="M91" i="3" s="1"/>
  <c r="L99" i="3"/>
  <c r="M99" i="3" s="1"/>
  <c r="L107" i="3"/>
  <c r="M107" i="3" s="1"/>
  <c r="L115" i="3"/>
  <c r="M115" i="3" s="1"/>
  <c r="L123" i="3"/>
  <c r="M123" i="3" s="1"/>
  <c r="L131" i="3"/>
  <c r="M131" i="3" s="1"/>
  <c r="L139" i="3"/>
  <c r="M139" i="3" s="1"/>
  <c r="L147" i="3"/>
  <c r="M147" i="3" s="1"/>
  <c r="L155" i="3"/>
  <c r="M155" i="3" s="1"/>
  <c r="L163" i="3"/>
  <c r="M163" i="3" s="1"/>
  <c r="L171" i="3"/>
  <c r="M171" i="3" s="1"/>
  <c r="L179" i="3"/>
  <c r="M179" i="3" s="1"/>
  <c r="L187" i="3"/>
  <c r="M187" i="3" s="1"/>
  <c r="L195" i="3"/>
  <c r="M195" i="3" s="1"/>
  <c r="L203" i="3"/>
  <c r="M203" i="3" s="1"/>
  <c r="L211" i="3"/>
  <c r="M211" i="3" s="1"/>
  <c r="L219" i="3"/>
  <c r="M219" i="3" s="1"/>
  <c r="L227" i="3"/>
  <c r="M227" i="3" s="1"/>
  <c r="L235" i="3"/>
  <c r="M235" i="3" s="1"/>
  <c r="L243" i="3"/>
  <c r="M243" i="3" s="1"/>
  <c r="L251" i="3"/>
  <c r="M251" i="3" s="1"/>
  <c r="L259" i="3"/>
  <c r="M259" i="3" s="1"/>
  <c r="L267" i="3"/>
  <c r="M267" i="3" s="1"/>
  <c r="L275" i="3"/>
  <c r="M275" i="3" s="1"/>
  <c r="L283" i="3"/>
  <c r="M283" i="3" s="1"/>
  <c r="L291" i="3"/>
  <c r="M291" i="3" s="1"/>
  <c r="L299" i="3"/>
  <c r="M299" i="3" s="1"/>
  <c r="L307" i="3"/>
  <c r="M307" i="3" s="1"/>
  <c r="L315" i="3"/>
  <c r="M315" i="3" s="1"/>
  <c r="L323" i="3"/>
  <c r="M323" i="3" s="1"/>
  <c r="L331" i="3"/>
  <c r="M331" i="3" s="1"/>
  <c r="L339" i="3"/>
  <c r="M339" i="3" s="1"/>
  <c r="L347" i="3"/>
  <c r="M347" i="3" s="1"/>
  <c r="L355" i="3"/>
  <c r="M355" i="3" s="1"/>
  <c r="L363" i="3"/>
  <c r="M363" i="3" s="1"/>
  <c r="L371" i="3"/>
  <c r="M371" i="3" s="1"/>
  <c r="L379" i="3"/>
  <c r="M379" i="3" s="1"/>
  <c r="L387" i="3"/>
  <c r="M387" i="3" s="1"/>
  <c r="L395" i="3"/>
  <c r="M395" i="3" s="1"/>
  <c r="L403" i="3"/>
  <c r="M403" i="3" s="1"/>
  <c r="L411" i="3"/>
  <c r="M411" i="3" s="1"/>
  <c r="L419" i="3"/>
  <c r="M419" i="3" s="1"/>
  <c r="L427" i="3"/>
  <c r="M427" i="3" s="1"/>
  <c r="L435" i="3"/>
  <c r="M435" i="3" s="1"/>
  <c r="L443" i="3"/>
  <c r="M443" i="3" s="1"/>
  <c r="L451" i="3"/>
  <c r="M451" i="3" s="1"/>
  <c r="L459" i="3"/>
  <c r="M459" i="3" s="1"/>
  <c r="L467" i="3"/>
  <c r="M467" i="3" s="1"/>
  <c r="L475" i="3"/>
  <c r="M475" i="3" s="1"/>
  <c r="L483" i="3"/>
  <c r="M483" i="3" s="1"/>
  <c r="L491" i="3"/>
  <c r="M491" i="3" s="1"/>
  <c r="L499" i="3"/>
  <c r="M499" i="3" s="1"/>
  <c r="L507" i="3"/>
  <c r="M507" i="3" s="1"/>
  <c r="L515" i="3"/>
  <c r="M515" i="3" s="1"/>
  <c r="L523" i="3"/>
  <c r="M523" i="3" s="1"/>
  <c r="L531" i="3"/>
  <c r="M531" i="3" s="1"/>
  <c r="L539" i="3"/>
  <c r="M539" i="3" s="1"/>
  <c r="L547" i="3"/>
  <c r="M547" i="3" s="1"/>
  <c r="L555" i="3"/>
  <c r="M555" i="3" s="1"/>
  <c r="L563" i="3"/>
  <c r="M563" i="3" s="1"/>
  <c r="L571" i="3"/>
  <c r="M571" i="3" s="1"/>
  <c r="L579" i="3"/>
  <c r="M579" i="3" s="1"/>
  <c r="L587" i="3"/>
  <c r="M587" i="3" s="1"/>
  <c r="L595" i="3"/>
  <c r="M595" i="3" s="1"/>
  <c r="L603" i="3"/>
  <c r="M603" i="3" s="1"/>
  <c r="L611" i="3"/>
  <c r="M611" i="3" s="1"/>
  <c r="L635" i="3"/>
  <c r="M635" i="3" s="1"/>
  <c r="L643" i="3"/>
  <c r="M643" i="3" s="1"/>
  <c r="L651" i="3"/>
  <c r="M651" i="3" s="1"/>
  <c r="L659" i="3"/>
  <c r="M659" i="3" s="1"/>
  <c r="L667" i="3"/>
  <c r="M667" i="3" s="1"/>
  <c r="L675" i="3"/>
  <c r="M675" i="3" s="1"/>
  <c r="L4" i="3"/>
  <c r="M4" i="3" s="1"/>
  <c r="L12" i="3"/>
  <c r="M12" i="3" s="1"/>
  <c r="L20" i="3"/>
  <c r="M20" i="3" s="1"/>
  <c r="L28" i="3"/>
  <c r="M28" i="3" s="1"/>
  <c r="L36" i="3"/>
  <c r="M36" i="3" s="1"/>
  <c r="L44" i="3"/>
  <c r="M44" i="3" s="1"/>
  <c r="L52" i="3"/>
  <c r="M52" i="3" s="1"/>
  <c r="L60" i="3"/>
  <c r="M60" i="3" s="1"/>
  <c r="L68" i="3"/>
  <c r="M68" i="3" s="1"/>
  <c r="L76" i="3"/>
  <c r="M76" i="3" s="1"/>
  <c r="L84" i="3"/>
  <c r="M84" i="3" s="1"/>
  <c r="L92" i="3"/>
  <c r="M92" i="3" s="1"/>
  <c r="L100" i="3"/>
  <c r="M100" i="3" s="1"/>
  <c r="L108" i="3"/>
  <c r="M108" i="3" s="1"/>
  <c r="L116" i="3"/>
  <c r="M116" i="3" s="1"/>
  <c r="L124" i="3"/>
  <c r="M124" i="3" s="1"/>
  <c r="L132" i="3"/>
  <c r="M132" i="3" s="1"/>
  <c r="L140" i="3"/>
  <c r="M140" i="3" s="1"/>
  <c r="L148" i="3"/>
  <c r="M148" i="3" s="1"/>
  <c r="L156" i="3"/>
  <c r="M156" i="3" s="1"/>
  <c r="L164" i="3"/>
  <c r="M164" i="3" s="1"/>
  <c r="L172" i="3"/>
  <c r="M172" i="3" s="1"/>
  <c r="L180" i="3"/>
  <c r="M180" i="3" s="1"/>
  <c r="L188" i="3"/>
  <c r="M188" i="3" s="1"/>
  <c r="L196" i="3"/>
  <c r="M196" i="3" s="1"/>
  <c r="L204" i="3"/>
  <c r="M204" i="3" s="1"/>
  <c r="L212" i="3"/>
  <c r="M212" i="3" s="1"/>
  <c r="L220" i="3"/>
  <c r="M220" i="3" s="1"/>
  <c r="L228" i="3"/>
  <c r="M228" i="3" s="1"/>
  <c r="L236" i="3"/>
  <c r="M236" i="3" s="1"/>
  <c r="L244" i="3"/>
  <c r="M244" i="3" s="1"/>
  <c r="L252" i="3"/>
  <c r="M252" i="3" s="1"/>
  <c r="L260" i="3"/>
  <c r="M260" i="3" s="1"/>
  <c r="L268" i="3"/>
  <c r="M268" i="3" s="1"/>
  <c r="L276" i="3"/>
  <c r="M276" i="3" s="1"/>
  <c r="L284" i="3"/>
  <c r="M284" i="3" s="1"/>
  <c r="L292" i="3"/>
  <c r="M292" i="3" s="1"/>
  <c r="L300" i="3"/>
  <c r="M300" i="3" s="1"/>
  <c r="L308" i="3"/>
  <c r="M308" i="3" s="1"/>
  <c r="L316" i="3"/>
  <c r="M316" i="3" s="1"/>
  <c r="L324" i="3"/>
  <c r="M324" i="3" s="1"/>
  <c r="L332" i="3"/>
  <c r="M332" i="3" s="1"/>
  <c r="L340" i="3"/>
  <c r="M340" i="3" s="1"/>
  <c r="L348" i="3"/>
  <c r="M348" i="3" s="1"/>
  <c r="L356" i="3"/>
  <c r="M356" i="3" s="1"/>
  <c r="L364" i="3"/>
  <c r="M364" i="3" s="1"/>
  <c r="L372" i="3"/>
  <c r="M372" i="3" s="1"/>
  <c r="L380" i="3"/>
  <c r="M380" i="3" s="1"/>
  <c r="L388" i="3"/>
  <c r="M388" i="3" s="1"/>
  <c r="L396" i="3"/>
  <c r="M396" i="3" s="1"/>
  <c r="L404" i="3"/>
  <c r="M404" i="3" s="1"/>
  <c r="L412" i="3"/>
  <c r="M412" i="3" s="1"/>
  <c r="L420" i="3"/>
  <c r="M420" i="3" s="1"/>
  <c r="L428" i="3"/>
  <c r="M428" i="3" s="1"/>
  <c r="L436" i="3"/>
  <c r="M436" i="3" s="1"/>
  <c r="L444" i="3"/>
  <c r="M444" i="3" s="1"/>
  <c r="L452" i="3"/>
  <c r="M452" i="3" s="1"/>
  <c r="L460" i="3"/>
  <c r="M460" i="3" s="1"/>
  <c r="L468" i="3"/>
  <c r="M468" i="3" s="1"/>
  <c r="L476" i="3"/>
  <c r="M476" i="3" s="1"/>
  <c r="L484" i="3"/>
  <c r="M484" i="3" s="1"/>
  <c r="L492" i="3"/>
  <c r="M492" i="3" s="1"/>
  <c r="L500" i="3"/>
  <c r="M500" i="3" s="1"/>
  <c r="L508" i="3"/>
  <c r="M508" i="3" s="1"/>
  <c r="L516" i="3"/>
  <c r="M516" i="3" s="1"/>
  <c r="L524" i="3"/>
  <c r="M524" i="3" s="1"/>
  <c r="L532" i="3"/>
  <c r="M532" i="3" s="1"/>
  <c r="L540" i="3"/>
  <c r="M540" i="3" s="1"/>
  <c r="L548" i="3"/>
  <c r="M548" i="3" s="1"/>
  <c r="L556" i="3"/>
  <c r="M556" i="3" s="1"/>
  <c r="L564" i="3"/>
  <c r="M564" i="3" s="1"/>
  <c r="L572" i="3"/>
  <c r="M572" i="3" s="1"/>
  <c r="L580" i="3"/>
  <c r="M580" i="3" s="1"/>
  <c r="L588" i="3"/>
  <c r="M588" i="3" s="1"/>
  <c r="L5" i="3"/>
  <c r="M5" i="3" s="1"/>
  <c r="L13" i="3"/>
  <c r="M13" i="3" s="1"/>
  <c r="N2" i="3" s="1"/>
  <c r="L21" i="3"/>
  <c r="M21" i="3" s="1"/>
  <c r="L29" i="3"/>
  <c r="M29" i="3" s="1"/>
  <c r="L37" i="3"/>
  <c r="M37" i="3" s="1"/>
  <c r="L45" i="3"/>
  <c r="M45" i="3" s="1"/>
  <c r="L53" i="3"/>
  <c r="M53" i="3" s="1"/>
  <c r="L61" i="3"/>
  <c r="M61" i="3" s="1"/>
  <c r="L69" i="3"/>
  <c r="M69" i="3" s="1"/>
  <c r="L77" i="3"/>
  <c r="M77" i="3" s="1"/>
  <c r="L85" i="3"/>
  <c r="M85" i="3" s="1"/>
  <c r="L93" i="3"/>
  <c r="M93" i="3" s="1"/>
  <c r="L101" i="3"/>
  <c r="M101" i="3" s="1"/>
  <c r="L109" i="3"/>
  <c r="M109" i="3" s="1"/>
  <c r="L117" i="3"/>
  <c r="M117" i="3" s="1"/>
  <c r="L125" i="3"/>
  <c r="M125" i="3" s="1"/>
  <c r="L133" i="3"/>
  <c r="M133" i="3" s="1"/>
  <c r="L141" i="3"/>
  <c r="M141" i="3" s="1"/>
  <c r="L149" i="3"/>
  <c r="M149" i="3" s="1"/>
  <c r="L157" i="3"/>
  <c r="M157" i="3" s="1"/>
  <c r="L165" i="3"/>
  <c r="M165" i="3" s="1"/>
  <c r="L173" i="3"/>
  <c r="M173" i="3" s="1"/>
  <c r="L181" i="3"/>
  <c r="M181" i="3" s="1"/>
  <c r="L189" i="3"/>
  <c r="M189" i="3" s="1"/>
  <c r="L197" i="3"/>
  <c r="M197" i="3" s="1"/>
  <c r="L205" i="3"/>
  <c r="M205" i="3" s="1"/>
  <c r="L213" i="3"/>
  <c r="M213" i="3" s="1"/>
  <c r="L6" i="3"/>
  <c r="M6" i="3" s="1"/>
  <c r="L14" i="3"/>
  <c r="M14" i="3" s="1"/>
  <c r="L22" i="3"/>
  <c r="L30" i="3"/>
  <c r="M30" i="3" s="1"/>
  <c r="L38" i="3"/>
  <c r="M38" i="3" s="1"/>
  <c r="L46" i="3"/>
  <c r="M46" i="3" s="1"/>
  <c r="L54" i="3"/>
  <c r="M54" i="3" s="1"/>
  <c r="L62" i="3"/>
  <c r="M62" i="3" s="1"/>
  <c r="L70" i="3"/>
  <c r="M70" i="3" s="1"/>
  <c r="L78" i="3"/>
  <c r="M78" i="3" s="1"/>
  <c r="L86" i="3"/>
  <c r="M86" i="3" s="1"/>
  <c r="L94" i="3"/>
  <c r="M94" i="3" s="1"/>
  <c r="L102" i="3"/>
  <c r="M102" i="3" s="1"/>
  <c r="L110" i="3"/>
  <c r="M110" i="3" s="1"/>
  <c r="L118" i="3"/>
  <c r="M118" i="3" s="1"/>
  <c r="L126" i="3"/>
  <c r="M126" i="3" s="1"/>
  <c r="L134" i="3"/>
  <c r="M134" i="3" s="1"/>
  <c r="L142" i="3"/>
  <c r="M142" i="3" s="1"/>
  <c r="L150" i="3"/>
  <c r="M150" i="3" s="1"/>
  <c r="L158" i="3"/>
  <c r="M158" i="3" s="1"/>
  <c r="L166" i="3"/>
  <c r="M166" i="3" s="1"/>
  <c r="L174" i="3"/>
  <c r="M174" i="3" s="1"/>
  <c r="L182" i="3"/>
  <c r="M182" i="3" s="1"/>
  <c r="L190" i="3"/>
  <c r="M190" i="3" s="1"/>
  <c r="L198" i="3"/>
  <c r="M198" i="3" s="1"/>
  <c r="L206" i="3"/>
  <c r="M206" i="3" s="1"/>
  <c r="L214" i="3"/>
  <c r="M214" i="3" s="1"/>
  <c r="L222" i="3"/>
  <c r="M222" i="3" s="1"/>
  <c r="L230" i="3"/>
  <c r="M230" i="3" s="1"/>
  <c r="L238" i="3"/>
  <c r="M238" i="3" s="1"/>
  <c r="L246" i="3"/>
  <c r="M246" i="3" s="1"/>
  <c r="L254" i="3"/>
  <c r="M254" i="3" s="1"/>
  <c r="L262" i="3"/>
  <c r="M262" i="3" s="1"/>
  <c r="L270" i="3"/>
  <c r="M270" i="3" s="1"/>
  <c r="L278" i="3"/>
  <c r="M278" i="3" s="1"/>
  <c r="L286" i="3"/>
  <c r="M286" i="3" s="1"/>
  <c r="L294" i="3"/>
  <c r="M294" i="3" s="1"/>
  <c r="L302" i="3"/>
  <c r="M302" i="3" s="1"/>
  <c r="L310" i="3"/>
  <c r="M310" i="3" s="1"/>
  <c r="L318" i="3"/>
  <c r="M318" i="3" s="1"/>
  <c r="L326" i="3"/>
  <c r="M326" i="3" s="1"/>
  <c r="L334" i="3"/>
  <c r="M334" i="3" s="1"/>
  <c r="L342" i="3"/>
  <c r="M342" i="3" s="1"/>
  <c r="L350" i="3"/>
  <c r="M350" i="3" s="1"/>
  <c r="L358" i="3"/>
  <c r="M358" i="3" s="1"/>
  <c r="L366" i="3"/>
  <c r="M366" i="3" s="1"/>
  <c r="L374" i="3"/>
  <c r="M374" i="3" s="1"/>
  <c r="L382" i="3"/>
  <c r="M382" i="3" s="1"/>
  <c r="L390" i="3"/>
  <c r="M390" i="3" s="1"/>
  <c r="L398" i="3"/>
  <c r="M398" i="3" s="1"/>
  <c r="L406" i="3"/>
  <c r="M406" i="3" s="1"/>
  <c r="L414" i="3"/>
  <c r="M414" i="3" s="1"/>
  <c r="L422" i="3"/>
  <c r="M422" i="3" s="1"/>
  <c r="L430" i="3"/>
  <c r="M430" i="3" s="1"/>
  <c r="L438" i="3"/>
  <c r="M438" i="3" s="1"/>
  <c r="L446" i="3"/>
  <c r="M446" i="3" s="1"/>
  <c r="L454" i="3"/>
  <c r="M454" i="3" s="1"/>
  <c r="L462" i="3"/>
  <c r="M462" i="3" s="1"/>
  <c r="L470" i="3"/>
  <c r="M470" i="3" s="1"/>
  <c r="L478" i="3"/>
  <c r="M478" i="3" s="1"/>
  <c r="L486" i="3"/>
  <c r="M486" i="3" s="1"/>
  <c r="L494" i="3"/>
  <c r="M494" i="3" s="1"/>
  <c r="L502" i="3"/>
  <c r="M502" i="3" s="1"/>
  <c r="L510" i="3"/>
  <c r="M510" i="3" s="1"/>
  <c r="L518" i="3"/>
  <c r="M518" i="3" s="1"/>
  <c r="L526" i="3"/>
  <c r="M526" i="3" s="1"/>
  <c r="L534" i="3"/>
  <c r="M534" i="3" s="1"/>
  <c r="L542" i="3"/>
  <c r="M542" i="3" s="1"/>
  <c r="L550" i="3"/>
  <c r="M550" i="3" s="1"/>
  <c r="L558" i="3"/>
  <c r="M558" i="3" s="1"/>
  <c r="L566" i="3"/>
  <c r="M566" i="3" s="1"/>
  <c r="L574" i="3"/>
  <c r="M574" i="3" s="1"/>
  <c r="L582" i="3"/>
  <c r="M582" i="3" s="1"/>
  <c r="L590" i="3"/>
  <c r="M590" i="3" s="1"/>
  <c r="L598" i="3"/>
  <c r="M598" i="3" s="1"/>
  <c r="L614" i="3"/>
  <c r="M614" i="3" s="1"/>
  <c r="L622" i="3"/>
  <c r="M622" i="3" s="1"/>
  <c r="L630" i="3"/>
  <c r="M630" i="3" s="1"/>
  <c r="L7" i="3"/>
  <c r="M7" i="3" s="1"/>
  <c r="L15" i="3"/>
  <c r="M15" i="3" s="1"/>
  <c r="L23" i="3"/>
  <c r="M23" i="3" s="1"/>
  <c r="L31" i="3"/>
  <c r="M31" i="3" s="1"/>
  <c r="L39" i="3"/>
  <c r="M39" i="3" s="1"/>
  <c r="L47" i="3"/>
  <c r="M47" i="3" s="1"/>
  <c r="L55" i="3"/>
  <c r="M55" i="3" s="1"/>
  <c r="L63" i="3"/>
  <c r="M63" i="3" s="1"/>
  <c r="L71" i="3"/>
  <c r="M71" i="3" s="1"/>
  <c r="L79" i="3"/>
  <c r="M79" i="3" s="1"/>
  <c r="L87" i="3"/>
  <c r="M87" i="3" s="1"/>
  <c r="L95" i="3"/>
  <c r="M95" i="3" s="1"/>
  <c r="L103" i="3"/>
  <c r="M103" i="3" s="1"/>
  <c r="L111" i="3"/>
  <c r="M111" i="3" s="1"/>
  <c r="L119" i="3"/>
  <c r="M119" i="3" s="1"/>
  <c r="L127" i="3"/>
  <c r="M127" i="3" s="1"/>
  <c r="L135" i="3"/>
  <c r="M135" i="3" s="1"/>
  <c r="L143" i="3"/>
  <c r="M143" i="3" s="1"/>
  <c r="L151" i="3"/>
  <c r="M151" i="3" s="1"/>
  <c r="L8" i="3"/>
  <c r="M8" i="3" s="1"/>
  <c r="L16" i="3"/>
  <c r="M16" i="3" s="1"/>
  <c r="L24" i="3"/>
  <c r="M24" i="3" s="1"/>
  <c r="L32" i="3"/>
  <c r="M32" i="3" s="1"/>
  <c r="L40" i="3"/>
  <c r="M40" i="3" s="1"/>
  <c r="L48" i="3"/>
  <c r="M48" i="3" s="1"/>
  <c r="L56" i="3"/>
  <c r="M56" i="3" s="1"/>
  <c r="L64" i="3"/>
  <c r="M64" i="3" s="1"/>
  <c r="L72" i="3"/>
  <c r="M72" i="3" s="1"/>
  <c r="L80" i="3"/>
  <c r="M80" i="3" s="1"/>
  <c r="L88" i="3"/>
  <c r="M88" i="3" s="1"/>
  <c r="L96" i="3"/>
  <c r="M96" i="3" s="1"/>
  <c r="L104" i="3"/>
  <c r="M104" i="3" s="1"/>
  <c r="L112" i="3"/>
  <c r="M112" i="3" s="1"/>
  <c r="L120" i="3"/>
  <c r="M120" i="3" s="1"/>
  <c r="L128" i="3"/>
  <c r="M128" i="3" s="1"/>
  <c r="L136" i="3"/>
  <c r="M136" i="3" s="1"/>
  <c r="L144" i="3"/>
  <c r="M144" i="3" s="1"/>
  <c r="L152" i="3"/>
  <c r="M152" i="3" s="1"/>
  <c r="L160" i="3"/>
  <c r="M160" i="3" s="1"/>
  <c r="L168" i="3"/>
  <c r="M168" i="3" s="1"/>
  <c r="L176" i="3"/>
  <c r="M176" i="3" s="1"/>
  <c r="L184" i="3"/>
  <c r="M184" i="3" s="1"/>
  <c r="L192" i="3"/>
  <c r="M192" i="3" s="1"/>
  <c r="L200" i="3"/>
  <c r="M200" i="3" s="1"/>
  <c r="L208" i="3"/>
  <c r="M208" i="3" s="1"/>
  <c r="L216" i="3"/>
  <c r="M216" i="3" s="1"/>
  <c r="L224" i="3"/>
  <c r="M224" i="3" s="1"/>
  <c r="L232" i="3"/>
  <c r="M232" i="3" s="1"/>
  <c r="L240" i="3"/>
  <c r="M240" i="3" s="1"/>
  <c r="L248" i="3"/>
  <c r="M248" i="3" s="1"/>
  <c r="L256" i="3"/>
  <c r="M256" i="3" s="1"/>
  <c r="L264" i="3"/>
  <c r="M264" i="3" s="1"/>
  <c r="L272" i="3"/>
  <c r="M272" i="3" s="1"/>
  <c r="L280" i="3"/>
  <c r="M280" i="3" s="1"/>
  <c r="L288" i="3"/>
  <c r="M288" i="3" s="1"/>
  <c r="L296" i="3"/>
  <c r="M296" i="3" s="1"/>
  <c r="L304" i="3"/>
  <c r="M304" i="3" s="1"/>
  <c r="L312" i="3"/>
  <c r="M312" i="3" s="1"/>
  <c r="L320" i="3"/>
  <c r="M320" i="3" s="1"/>
  <c r="L328" i="3"/>
  <c r="M328" i="3" s="1"/>
  <c r="L336" i="3"/>
  <c r="M336" i="3" s="1"/>
  <c r="L344" i="3"/>
  <c r="M344" i="3" s="1"/>
  <c r="L352" i="3"/>
  <c r="M352" i="3" s="1"/>
  <c r="L360" i="3"/>
  <c r="M360" i="3" s="1"/>
  <c r="L368" i="3"/>
  <c r="M368" i="3" s="1"/>
  <c r="L376" i="3"/>
  <c r="M376" i="3" s="1"/>
  <c r="L384" i="3"/>
  <c r="M384" i="3" s="1"/>
  <c r="L392" i="3"/>
  <c r="M392" i="3" s="1"/>
  <c r="L400" i="3"/>
  <c r="M400" i="3" s="1"/>
  <c r="L408" i="3"/>
  <c r="M408" i="3" s="1"/>
  <c r="L416" i="3"/>
  <c r="M416" i="3" s="1"/>
  <c r="L424" i="3"/>
  <c r="M424" i="3" s="1"/>
  <c r="L432" i="3"/>
  <c r="M432" i="3" s="1"/>
  <c r="L440" i="3"/>
  <c r="M440" i="3" s="1"/>
  <c r="L448" i="3"/>
  <c r="M448" i="3" s="1"/>
  <c r="L456" i="3"/>
  <c r="M456" i="3" s="1"/>
  <c r="L464" i="3"/>
  <c r="M464" i="3" s="1"/>
  <c r="L472" i="3"/>
  <c r="M472" i="3" s="1"/>
  <c r="L480" i="3"/>
  <c r="M480" i="3" s="1"/>
  <c r="L488" i="3"/>
  <c r="M488" i="3" s="1"/>
  <c r="L496" i="3"/>
  <c r="M496" i="3" s="1"/>
  <c r="L504" i="3"/>
  <c r="M504" i="3" s="1"/>
  <c r="L512" i="3"/>
  <c r="M512" i="3" s="1"/>
  <c r="L520" i="3"/>
  <c r="M520" i="3" s="1"/>
  <c r="L528" i="3"/>
  <c r="M528" i="3" s="1"/>
  <c r="L536" i="3"/>
  <c r="M536" i="3" s="1"/>
  <c r="L544" i="3"/>
  <c r="M544" i="3" s="1"/>
  <c r="L552" i="3"/>
  <c r="M552" i="3" s="1"/>
  <c r="L560" i="3"/>
  <c r="M560" i="3" s="1"/>
  <c r="L568" i="3"/>
  <c r="M568" i="3" s="1"/>
  <c r="L576" i="3"/>
  <c r="M576" i="3" s="1"/>
  <c r="L584" i="3"/>
  <c r="M584" i="3" s="1"/>
  <c r="L592" i="3"/>
  <c r="M592" i="3" s="1"/>
  <c r="L600" i="3"/>
  <c r="M600" i="3" s="1"/>
  <c r="L608" i="3"/>
  <c r="M608" i="3" s="1"/>
  <c r="L616" i="3"/>
  <c r="M616" i="3" s="1"/>
  <c r="L624" i="3"/>
  <c r="M624" i="3" s="1"/>
  <c r="L9" i="3"/>
  <c r="M9" i="3" s="1"/>
  <c r="L17" i="3"/>
  <c r="M17" i="3" s="1"/>
  <c r="L25" i="3"/>
  <c r="M25" i="3" s="1"/>
  <c r="L33" i="3"/>
  <c r="M33" i="3" s="1"/>
  <c r="L41" i="3"/>
  <c r="M41" i="3" s="1"/>
  <c r="L49" i="3"/>
  <c r="M49" i="3" s="1"/>
  <c r="L57" i="3"/>
  <c r="M57" i="3" s="1"/>
  <c r="L65" i="3"/>
  <c r="M65" i="3" s="1"/>
  <c r="L73" i="3"/>
  <c r="M73" i="3" s="1"/>
  <c r="L81" i="3"/>
  <c r="M81" i="3" s="1"/>
  <c r="L89" i="3"/>
  <c r="M89" i="3" s="1"/>
  <c r="L97" i="3"/>
  <c r="M97" i="3" s="1"/>
  <c r="L105" i="3"/>
  <c r="M105" i="3" s="1"/>
  <c r="L113" i="3"/>
  <c r="M113" i="3" s="1"/>
  <c r="L121" i="3"/>
  <c r="M121" i="3" s="1"/>
  <c r="L129" i="3"/>
  <c r="M129" i="3" s="1"/>
  <c r="L137" i="3"/>
  <c r="M137" i="3" s="1"/>
  <c r="L145" i="3"/>
  <c r="M145" i="3" s="1"/>
  <c r="L153" i="3"/>
  <c r="M153" i="3" s="1"/>
  <c r="L161" i="3"/>
  <c r="M161" i="3" s="1"/>
  <c r="L169" i="3"/>
  <c r="M169" i="3" s="1"/>
  <c r="L177" i="3"/>
  <c r="M177" i="3" s="1"/>
  <c r="L185" i="3"/>
  <c r="M185" i="3" s="1"/>
  <c r="L193" i="3"/>
  <c r="M193" i="3" s="1"/>
  <c r="L201" i="3"/>
  <c r="M201" i="3" s="1"/>
  <c r="L209" i="3"/>
  <c r="M209" i="3" s="1"/>
  <c r="L217" i="3"/>
  <c r="M217" i="3" s="1"/>
  <c r="L225" i="3"/>
  <c r="M225" i="3" s="1"/>
  <c r="L233" i="3"/>
  <c r="M233" i="3" s="1"/>
  <c r="L241" i="3"/>
  <c r="M241" i="3" s="1"/>
  <c r="L249" i="3"/>
  <c r="M249" i="3" s="1"/>
  <c r="L257" i="3"/>
  <c r="M257" i="3" s="1"/>
  <c r="L265" i="3"/>
  <c r="M265" i="3" s="1"/>
  <c r="L273" i="3"/>
  <c r="M273" i="3" s="1"/>
  <c r="L281" i="3"/>
  <c r="M281" i="3" s="1"/>
  <c r="L289" i="3"/>
  <c r="M289" i="3" s="1"/>
  <c r="L297" i="3"/>
  <c r="M297" i="3" s="1"/>
  <c r="L305" i="3"/>
  <c r="M305" i="3" s="1"/>
  <c r="L313" i="3"/>
  <c r="M313" i="3" s="1"/>
  <c r="L321" i="3"/>
  <c r="M321" i="3" s="1"/>
  <c r="L329" i="3"/>
  <c r="M329" i="3" s="1"/>
  <c r="L337" i="3"/>
  <c r="M337" i="3" s="1"/>
  <c r="L345" i="3"/>
  <c r="M345" i="3" s="1"/>
  <c r="L353" i="3"/>
  <c r="M353" i="3" s="1"/>
  <c r="L361" i="3"/>
  <c r="M361" i="3" s="1"/>
  <c r="L369" i="3"/>
  <c r="M369" i="3" s="1"/>
  <c r="L377" i="3"/>
  <c r="M377" i="3" s="1"/>
  <c r="L385" i="3"/>
  <c r="M385" i="3" s="1"/>
  <c r="L393" i="3"/>
  <c r="M393" i="3" s="1"/>
  <c r="L401" i="3"/>
  <c r="M401" i="3" s="1"/>
  <c r="L409" i="3"/>
  <c r="M409" i="3" s="1"/>
  <c r="L417" i="3"/>
  <c r="M417" i="3" s="1"/>
  <c r="L425" i="3"/>
  <c r="M425" i="3" s="1"/>
  <c r="L433" i="3"/>
  <c r="M433" i="3" s="1"/>
  <c r="L441" i="3"/>
  <c r="M441" i="3" s="1"/>
  <c r="L449" i="3"/>
  <c r="M449" i="3" s="1"/>
  <c r="L457" i="3"/>
  <c r="M457" i="3" s="1"/>
  <c r="L465" i="3"/>
  <c r="M465" i="3" s="1"/>
  <c r="L473" i="3"/>
  <c r="M473" i="3" s="1"/>
  <c r="L481" i="3"/>
  <c r="M481" i="3" s="1"/>
  <c r="L489" i="3"/>
  <c r="M489" i="3" s="1"/>
  <c r="L497" i="3"/>
  <c r="M497" i="3" s="1"/>
  <c r="L505" i="3"/>
  <c r="M505" i="3" s="1"/>
  <c r="L513" i="3"/>
  <c r="M513" i="3" s="1"/>
  <c r="L521" i="3"/>
  <c r="M521" i="3" s="1"/>
  <c r="L529" i="3"/>
  <c r="M529" i="3" s="1"/>
  <c r="L537" i="3"/>
  <c r="M537" i="3" s="1"/>
  <c r="L545" i="3"/>
  <c r="M545" i="3" s="1"/>
  <c r="L553" i="3"/>
  <c r="M553" i="3" s="1"/>
  <c r="L561" i="3"/>
  <c r="M561" i="3" s="1"/>
  <c r="L569" i="3"/>
  <c r="M569" i="3" s="1"/>
  <c r="L577" i="3"/>
  <c r="M577" i="3" s="1"/>
  <c r="L585" i="3"/>
  <c r="M585" i="3" s="1"/>
  <c r="L593" i="3"/>
  <c r="M593" i="3" s="1"/>
  <c r="L601" i="3"/>
  <c r="M601" i="3" s="1"/>
  <c r="L609" i="3"/>
  <c r="M609" i="3" s="1"/>
  <c r="L159" i="3"/>
  <c r="M159" i="3" s="1"/>
  <c r="L221" i="3"/>
  <c r="M221" i="3" s="1"/>
  <c r="L253" i="3"/>
  <c r="M253" i="3" s="1"/>
  <c r="L285" i="3"/>
  <c r="M285" i="3" s="1"/>
  <c r="L317" i="3"/>
  <c r="M317" i="3" s="1"/>
  <c r="L349" i="3"/>
  <c r="M349" i="3" s="1"/>
  <c r="L381" i="3"/>
  <c r="M381" i="3" s="1"/>
  <c r="L413" i="3"/>
  <c r="M413" i="3" s="1"/>
  <c r="L445" i="3"/>
  <c r="M445" i="3" s="1"/>
  <c r="L477" i="3"/>
  <c r="M477" i="3" s="1"/>
  <c r="L509" i="3"/>
  <c r="M509" i="3" s="1"/>
  <c r="L541" i="3"/>
  <c r="M541" i="3" s="1"/>
  <c r="L573" i="3"/>
  <c r="M573" i="3" s="1"/>
  <c r="L599" i="3"/>
  <c r="M599" i="3" s="1"/>
  <c r="L621" i="3"/>
  <c r="M621" i="3" s="1"/>
  <c r="L637" i="3"/>
  <c r="M637" i="3" s="1"/>
  <c r="L647" i="3"/>
  <c r="M647" i="3" s="1"/>
  <c r="L665" i="3"/>
  <c r="M665" i="3" s="1"/>
  <c r="L674" i="3"/>
  <c r="M674" i="3" s="1"/>
  <c r="L691" i="3"/>
  <c r="M691" i="3" s="1"/>
  <c r="L699" i="3"/>
  <c r="M699" i="3" s="1"/>
  <c r="L707" i="3"/>
  <c r="M707" i="3" s="1"/>
  <c r="L723" i="3"/>
  <c r="M723" i="3" s="1"/>
  <c r="L731" i="3"/>
  <c r="M731" i="3" s="1"/>
  <c r="L739" i="3"/>
  <c r="M739" i="3" s="1"/>
  <c r="L747" i="3"/>
  <c r="M747" i="3" s="1"/>
  <c r="L755" i="3"/>
  <c r="M755" i="3" s="1"/>
  <c r="L763" i="3"/>
  <c r="M763" i="3" s="1"/>
  <c r="L779" i="3"/>
  <c r="M779" i="3" s="1"/>
  <c r="L795" i="3"/>
  <c r="M795" i="3" s="1"/>
  <c r="L803" i="3"/>
  <c r="M803" i="3" s="1"/>
  <c r="L811" i="3"/>
  <c r="M811" i="3" s="1"/>
  <c r="L819" i="3"/>
  <c r="M819" i="3" s="1"/>
  <c r="L827" i="3"/>
  <c r="M827" i="3" s="1"/>
  <c r="L835" i="3"/>
  <c r="M835" i="3" s="1"/>
  <c r="L843" i="3"/>
  <c r="M843" i="3" s="1"/>
  <c r="L851" i="3"/>
  <c r="M851" i="3" s="1"/>
  <c r="L859" i="3"/>
  <c r="M859" i="3" s="1"/>
  <c r="L867" i="3"/>
  <c r="M867" i="3" s="1"/>
  <c r="L875" i="3"/>
  <c r="M875" i="3" s="1"/>
  <c r="L883" i="3"/>
  <c r="M883" i="3" s="1"/>
  <c r="L891" i="3"/>
  <c r="M891" i="3" s="1"/>
  <c r="L907" i="3"/>
  <c r="M907" i="3" s="1"/>
  <c r="L915" i="3"/>
  <c r="M915" i="3" s="1"/>
  <c r="L923" i="3"/>
  <c r="M923" i="3" s="1"/>
  <c r="L931" i="3"/>
  <c r="M931" i="3" s="1"/>
  <c r="L939" i="3"/>
  <c r="M939" i="3" s="1"/>
  <c r="L947" i="3"/>
  <c r="M947" i="3" s="1"/>
  <c r="L955" i="3"/>
  <c r="M955" i="3" s="1"/>
  <c r="L963" i="3"/>
  <c r="M963" i="3" s="1"/>
  <c r="L971" i="3"/>
  <c r="M971" i="3" s="1"/>
  <c r="L979" i="3"/>
  <c r="M979" i="3" s="1"/>
  <c r="L987" i="3"/>
  <c r="M987" i="3" s="1"/>
  <c r="L995" i="3"/>
  <c r="M995" i="3" s="1"/>
  <c r="L167" i="3"/>
  <c r="M167" i="3" s="1"/>
  <c r="L223" i="3"/>
  <c r="M223" i="3" s="1"/>
  <c r="L255" i="3"/>
  <c r="M255" i="3" s="1"/>
  <c r="L287" i="3"/>
  <c r="M287" i="3" s="1"/>
  <c r="L319" i="3"/>
  <c r="M319" i="3" s="1"/>
  <c r="L351" i="3"/>
  <c r="M351" i="3" s="1"/>
  <c r="L383" i="3"/>
  <c r="M383" i="3" s="1"/>
  <c r="L415" i="3"/>
  <c r="M415" i="3" s="1"/>
  <c r="L447" i="3"/>
  <c r="M447" i="3" s="1"/>
  <c r="L479" i="3"/>
  <c r="M479" i="3" s="1"/>
  <c r="L511" i="3"/>
  <c r="M511" i="3" s="1"/>
  <c r="L543" i="3"/>
  <c r="M543" i="3" s="1"/>
  <c r="L575" i="3"/>
  <c r="M575" i="3" s="1"/>
  <c r="L604" i="3"/>
  <c r="M604" i="3" s="1"/>
  <c r="L623" i="3"/>
  <c r="M623" i="3" s="1"/>
  <c r="L638" i="3"/>
  <c r="M638" i="3" s="1"/>
  <c r="L657" i="3"/>
  <c r="M657" i="3" s="1"/>
  <c r="L666" i="3"/>
  <c r="M666" i="3" s="1"/>
  <c r="L708" i="3"/>
  <c r="M708" i="3" s="1"/>
  <c r="L716" i="3"/>
  <c r="M716" i="3" s="1"/>
  <c r="L772" i="3"/>
  <c r="M772" i="3" s="1"/>
  <c r="L780" i="3"/>
  <c r="M780" i="3" s="1"/>
  <c r="L788" i="3"/>
  <c r="M788" i="3" s="1"/>
  <c r="L796" i="3"/>
  <c r="M796" i="3" s="1"/>
  <c r="L804" i="3"/>
  <c r="M804" i="3" s="1"/>
  <c r="L812" i="3"/>
  <c r="M812" i="3" s="1"/>
  <c r="L820" i="3"/>
  <c r="M820" i="3" s="1"/>
  <c r="L884" i="3"/>
  <c r="M884" i="3" s="1"/>
  <c r="L892" i="3"/>
  <c r="M892" i="3" s="1"/>
  <c r="L900" i="3"/>
  <c r="M900" i="3" s="1"/>
  <c r="L916" i="3"/>
  <c r="M916" i="3" s="1"/>
  <c r="L948" i="3"/>
  <c r="M948" i="3" s="1"/>
  <c r="L956" i="3"/>
  <c r="M956" i="3" s="1"/>
  <c r="L964" i="3"/>
  <c r="M964" i="3" s="1"/>
  <c r="L972" i="3"/>
  <c r="M972" i="3" s="1"/>
  <c r="L980" i="3"/>
  <c r="M980" i="3" s="1"/>
  <c r="L988" i="3"/>
  <c r="M988" i="3" s="1"/>
  <c r="L996" i="3"/>
  <c r="M996" i="3" s="1"/>
  <c r="L175" i="3"/>
  <c r="M175" i="3" s="1"/>
  <c r="L229" i="3"/>
  <c r="M229" i="3" s="1"/>
  <c r="L261" i="3"/>
  <c r="M261" i="3" s="1"/>
  <c r="L293" i="3"/>
  <c r="M293" i="3" s="1"/>
  <c r="L325" i="3"/>
  <c r="M325" i="3" s="1"/>
  <c r="L357" i="3"/>
  <c r="M357" i="3" s="1"/>
  <c r="L389" i="3"/>
  <c r="M389" i="3" s="1"/>
  <c r="L421" i="3"/>
  <c r="M421" i="3" s="1"/>
  <c r="L453" i="3"/>
  <c r="M453" i="3" s="1"/>
  <c r="L485" i="3"/>
  <c r="M485" i="3" s="1"/>
  <c r="L517" i="3"/>
  <c r="M517" i="3" s="1"/>
  <c r="L549" i="3"/>
  <c r="M549" i="3" s="1"/>
  <c r="L581" i="3"/>
  <c r="M581" i="3" s="1"/>
  <c r="L605" i="3"/>
  <c r="M605" i="3" s="1"/>
  <c r="L628" i="3"/>
  <c r="M628" i="3" s="1"/>
  <c r="L639" i="3"/>
  <c r="M639" i="3" s="1"/>
  <c r="L649" i="3"/>
  <c r="M649" i="3" s="1"/>
  <c r="L658" i="3"/>
  <c r="M658" i="3" s="1"/>
  <c r="L677" i="3"/>
  <c r="M677" i="3" s="1"/>
  <c r="L685" i="3"/>
  <c r="M685" i="3" s="1"/>
  <c r="L693" i="3"/>
  <c r="M693" i="3" s="1"/>
  <c r="L701" i="3"/>
  <c r="M701" i="3" s="1"/>
  <c r="L717" i="3"/>
  <c r="M717" i="3" s="1"/>
  <c r="L725" i="3"/>
  <c r="M725" i="3" s="1"/>
  <c r="L733" i="3"/>
  <c r="M733" i="3" s="1"/>
  <c r="L741" i="3"/>
  <c r="M741" i="3" s="1"/>
  <c r="L749" i="3"/>
  <c r="M749" i="3" s="1"/>
  <c r="L757" i="3"/>
  <c r="M757" i="3" s="1"/>
  <c r="L765" i="3"/>
  <c r="M765" i="3" s="1"/>
  <c r="L781" i="3"/>
  <c r="M781" i="3" s="1"/>
  <c r="L789" i="3"/>
  <c r="M789" i="3" s="1"/>
  <c r="L797" i="3"/>
  <c r="M797" i="3" s="1"/>
  <c r="L805" i="3"/>
  <c r="M805" i="3" s="1"/>
  <c r="L813" i="3"/>
  <c r="M813" i="3" s="1"/>
  <c r="L821" i="3"/>
  <c r="M821" i="3" s="1"/>
  <c r="L829" i="3"/>
  <c r="M829" i="3" s="1"/>
  <c r="L837" i="3"/>
  <c r="M837" i="3" s="1"/>
  <c r="L853" i="3"/>
  <c r="M853" i="3" s="1"/>
  <c r="L861" i="3"/>
  <c r="M861" i="3" s="1"/>
  <c r="L869" i="3"/>
  <c r="M869" i="3" s="1"/>
  <c r="L877" i="3"/>
  <c r="M877" i="3" s="1"/>
  <c r="L885" i="3"/>
  <c r="M885" i="3" s="1"/>
  <c r="L901" i="3"/>
  <c r="M901" i="3" s="1"/>
  <c r="L909" i="3"/>
  <c r="M909" i="3" s="1"/>
  <c r="L917" i="3"/>
  <c r="M917" i="3" s="1"/>
  <c r="L925" i="3"/>
  <c r="M925" i="3" s="1"/>
  <c r="L933" i="3"/>
  <c r="M933" i="3" s="1"/>
  <c r="L941" i="3"/>
  <c r="M941" i="3" s="1"/>
  <c r="L949" i="3"/>
  <c r="M949" i="3" s="1"/>
  <c r="L957" i="3"/>
  <c r="M957" i="3" s="1"/>
  <c r="L965" i="3"/>
  <c r="M965" i="3" s="1"/>
  <c r="L973" i="3"/>
  <c r="M973" i="3" s="1"/>
  <c r="L981" i="3"/>
  <c r="M981" i="3" s="1"/>
  <c r="L989" i="3"/>
  <c r="M989" i="3" s="1"/>
  <c r="L997" i="3"/>
  <c r="M997" i="3" s="1"/>
  <c r="L1000" i="3"/>
  <c r="M1000" i="3" s="1"/>
  <c r="L183" i="3"/>
  <c r="M183" i="3" s="1"/>
  <c r="L231" i="3"/>
  <c r="M231" i="3" s="1"/>
  <c r="L263" i="3"/>
  <c r="M263" i="3" s="1"/>
  <c r="L295" i="3"/>
  <c r="M295" i="3" s="1"/>
  <c r="L327" i="3"/>
  <c r="M327" i="3" s="1"/>
  <c r="L359" i="3"/>
  <c r="M359" i="3" s="1"/>
  <c r="L391" i="3"/>
  <c r="M391" i="3" s="1"/>
  <c r="L423" i="3"/>
  <c r="M423" i="3" s="1"/>
  <c r="L455" i="3"/>
  <c r="M455" i="3" s="1"/>
  <c r="L487" i="3"/>
  <c r="M487" i="3" s="1"/>
  <c r="L519" i="3"/>
  <c r="M519" i="3" s="1"/>
  <c r="L551" i="3"/>
  <c r="M551" i="3" s="1"/>
  <c r="L583" i="3"/>
  <c r="M583" i="3" s="1"/>
  <c r="L607" i="3"/>
  <c r="M607" i="3" s="1"/>
  <c r="L629" i="3"/>
  <c r="M629" i="3" s="1"/>
  <c r="L640" i="3"/>
  <c r="M640" i="3" s="1"/>
  <c r="L669" i="3"/>
  <c r="M669" i="3" s="1"/>
  <c r="L678" i="3"/>
  <c r="M678" i="3" s="1"/>
  <c r="L686" i="3"/>
  <c r="M686" i="3" s="1"/>
  <c r="L694" i="3"/>
  <c r="M694" i="3" s="1"/>
  <c r="L702" i="3"/>
  <c r="M702" i="3" s="1"/>
  <c r="L710" i="3"/>
  <c r="M710" i="3" s="1"/>
  <c r="L718" i="3"/>
  <c r="M718" i="3" s="1"/>
  <c r="L726" i="3"/>
  <c r="M726" i="3" s="1"/>
  <c r="L734" i="3"/>
  <c r="M734" i="3" s="1"/>
  <c r="L742" i="3"/>
  <c r="M742" i="3" s="1"/>
  <c r="L750" i="3"/>
  <c r="M750" i="3" s="1"/>
  <c r="L758" i="3"/>
  <c r="M758" i="3" s="1"/>
  <c r="L766" i="3"/>
  <c r="M766" i="3" s="1"/>
  <c r="L774" i="3"/>
  <c r="M774" i="3" s="1"/>
  <c r="L782" i="3"/>
  <c r="M782" i="3" s="1"/>
  <c r="L790" i="3"/>
  <c r="M790" i="3" s="1"/>
  <c r="L798" i="3"/>
  <c r="M798" i="3" s="1"/>
  <c r="L814" i="3"/>
  <c r="M814" i="3" s="1"/>
  <c r="L822" i="3"/>
  <c r="M822" i="3" s="1"/>
  <c r="L830" i="3"/>
  <c r="M830" i="3" s="1"/>
  <c r="L838" i="3"/>
  <c r="M838" i="3" s="1"/>
  <c r="L846" i="3"/>
  <c r="M846" i="3" s="1"/>
  <c r="L854" i="3"/>
  <c r="M854" i="3" s="1"/>
  <c r="L862" i="3"/>
  <c r="M862" i="3" s="1"/>
  <c r="L870" i="3"/>
  <c r="M870" i="3" s="1"/>
  <c r="L878" i="3"/>
  <c r="M878" i="3" s="1"/>
  <c r="L886" i="3"/>
  <c r="M886" i="3" s="1"/>
  <c r="L894" i="3"/>
  <c r="M894" i="3" s="1"/>
  <c r="L910" i="3"/>
  <c r="M910" i="3" s="1"/>
  <c r="L918" i="3"/>
  <c r="M918" i="3" s="1"/>
  <c r="L926" i="3"/>
  <c r="M926" i="3" s="1"/>
  <c r="L934" i="3"/>
  <c r="M934" i="3" s="1"/>
  <c r="L942" i="3"/>
  <c r="M942" i="3" s="1"/>
  <c r="L958" i="3"/>
  <c r="M958" i="3" s="1"/>
  <c r="L966" i="3"/>
  <c r="M966" i="3" s="1"/>
  <c r="L974" i="3"/>
  <c r="M974" i="3" s="1"/>
  <c r="L982" i="3"/>
  <c r="M982" i="3" s="1"/>
  <c r="L990" i="3"/>
  <c r="M990" i="3" s="1"/>
  <c r="L998" i="3"/>
  <c r="M998" i="3" s="1"/>
  <c r="L191" i="3"/>
  <c r="M191" i="3" s="1"/>
  <c r="L237" i="3"/>
  <c r="M237" i="3" s="1"/>
  <c r="L269" i="3"/>
  <c r="M269" i="3" s="1"/>
  <c r="L301" i="3"/>
  <c r="M301" i="3" s="1"/>
  <c r="L333" i="3"/>
  <c r="M333" i="3" s="1"/>
  <c r="L365" i="3"/>
  <c r="M365" i="3" s="1"/>
  <c r="L397" i="3"/>
  <c r="M397" i="3" s="1"/>
  <c r="L429" i="3"/>
  <c r="M429" i="3" s="1"/>
  <c r="L461" i="3"/>
  <c r="M461" i="3" s="1"/>
  <c r="L493" i="3"/>
  <c r="M493" i="3" s="1"/>
  <c r="L525" i="3"/>
  <c r="M525" i="3" s="1"/>
  <c r="L557" i="3"/>
  <c r="M557" i="3" s="1"/>
  <c r="L589" i="3"/>
  <c r="M589" i="3" s="1"/>
  <c r="L612" i="3"/>
  <c r="M612" i="3" s="1"/>
  <c r="L631" i="3"/>
  <c r="M631" i="3" s="1"/>
  <c r="L679" i="3"/>
  <c r="M679" i="3" s="1"/>
  <c r="L687" i="3"/>
  <c r="M687" i="3" s="1"/>
  <c r="L695" i="3"/>
  <c r="M695" i="3" s="1"/>
  <c r="L703" i="3"/>
  <c r="M703" i="3" s="1"/>
  <c r="L711" i="3"/>
  <c r="M711" i="3" s="1"/>
  <c r="L719" i="3"/>
  <c r="M719" i="3" s="1"/>
  <c r="L727" i="3"/>
  <c r="M727" i="3" s="1"/>
  <c r="L735" i="3"/>
  <c r="M735" i="3" s="1"/>
  <c r="L743" i="3"/>
  <c r="M743" i="3" s="1"/>
  <c r="L751" i="3"/>
  <c r="M751" i="3" s="1"/>
  <c r="L759" i="3"/>
  <c r="M759" i="3" s="1"/>
  <c r="L767" i="3"/>
  <c r="M767" i="3" s="1"/>
  <c r="L775" i="3"/>
  <c r="M775" i="3" s="1"/>
  <c r="L783" i="3"/>
  <c r="M783" i="3" s="1"/>
  <c r="L791" i="3"/>
  <c r="M791" i="3" s="1"/>
  <c r="L799" i="3"/>
  <c r="M799" i="3" s="1"/>
  <c r="L807" i="3"/>
  <c r="M807" i="3" s="1"/>
  <c r="L815" i="3"/>
  <c r="M815" i="3" s="1"/>
  <c r="L823" i="3"/>
  <c r="M823" i="3" s="1"/>
  <c r="L831" i="3"/>
  <c r="M831" i="3" s="1"/>
  <c r="L839" i="3"/>
  <c r="M839" i="3" s="1"/>
  <c r="L847" i="3"/>
  <c r="M847" i="3" s="1"/>
  <c r="L855" i="3"/>
  <c r="M855" i="3" s="1"/>
  <c r="L871" i="3"/>
  <c r="M871" i="3" s="1"/>
  <c r="L887" i="3"/>
  <c r="M887" i="3" s="1"/>
  <c r="L895" i="3"/>
  <c r="M895" i="3" s="1"/>
  <c r="L903" i="3"/>
  <c r="M903" i="3" s="1"/>
  <c r="L919" i="3"/>
  <c r="M919" i="3" s="1"/>
  <c r="L927" i="3"/>
  <c r="M927" i="3" s="1"/>
  <c r="L935" i="3"/>
  <c r="M935" i="3" s="1"/>
  <c r="L943" i="3"/>
  <c r="M943" i="3" s="1"/>
  <c r="L951" i="3"/>
  <c r="M951" i="3" s="1"/>
  <c r="L959" i="3"/>
  <c r="M959" i="3" s="1"/>
  <c r="L967" i="3"/>
  <c r="M967" i="3" s="1"/>
  <c r="L975" i="3"/>
  <c r="M975" i="3" s="1"/>
  <c r="L983" i="3"/>
  <c r="M983" i="3" s="1"/>
  <c r="L991" i="3"/>
  <c r="M991" i="3" s="1"/>
  <c r="L999" i="3"/>
  <c r="M999" i="3" s="1"/>
  <c r="L199" i="3"/>
  <c r="M199" i="3" s="1"/>
  <c r="L239" i="3"/>
  <c r="M239" i="3" s="1"/>
  <c r="L271" i="3"/>
  <c r="M271" i="3" s="1"/>
  <c r="L303" i="3"/>
  <c r="M303" i="3" s="1"/>
  <c r="L335" i="3"/>
  <c r="M335" i="3" s="1"/>
  <c r="L367" i="3"/>
  <c r="M367" i="3" s="1"/>
  <c r="L399" i="3"/>
  <c r="M399" i="3" s="1"/>
  <c r="L431" i="3"/>
  <c r="M431" i="3" s="1"/>
  <c r="L463" i="3"/>
  <c r="M463" i="3" s="1"/>
  <c r="L495" i="3"/>
  <c r="M495" i="3" s="1"/>
  <c r="L527" i="3"/>
  <c r="M527" i="3" s="1"/>
  <c r="L559" i="3"/>
  <c r="M559" i="3" s="1"/>
  <c r="L591" i="3"/>
  <c r="M591" i="3" s="1"/>
  <c r="L613" i="3"/>
  <c r="M613" i="3" s="1"/>
  <c r="L632" i="3"/>
  <c r="M632" i="3" s="1"/>
  <c r="L644" i="3"/>
  <c r="M644" i="3" s="1"/>
  <c r="L653" i="3"/>
  <c r="M653" i="3" s="1"/>
  <c r="L662" i="3"/>
  <c r="M662" i="3" s="1"/>
  <c r="L671" i="3"/>
  <c r="M671" i="3" s="1"/>
  <c r="L680" i="3"/>
  <c r="M680" i="3" s="1"/>
  <c r="L688" i="3"/>
  <c r="M688" i="3" s="1"/>
  <c r="L696" i="3"/>
  <c r="M696" i="3" s="1"/>
  <c r="L704" i="3"/>
  <c r="M704" i="3" s="1"/>
  <c r="L712" i="3"/>
  <c r="M712" i="3" s="1"/>
  <c r="L720" i="3"/>
  <c r="M720" i="3" s="1"/>
  <c r="L728" i="3"/>
  <c r="M728" i="3" s="1"/>
  <c r="L736" i="3"/>
  <c r="M736" i="3" s="1"/>
  <c r="L744" i="3"/>
  <c r="M744" i="3" s="1"/>
  <c r="L752" i="3"/>
  <c r="M752" i="3" s="1"/>
  <c r="L760" i="3"/>
  <c r="M760" i="3" s="1"/>
  <c r="L768" i="3"/>
  <c r="M768" i="3" s="1"/>
  <c r="L776" i="3"/>
  <c r="M776" i="3" s="1"/>
  <c r="L792" i="3"/>
  <c r="M792" i="3" s="1"/>
  <c r="L800" i="3"/>
  <c r="M800" i="3" s="1"/>
  <c r="L808" i="3"/>
  <c r="M808" i="3" s="1"/>
  <c r="L816" i="3"/>
  <c r="M816" i="3" s="1"/>
  <c r="L824" i="3"/>
  <c r="M824" i="3" s="1"/>
  <c r="L832" i="3"/>
  <c r="M832" i="3" s="1"/>
  <c r="L840" i="3"/>
  <c r="M840" i="3" s="1"/>
  <c r="L848" i="3"/>
  <c r="M848" i="3" s="1"/>
  <c r="L856" i="3"/>
  <c r="M856" i="3" s="1"/>
  <c r="L864" i="3"/>
  <c r="M864" i="3" s="1"/>
  <c r="L872" i="3"/>
  <c r="M872" i="3" s="1"/>
  <c r="L880" i="3"/>
  <c r="M880" i="3" s="1"/>
  <c r="L888" i="3"/>
  <c r="M888" i="3" s="1"/>
  <c r="L896" i="3"/>
  <c r="M896" i="3" s="1"/>
  <c r="L904" i="3"/>
  <c r="M904" i="3" s="1"/>
  <c r="L920" i="3"/>
  <c r="M920" i="3" s="1"/>
  <c r="L928" i="3"/>
  <c r="M928" i="3" s="1"/>
  <c r="L936" i="3"/>
  <c r="M936" i="3" s="1"/>
  <c r="L944" i="3"/>
  <c r="M944" i="3" s="1"/>
  <c r="L952" i="3"/>
  <c r="M952" i="3" s="1"/>
  <c r="L960" i="3"/>
  <c r="M960" i="3" s="1"/>
  <c r="L968" i="3"/>
  <c r="M968" i="3" s="1"/>
  <c r="L976" i="3"/>
  <c r="M976" i="3" s="1"/>
  <c r="L984" i="3"/>
  <c r="M984" i="3" s="1"/>
  <c r="L992" i="3"/>
  <c r="M992" i="3" s="1"/>
  <c r="L207" i="3"/>
  <c r="M207" i="3" s="1"/>
  <c r="L341" i="3"/>
  <c r="M341" i="3" s="1"/>
  <c r="L469" i="3"/>
  <c r="M469" i="3" s="1"/>
  <c r="L596" i="3"/>
  <c r="M596" i="3" s="1"/>
  <c r="L654" i="3"/>
  <c r="M654" i="3" s="1"/>
  <c r="L721" i="3"/>
  <c r="M721" i="3" s="1"/>
  <c r="L817" i="3"/>
  <c r="M817" i="3" s="1"/>
  <c r="L849" i="3"/>
  <c r="M849" i="3" s="1"/>
  <c r="L881" i="3"/>
  <c r="M881" i="3" s="1"/>
  <c r="L913" i="3"/>
  <c r="M913" i="3" s="1"/>
  <c r="L945" i="3"/>
  <c r="M945" i="3" s="1"/>
  <c r="L977" i="3"/>
  <c r="M977" i="3" s="1"/>
  <c r="L215" i="3"/>
  <c r="M215" i="3" s="1"/>
  <c r="L343" i="3"/>
  <c r="M343" i="3" s="1"/>
  <c r="L471" i="3"/>
  <c r="M471" i="3" s="1"/>
  <c r="L597" i="3"/>
  <c r="M597" i="3" s="1"/>
  <c r="L655" i="3"/>
  <c r="M655" i="3" s="1"/>
  <c r="L690" i="3"/>
  <c r="M690" i="3" s="1"/>
  <c r="L722" i="3"/>
  <c r="M722" i="3" s="1"/>
  <c r="L754" i="3"/>
  <c r="M754" i="3" s="1"/>
  <c r="L786" i="3"/>
  <c r="M786" i="3" s="1"/>
  <c r="L818" i="3"/>
  <c r="M818" i="3" s="1"/>
  <c r="L850" i="3"/>
  <c r="M850" i="3" s="1"/>
  <c r="L882" i="3"/>
  <c r="M882" i="3" s="1"/>
  <c r="L946" i="3"/>
  <c r="M946" i="3" s="1"/>
  <c r="L978" i="3"/>
  <c r="M978" i="3" s="1"/>
  <c r="L245" i="3"/>
  <c r="M245" i="3" s="1"/>
  <c r="L373" i="3"/>
  <c r="M373" i="3" s="1"/>
  <c r="L501" i="3"/>
  <c r="M501" i="3" s="1"/>
  <c r="L615" i="3"/>
  <c r="M615" i="3" s="1"/>
  <c r="L663" i="3"/>
  <c r="M663" i="3" s="1"/>
  <c r="L697" i="3"/>
  <c r="M697" i="3" s="1"/>
  <c r="L729" i="3"/>
  <c r="M729" i="3" s="1"/>
  <c r="L761" i="3"/>
  <c r="M761" i="3" s="1"/>
  <c r="L793" i="3"/>
  <c r="M793" i="3" s="1"/>
  <c r="L857" i="3"/>
  <c r="M857" i="3" s="1"/>
  <c r="L889" i="3"/>
  <c r="M889" i="3" s="1"/>
  <c r="L953" i="3"/>
  <c r="M953" i="3" s="1"/>
  <c r="L985" i="3"/>
  <c r="M985" i="3" s="1"/>
  <c r="L247" i="3"/>
  <c r="M247" i="3" s="1"/>
  <c r="L375" i="3"/>
  <c r="M375" i="3" s="1"/>
  <c r="L503" i="3"/>
  <c r="M503" i="3" s="1"/>
  <c r="L620" i="3"/>
  <c r="M620" i="3" s="1"/>
  <c r="L664" i="3"/>
  <c r="M664" i="3" s="1"/>
  <c r="L698" i="3"/>
  <c r="M698" i="3" s="1"/>
  <c r="L730" i="3"/>
  <c r="M730" i="3" s="1"/>
  <c r="L762" i="3"/>
  <c r="M762" i="3" s="1"/>
  <c r="L794" i="3"/>
  <c r="M794" i="3" s="1"/>
  <c r="L826" i="3"/>
  <c r="M826" i="3" s="1"/>
  <c r="L858" i="3"/>
  <c r="M858" i="3" s="1"/>
  <c r="L277" i="3"/>
  <c r="M277" i="3" s="1"/>
  <c r="L405" i="3"/>
  <c r="M405" i="3" s="1"/>
  <c r="L533" i="3"/>
  <c r="M533" i="3" s="1"/>
  <c r="L633" i="3"/>
  <c r="M633" i="3" s="1"/>
  <c r="L672" i="3"/>
  <c r="M672" i="3" s="1"/>
  <c r="L737" i="3"/>
  <c r="M737" i="3" s="1"/>
  <c r="L769" i="3"/>
  <c r="M769" i="3" s="1"/>
  <c r="L801" i="3"/>
  <c r="M801" i="3" s="1"/>
  <c r="L279" i="3"/>
  <c r="M279" i="3" s="1"/>
  <c r="L407" i="3"/>
  <c r="M407" i="3" s="1"/>
  <c r="L535" i="3"/>
  <c r="M535" i="3" s="1"/>
  <c r="L673" i="3"/>
  <c r="M673" i="3" s="1"/>
  <c r="L706" i="3"/>
  <c r="M706" i="3" s="1"/>
  <c r="L309" i="3"/>
  <c r="M309" i="3" s="1"/>
  <c r="L437" i="3"/>
  <c r="M437" i="3" s="1"/>
  <c r="L565" i="3"/>
  <c r="M565" i="3" s="1"/>
  <c r="L645" i="3"/>
  <c r="M645" i="3" s="1"/>
  <c r="L681" i="3"/>
  <c r="M681" i="3" s="1"/>
  <c r="L745" i="3"/>
  <c r="M745" i="3" s="1"/>
  <c r="L777" i="3"/>
  <c r="M777" i="3" s="1"/>
  <c r="L809" i="3"/>
  <c r="M809" i="3" s="1"/>
  <c r="L311" i="3"/>
  <c r="M311" i="3" s="1"/>
  <c r="L439" i="3"/>
  <c r="M439" i="3" s="1"/>
  <c r="L778" i="3"/>
  <c r="M778" i="3" s="1"/>
  <c r="L567" i="3"/>
  <c r="M567" i="3" s="1"/>
  <c r="L802" i="3"/>
  <c r="M802" i="3" s="1"/>
  <c r="L874" i="3"/>
  <c r="M874" i="3" s="1"/>
  <c r="L930" i="3"/>
  <c r="M930" i="3" s="1"/>
  <c r="L986" i="3"/>
  <c r="M986" i="3" s="1"/>
  <c r="L646" i="3"/>
  <c r="M646" i="3" s="1"/>
  <c r="L810" i="3"/>
  <c r="M810" i="3" s="1"/>
  <c r="L890" i="3"/>
  <c r="M890" i="3" s="1"/>
  <c r="L937" i="3"/>
  <c r="M937" i="3" s="1"/>
  <c r="L993" i="3"/>
  <c r="M993" i="3" s="1"/>
  <c r="L1001" i="3"/>
  <c r="M1001" i="3" s="1"/>
  <c r="L682" i="3"/>
  <c r="M682" i="3" s="1"/>
  <c r="L833" i="3"/>
  <c r="M833" i="3" s="1"/>
  <c r="L897" i="3"/>
  <c r="M897" i="3" s="1"/>
  <c r="L938" i="3"/>
  <c r="M938" i="3" s="1"/>
  <c r="L994" i="3"/>
  <c r="M994" i="3" s="1"/>
  <c r="L906" i="3"/>
  <c r="M906" i="3" s="1"/>
  <c r="L962" i="3"/>
  <c r="M962" i="3" s="1"/>
  <c r="L770" i="3"/>
  <c r="M770" i="3" s="1"/>
  <c r="L866" i="3"/>
  <c r="M866" i="3" s="1"/>
  <c r="L922" i="3"/>
  <c r="M922" i="3" s="1"/>
  <c r="L714" i="3"/>
  <c r="M714" i="3" s="1"/>
  <c r="L834" i="3"/>
  <c r="M834" i="3" s="1"/>
  <c r="L970" i="3"/>
  <c r="M970" i="3" s="1"/>
  <c r="L898" i="3"/>
  <c r="M898" i="3" s="1"/>
  <c r="L842" i="3"/>
  <c r="M842" i="3" s="1"/>
  <c r="L929" i="3"/>
  <c r="M929" i="3" s="1"/>
  <c r="L954" i="3"/>
  <c r="M954" i="3" s="1"/>
  <c r="L969" i="3"/>
  <c r="M969" i="3" s="1"/>
  <c r="S12" i="1"/>
  <c r="P2" i="1"/>
  <c r="N2" i="1"/>
  <c r="P3" i="1"/>
  <c r="P4" i="1"/>
  <c r="P5" i="1"/>
  <c r="P6" i="1"/>
  <c r="P7" i="1"/>
  <c r="P8" i="1"/>
  <c r="P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M9" i="1" s="1"/>
  <c r="M2" i="1" l="1"/>
  <c r="M3" i="1"/>
  <c r="M4" i="1"/>
  <c r="M5" i="1"/>
  <c r="J2" i="1"/>
  <c r="M6" i="1"/>
  <c r="K2" i="1"/>
  <c r="M7" i="1"/>
  <c r="J6" i="1"/>
  <c r="M8" i="1"/>
  <c r="K6" i="1"/>
  <c r="N9" i="1" l="1"/>
  <c r="O9" i="1" s="1"/>
  <c r="Q9" i="1" s="1"/>
  <c r="R9" i="1" s="1"/>
  <c r="N8" i="1"/>
  <c r="O8" i="1" s="1"/>
  <c r="N7" i="1"/>
  <c r="O7" i="1" s="1"/>
  <c r="N6" i="1"/>
  <c r="O6" i="1" s="1"/>
  <c r="Q6" i="1" s="1"/>
  <c r="R6" i="1" s="1"/>
  <c r="N5" i="1"/>
  <c r="O5" i="1" s="1"/>
  <c r="Q5" i="1" s="1"/>
  <c r="R5" i="1" s="1"/>
  <c r="N4" i="1"/>
  <c r="O4" i="1" s="1"/>
  <c r="Q4" i="1" s="1"/>
  <c r="R4" i="1" s="1"/>
  <c r="N3" i="1"/>
  <c r="O3" i="1" s="1"/>
  <c r="Q7" i="1" l="1"/>
  <c r="R7" i="1" s="1"/>
  <c r="Q8" i="1"/>
  <c r="R8" i="1" s="1"/>
  <c r="Q2" i="1"/>
  <c r="R2" i="1" s="1"/>
  <c r="O2" i="1"/>
  <c r="Q3" i="1" s="1"/>
  <c r="R3" i="1" s="1"/>
  <c r="S2" i="1" l="1"/>
</calcChain>
</file>

<file path=xl/sharedStrings.xml><?xml version="1.0" encoding="utf-8"?>
<sst xmlns="http://schemas.openxmlformats.org/spreadsheetml/2006/main" count="12552" uniqueCount="52">
  <si>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</si>
  <si>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</si>
  <si>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</si>
  <si>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</si>
  <si>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</si>
  <si>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</si>
  <si>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</si>
  <si>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</si>
  <si>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</si>
  <si>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</si>
  <si>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high school</t>
  </si>
  <si>
    <t>standard</t>
  </si>
  <si>
    <t>none</t>
  </si>
  <si>
    <t>group D</t>
  </si>
  <si>
    <t>some college</t>
  </si>
  <si>
    <t>group A</t>
  </si>
  <si>
    <t>associate's degree</t>
  </si>
  <si>
    <t>completed</t>
  </si>
  <si>
    <t>group C</t>
  </si>
  <si>
    <t>male</t>
  </si>
  <si>
    <t>bachelor's degree</t>
  </si>
  <si>
    <t>group E</t>
  </si>
  <si>
    <t>some high school</t>
  </si>
  <si>
    <t>free/reduced</t>
  </si>
  <si>
    <t>master's degree</t>
  </si>
  <si>
    <t>sum_score</t>
  </si>
  <si>
    <t>average_sum</t>
  </si>
  <si>
    <t>Variance</t>
  </si>
  <si>
    <t>Min</t>
  </si>
  <si>
    <t>Max</t>
  </si>
  <si>
    <t>range_index</t>
  </si>
  <si>
    <t>n_i</t>
  </si>
  <si>
    <t>z_i</t>
  </si>
  <si>
    <t>Phi(z_i)</t>
  </si>
  <si>
    <t>p_i</t>
  </si>
  <si>
    <t>(n_i-E_i)^2/(E_i)</t>
  </si>
  <si>
    <t>E_i=m.p_i</t>
  </si>
  <si>
    <t>Chi^2</t>
  </si>
  <si>
    <t>Ko can dung toi</t>
  </si>
  <si>
    <t>Chi^2 theo bang</t>
  </si>
  <si>
    <t>combined columns</t>
  </si>
  <si>
    <t>sorted combined columns (no duplicates)</t>
  </si>
  <si>
    <t>ECDF math</t>
  </si>
  <si>
    <t>ECDF reading</t>
  </si>
  <si>
    <t>D_i = |F_m(z_i)-G_n(z_i)|</t>
  </si>
  <si>
    <t>Max D_i</t>
  </si>
  <si>
    <t>rank score</t>
  </si>
  <si>
    <t>rank test</t>
  </si>
  <si>
    <t>d_i</t>
  </si>
  <si>
    <t>S_i</t>
  </si>
  <si>
    <t>spearman</t>
  </si>
  <si>
    <t>total S_i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</si>
</sst>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2" fontId="0" fillId="0" borderId="0" xfId="0" applyNumberFormat="1" applyFont="1" applyAlignment="1"/>
    <xf numFmtId="2" fontId="0" fillId="0" borderId="0" xfId="0" applyNumberFormat="1" applyFont="1" applyAlignment="1">
      <alignment horizontal="left" indent="1"/>
    </xf>
    <xf numFmtId="0" fontId="3" fillId="0" borderId="0" xfId="0" applyFont="1" applyAlignment="1"/>
    <xf numFmtId="0" fontId="2" fillId="0" borderId="0" xfId="0" applyFont="1" applyAlignment="1"/>
    <xf numFmtId="1" fontId="0" fillId="0" borderId="0" xfId="0" applyNumberFormat="1" applyFont="1" applyAlignment="1"/>
    <xf numFmtId="17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1"/>
  <sheetViews>
    <sheetView workbookViewId="0"/>
  </sheetViews>
  <sheetFormatPr defaultColWidth="12.6640625" defaultRowHeight="15.75" customHeight="1" x14ac:dyDescent="0.25"/>
  <cols>
    <col min="18" max="18" width="15.33203125" customWidth="1"/>
  </cols>
  <sheetData>
    <row r="1" spans="1:1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</v>
      </c>
      <c r="J1" t="s">
        <v>26</v>
      </c>
      <c r="K1" t="s">
        <v>27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36</v>
      </c>
      <c r="R1" s="1" t="s">
        <v>35</v>
      </c>
      <c r="S1" s="1" t="s">
        <v>37</v>
      </c>
    </row>
    <row r="2" spans="1:19" ht="13.2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67</v>
      </c>
      <c r="G2" s="1">
        <v>91</v>
      </c>
      <c r="H2" s="1">
        <v>84</v>
      </c>
      <c r="I2">
        <f>SUM(F2:H2)</f>
        <v>242</v>
      </c>
      <c r="J2">
        <f>AVERAGE(I2:I501)</f>
        <v>201.78</v>
      </c>
      <c r="K2">
        <f>_xlfn.STDEV.S(I2:I501)</f>
        <v>44.555785663279984</v>
      </c>
      <c r="L2">
        <v>1</v>
      </c>
      <c r="M2">
        <f>COUNTIFS($I$2:$I$501, "&gt;77", $I$2:$I$501, "&lt;=105")</f>
        <v>7</v>
      </c>
      <c r="N2" s="2">
        <f>(105 - $J$2)/$K$2</f>
        <v>-2.1721084828666788</v>
      </c>
      <c r="O2">
        <f>_xlfn.NORM.S.DIST(N2,TRUE)</f>
        <v>1.492374064472423E-2</v>
      </c>
      <c r="P2" s="2">
        <f>_xlfn.NORM.S.DIST(N2, TRUE) - _xlfn.NORM.S.DIST((77 - $J$2)/$K$2, TRUE)</f>
        <v>1.2372835311197069E-2</v>
      </c>
      <c r="Q2" s="2">
        <f>500*P2</f>
        <v>6.1864176555985342</v>
      </c>
      <c r="R2" s="2">
        <f t="shared" ref="R2:R9" si="0">POWER(M2 -Q2, 2) / Q2</f>
        <v>0.10699507662932678</v>
      </c>
      <c r="S2" s="3">
        <f>SUM(R2:R9)</f>
        <v>12.71895770218023</v>
      </c>
    </row>
    <row r="3" spans="1:19" ht="13.2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12</v>
      </c>
      <c r="F3" s="1">
        <v>63</v>
      </c>
      <c r="G3" s="1">
        <v>63</v>
      </c>
      <c r="H3" s="1">
        <v>67</v>
      </c>
      <c r="I3">
        <f t="shared" ref="I3:I66" si="1">SUM(F3:H3)</f>
        <v>193</v>
      </c>
      <c r="L3">
        <v>2</v>
      </c>
      <c r="M3">
        <f>COUNTIFS($I$2:$I$501, "&gt;105", $I$2:$I$501, "&lt;=133")</f>
        <v>18</v>
      </c>
      <c r="N3" s="2">
        <f>(133 - $J$2)/$K$2</f>
        <v>-1.5436828006981831</v>
      </c>
      <c r="O3">
        <f t="shared" ref="O3:O9" si="2">_xlfn.NORM.S.DIST(N3,TRUE)</f>
        <v>6.1332597472017344E-2</v>
      </c>
      <c r="P3" s="2">
        <f t="shared" ref="P3:P9" si="3">_xlfn.NORM.S.DIST(N3, TRUE) - _xlfn.NORM.S.DIST(N2, TRUE)</f>
        <v>4.6408856827293114E-2</v>
      </c>
      <c r="Q3" s="2">
        <f>500*P3</f>
        <v>23.204428413646557</v>
      </c>
      <c r="R3" s="2">
        <f t="shared" si="0"/>
        <v>1.1672804272499235</v>
      </c>
    </row>
    <row r="4" spans="1:19" ht="13.2" x14ac:dyDescent="0.25">
      <c r="A4" s="1" t="s">
        <v>8</v>
      </c>
      <c r="B4" s="1" t="s">
        <v>15</v>
      </c>
      <c r="C4" s="1" t="s">
        <v>16</v>
      </c>
      <c r="D4" s="1" t="s">
        <v>11</v>
      </c>
      <c r="E4" s="1" t="s">
        <v>17</v>
      </c>
      <c r="F4" s="1">
        <v>73</v>
      </c>
      <c r="G4" s="1">
        <v>83</v>
      </c>
      <c r="H4" s="1">
        <v>85</v>
      </c>
      <c r="I4">
        <f t="shared" si="1"/>
        <v>241</v>
      </c>
      <c r="L4">
        <v>3</v>
      </c>
      <c r="M4">
        <f>COUNTIFS($I$2:$I$501, "&gt;133", $I$2:$I$501, "&lt;=161")</f>
        <v>77</v>
      </c>
      <c r="N4" s="2">
        <f>(161 - $J$2)/$K$2</f>
        <v>-0.9152571185296875</v>
      </c>
      <c r="O4">
        <f t="shared" si="2"/>
        <v>0.18002833254964751</v>
      </c>
      <c r="P4" s="2">
        <f t="shared" si="3"/>
        <v>0.11869573507763016</v>
      </c>
      <c r="Q4" s="2">
        <f t="shared" ref="Q4:Q9" si="4">500*P4</f>
        <v>59.34786753881508</v>
      </c>
      <c r="R4" s="2">
        <f t="shared" si="0"/>
        <v>5.2503618638601486</v>
      </c>
    </row>
    <row r="5" spans="1:19" ht="13.2" x14ac:dyDescent="0.25">
      <c r="A5" s="1" t="s">
        <v>8</v>
      </c>
      <c r="B5" s="1" t="s">
        <v>18</v>
      </c>
      <c r="C5" s="1" t="s">
        <v>16</v>
      </c>
      <c r="D5" s="1" t="s">
        <v>11</v>
      </c>
      <c r="E5" s="1" t="s">
        <v>12</v>
      </c>
      <c r="F5" s="1">
        <v>85</v>
      </c>
      <c r="G5" s="1">
        <v>98</v>
      </c>
      <c r="H5" s="1">
        <v>95</v>
      </c>
      <c r="I5">
        <f t="shared" si="1"/>
        <v>278</v>
      </c>
      <c r="J5" t="s">
        <v>28</v>
      </c>
      <c r="K5" t="s">
        <v>29</v>
      </c>
      <c r="L5">
        <v>4</v>
      </c>
      <c r="M5">
        <f>COUNTIFS($I$2:$I$501, "&gt;161", $I$2:$I$501, "&lt;=189")</f>
        <v>97</v>
      </c>
      <c r="N5" s="2">
        <f>(189 - $J$2)/$K$2</f>
        <v>-0.28683143636119196</v>
      </c>
      <c r="O5">
        <f t="shared" si="2"/>
        <v>0.38712069555554079</v>
      </c>
      <c r="P5" s="2">
        <f t="shared" si="3"/>
        <v>0.20709236300589329</v>
      </c>
      <c r="Q5" s="2">
        <f t="shared" si="4"/>
        <v>103.54618150294664</v>
      </c>
      <c r="R5" s="2">
        <f t="shared" si="0"/>
        <v>0.41384908306156359</v>
      </c>
    </row>
    <row r="6" spans="1:19" ht="13.2" x14ac:dyDescent="0.25">
      <c r="A6" s="1" t="s">
        <v>19</v>
      </c>
      <c r="B6" s="1" t="s">
        <v>9</v>
      </c>
      <c r="C6" s="1" t="s">
        <v>20</v>
      </c>
      <c r="D6" s="1" t="s">
        <v>11</v>
      </c>
      <c r="E6" s="1" t="s">
        <v>12</v>
      </c>
      <c r="F6" s="1">
        <v>75</v>
      </c>
      <c r="G6" s="1">
        <v>57</v>
      </c>
      <c r="H6" s="1">
        <v>63</v>
      </c>
      <c r="I6">
        <f t="shared" si="1"/>
        <v>195</v>
      </c>
      <c r="J6">
        <f>MIN(I2:I501)</f>
        <v>78</v>
      </c>
      <c r="K6">
        <f>MAX(I2:I501)</f>
        <v>300</v>
      </c>
      <c r="L6">
        <v>5</v>
      </c>
      <c r="M6">
        <f>COUNTIFS($I$2:$I$501, "&gt;189", $I$2:$I$501, "&lt;=217")</f>
        <v>114</v>
      </c>
      <c r="N6" s="2">
        <f>(217 - $J$2)/$K$2</f>
        <v>0.34159424580730363</v>
      </c>
      <c r="O6">
        <f t="shared" si="2"/>
        <v>0.6336718659103584</v>
      </c>
      <c r="P6" s="2">
        <f t="shared" si="3"/>
        <v>0.24655117035481761</v>
      </c>
      <c r="Q6" s="2">
        <f t="shared" si="4"/>
        <v>123.2755851774088</v>
      </c>
      <c r="R6" s="2">
        <f t="shared" si="0"/>
        <v>0.69791987001764144</v>
      </c>
    </row>
    <row r="7" spans="1:19" ht="13.2" x14ac:dyDescent="0.25">
      <c r="A7" s="1" t="s">
        <v>8</v>
      </c>
      <c r="B7" s="1" t="s">
        <v>21</v>
      </c>
      <c r="C7" s="1" t="s">
        <v>14</v>
      </c>
      <c r="D7" s="1" t="s">
        <v>11</v>
      </c>
      <c r="E7" s="1" t="s">
        <v>12</v>
      </c>
      <c r="F7" s="1">
        <v>85</v>
      </c>
      <c r="G7" s="1">
        <v>78</v>
      </c>
      <c r="H7" s="1">
        <v>74</v>
      </c>
      <c r="I7">
        <f t="shared" si="1"/>
        <v>237</v>
      </c>
      <c r="L7">
        <v>6</v>
      </c>
      <c r="M7">
        <f>COUNTIFS($I$2:$I$501, "&gt;217", $I$2:$I$501, "&lt;=245")</f>
        <v>97</v>
      </c>
      <c r="N7" s="2">
        <f>(245 - $J$2)/$K$2</f>
        <v>0.97001992797579928</v>
      </c>
      <c r="O7">
        <f t="shared" si="2"/>
        <v>0.83398172049109498</v>
      </c>
      <c r="P7" s="2">
        <f t="shared" si="3"/>
        <v>0.20030985458073658</v>
      </c>
      <c r="Q7" s="2">
        <f t="shared" si="4"/>
        <v>100.15492729036829</v>
      </c>
      <c r="R7" s="2">
        <f t="shared" si="0"/>
        <v>9.9381692711466102E-2</v>
      </c>
    </row>
    <row r="8" spans="1:19" ht="13.2" x14ac:dyDescent="0.25">
      <c r="A8" s="1" t="s">
        <v>19</v>
      </c>
      <c r="B8" s="1" t="s">
        <v>15</v>
      </c>
      <c r="C8" s="1" t="s">
        <v>22</v>
      </c>
      <c r="D8" s="1" t="s">
        <v>23</v>
      </c>
      <c r="E8" s="1" t="s">
        <v>17</v>
      </c>
      <c r="F8" s="1">
        <v>40</v>
      </c>
      <c r="G8" s="1">
        <v>34</v>
      </c>
      <c r="H8" s="1">
        <v>30</v>
      </c>
      <c r="I8">
        <f t="shared" si="1"/>
        <v>104</v>
      </c>
      <c r="L8">
        <v>7</v>
      </c>
      <c r="M8">
        <f>COUNTIFS($I$2:$I$501, "&gt;245", $I$2:$I$501, "&lt;=273")</f>
        <v>59</v>
      </c>
      <c r="N8" s="2">
        <f>(273 - $J$2)/$K$2</f>
        <v>1.5984456101442948</v>
      </c>
      <c r="O8">
        <f t="shared" si="2"/>
        <v>0.94502807957280766</v>
      </c>
      <c r="P8" s="2">
        <f t="shared" si="3"/>
        <v>0.11104635908171268</v>
      </c>
      <c r="Q8" s="2">
        <f t="shared" si="4"/>
        <v>55.52317954085634</v>
      </c>
      <c r="R8" s="2">
        <f t="shared" si="0"/>
        <v>0.21771592702512391</v>
      </c>
    </row>
    <row r="9" spans="1:19" ht="13.2" x14ac:dyDescent="0.25">
      <c r="A9" s="1" t="s">
        <v>8</v>
      </c>
      <c r="B9" s="1" t="s">
        <v>21</v>
      </c>
      <c r="C9" s="1" t="s">
        <v>22</v>
      </c>
      <c r="D9" s="1" t="s">
        <v>11</v>
      </c>
      <c r="E9" s="1" t="s">
        <v>17</v>
      </c>
      <c r="F9" s="1">
        <v>57</v>
      </c>
      <c r="G9" s="1">
        <v>65</v>
      </c>
      <c r="H9" s="1">
        <v>68</v>
      </c>
      <c r="I9">
        <f t="shared" si="1"/>
        <v>190</v>
      </c>
      <c r="L9">
        <v>8</v>
      </c>
      <c r="M9">
        <f>COUNTIFS($I$2:$I$501, "&gt;273", $I$2:$I$501, "&lt;=301")</f>
        <v>31</v>
      </c>
      <c r="N9" s="2">
        <f>(301 - $J$2)/$K$2</f>
        <v>2.2268712923127905</v>
      </c>
      <c r="O9">
        <f t="shared" si="2"/>
        <v>0.98702206151712457</v>
      </c>
      <c r="P9" s="2">
        <f t="shared" si="3"/>
        <v>4.1993981944316916E-2</v>
      </c>
      <c r="Q9" s="2">
        <f t="shared" si="4"/>
        <v>20.996990972158457</v>
      </c>
      <c r="R9" s="2">
        <f t="shared" si="0"/>
        <v>4.7654537616250341</v>
      </c>
    </row>
    <row r="10" spans="1:19" ht="13.2" x14ac:dyDescent="0.25">
      <c r="A10" s="1" t="s">
        <v>19</v>
      </c>
      <c r="B10" s="1" t="s">
        <v>13</v>
      </c>
      <c r="C10" s="1" t="s">
        <v>22</v>
      </c>
      <c r="D10" s="1" t="s">
        <v>11</v>
      </c>
      <c r="E10" s="1" t="s">
        <v>12</v>
      </c>
      <c r="F10" s="1">
        <v>81</v>
      </c>
      <c r="G10" s="1">
        <v>85</v>
      </c>
      <c r="H10" s="1">
        <v>81</v>
      </c>
      <c r="I10">
        <f t="shared" si="1"/>
        <v>247</v>
      </c>
      <c r="O10" t="s">
        <v>38</v>
      </c>
    </row>
    <row r="11" spans="1:19" ht="13.2" x14ac:dyDescent="0.25">
      <c r="A11" s="1" t="s">
        <v>19</v>
      </c>
      <c r="B11" s="1" t="s">
        <v>21</v>
      </c>
      <c r="C11" s="1" t="s">
        <v>14</v>
      </c>
      <c r="D11" s="1" t="s">
        <v>23</v>
      </c>
      <c r="E11" s="1" t="s">
        <v>17</v>
      </c>
      <c r="F11" s="1">
        <v>95</v>
      </c>
      <c r="G11" s="1">
        <v>92</v>
      </c>
      <c r="H11" s="1">
        <v>92</v>
      </c>
      <c r="I11">
        <f t="shared" si="1"/>
        <v>279</v>
      </c>
    </row>
    <row r="12" spans="1:19" ht="13.2" x14ac:dyDescent="0.25">
      <c r="A12" s="1" t="s">
        <v>19</v>
      </c>
      <c r="B12" s="1" t="s">
        <v>9</v>
      </c>
      <c r="C12" s="1" t="s">
        <v>14</v>
      </c>
      <c r="D12" s="1" t="s">
        <v>11</v>
      </c>
      <c r="E12" s="1" t="s">
        <v>12</v>
      </c>
      <c r="F12" s="1">
        <v>73</v>
      </c>
      <c r="G12" s="1">
        <v>58</v>
      </c>
      <c r="H12" s="1">
        <v>61</v>
      </c>
      <c r="I12">
        <f t="shared" si="1"/>
        <v>192</v>
      </c>
      <c r="R12" t="s">
        <v>39</v>
      </c>
      <c r="S12">
        <f>_xlfn.CHISQ.INV.RT(0.05, 5)</f>
        <v>11.070497693516353</v>
      </c>
    </row>
    <row r="13" spans="1:19" ht="13.2" x14ac:dyDescent="0.25">
      <c r="A13" s="1" t="s">
        <v>8</v>
      </c>
      <c r="B13" s="1" t="s">
        <v>13</v>
      </c>
      <c r="C13" s="1" t="s">
        <v>20</v>
      </c>
      <c r="D13" s="1" t="s">
        <v>23</v>
      </c>
      <c r="E13" s="1" t="s">
        <v>12</v>
      </c>
      <c r="F13" s="1">
        <v>45</v>
      </c>
      <c r="G13" s="1">
        <v>62</v>
      </c>
      <c r="H13" s="1">
        <v>55</v>
      </c>
      <c r="I13">
        <f t="shared" si="1"/>
        <v>162</v>
      </c>
    </row>
    <row r="14" spans="1:19" ht="13.2" x14ac:dyDescent="0.25">
      <c r="A14" s="1" t="s">
        <v>19</v>
      </c>
      <c r="B14" s="1" t="s">
        <v>13</v>
      </c>
      <c r="C14" s="1" t="s">
        <v>16</v>
      </c>
      <c r="D14" s="1" t="s">
        <v>23</v>
      </c>
      <c r="E14" s="1" t="s">
        <v>17</v>
      </c>
      <c r="F14" s="1">
        <v>94</v>
      </c>
      <c r="G14" s="1">
        <v>87</v>
      </c>
      <c r="H14" s="1">
        <v>90</v>
      </c>
      <c r="I14">
        <f t="shared" si="1"/>
        <v>271</v>
      </c>
    </row>
    <row r="15" spans="1:19" ht="13.2" x14ac:dyDescent="0.25">
      <c r="A15" s="1" t="s">
        <v>8</v>
      </c>
      <c r="B15" s="1" t="s">
        <v>21</v>
      </c>
      <c r="C15" s="1" t="s">
        <v>10</v>
      </c>
      <c r="D15" s="1" t="s">
        <v>23</v>
      </c>
      <c r="E15" s="1" t="s">
        <v>17</v>
      </c>
      <c r="F15" s="1">
        <v>72</v>
      </c>
      <c r="G15" s="1">
        <v>77</v>
      </c>
      <c r="H15" s="1">
        <v>75</v>
      </c>
      <c r="I15">
        <f t="shared" si="1"/>
        <v>224</v>
      </c>
    </row>
    <row r="16" spans="1:19" ht="13.2" x14ac:dyDescent="0.25">
      <c r="A16" s="1" t="s">
        <v>8</v>
      </c>
      <c r="B16" s="1" t="s">
        <v>13</v>
      </c>
      <c r="C16" s="1" t="s">
        <v>14</v>
      </c>
      <c r="D16" s="1" t="s">
        <v>11</v>
      </c>
      <c r="E16" s="1" t="s">
        <v>12</v>
      </c>
      <c r="F16" s="1">
        <v>52</v>
      </c>
      <c r="G16" s="1">
        <v>54</v>
      </c>
      <c r="H16" s="1">
        <v>54</v>
      </c>
      <c r="I16">
        <f t="shared" si="1"/>
        <v>160</v>
      </c>
    </row>
    <row r="17" spans="1:9" ht="13.2" x14ac:dyDescent="0.25">
      <c r="A17" s="1" t="s">
        <v>19</v>
      </c>
      <c r="B17" s="1" t="s">
        <v>21</v>
      </c>
      <c r="C17" s="1" t="s">
        <v>20</v>
      </c>
      <c r="D17" s="1" t="s">
        <v>23</v>
      </c>
      <c r="E17" s="1" t="s">
        <v>17</v>
      </c>
      <c r="F17" s="1">
        <v>98</v>
      </c>
      <c r="G17" s="1">
        <v>92</v>
      </c>
      <c r="H17" s="1">
        <v>96</v>
      </c>
      <c r="I17">
        <f t="shared" si="1"/>
        <v>286</v>
      </c>
    </row>
    <row r="18" spans="1:9" ht="13.2" x14ac:dyDescent="0.25">
      <c r="A18" s="1" t="s">
        <v>19</v>
      </c>
      <c r="B18" s="1" t="s">
        <v>13</v>
      </c>
      <c r="C18" s="1" t="s">
        <v>10</v>
      </c>
      <c r="D18" s="1" t="s">
        <v>11</v>
      </c>
      <c r="E18" s="1" t="s">
        <v>12</v>
      </c>
      <c r="F18" s="1">
        <v>66</v>
      </c>
      <c r="G18" s="1">
        <v>56</v>
      </c>
      <c r="H18" s="1">
        <v>53</v>
      </c>
      <c r="I18">
        <f t="shared" si="1"/>
        <v>175</v>
      </c>
    </row>
    <row r="19" spans="1:9" ht="13.2" x14ac:dyDescent="0.25">
      <c r="A19" s="1" t="s">
        <v>8</v>
      </c>
      <c r="B19" s="1" t="s">
        <v>9</v>
      </c>
      <c r="C19" s="1" t="s">
        <v>14</v>
      </c>
      <c r="D19" s="1" t="s">
        <v>11</v>
      </c>
      <c r="E19" s="1" t="s">
        <v>17</v>
      </c>
      <c r="F19" s="1">
        <v>46</v>
      </c>
      <c r="G19" s="1">
        <v>53</v>
      </c>
      <c r="H19" s="1">
        <v>56</v>
      </c>
      <c r="I19">
        <f t="shared" si="1"/>
        <v>155</v>
      </c>
    </row>
    <row r="20" spans="1:9" ht="13.2" x14ac:dyDescent="0.25">
      <c r="A20" s="1" t="s">
        <v>19</v>
      </c>
      <c r="B20" s="1" t="s">
        <v>18</v>
      </c>
      <c r="C20" s="1" t="s">
        <v>16</v>
      </c>
      <c r="D20" s="1" t="s">
        <v>11</v>
      </c>
      <c r="E20" s="1" t="s">
        <v>12</v>
      </c>
      <c r="F20" s="1">
        <v>77</v>
      </c>
      <c r="G20" s="1">
        <v>73</v>
      </c>
      <c r="H20" s="1">
        <v>68</v>
      </c>
      <c r="I20">
        <f t="shared" si="1"/>
        <v>218</v>
      </c>
    </row>
    <row r="21" spans="1:9" ht="13.2" x14ac:dyDescent="0.25">
      <c r="A21" s="1" t="s">
        <v>19</v>
      </c>
      <c r="B21" s="1" t="s">
        <v>21</v>
      </c>
      <c r="C21" s="1" t="s">
        <v>10</v>
      </c>
      <c r="D21" s="1" t="s">
        <v>11</v>
      </c>
      <c r="E21" s="1" t="s">
        <v>12</v>
      </c>
      <c r="F21" s="1">
        <v>79</v>
      </c>
      <c r="G21" s="1">
        <v>64</v>
      </c>
      <c r="H21" s="1">
        <v>60</v>
      </c>
      <c r="I21">
        <f t="shared" si="1"/>
        <v>203</v>
      </c>
    </row>
    <row r="22" spans="1:9" ht="13.2" x14ac:dyDescent="0.25">
      <c r="A22" s="1" t="s">
        <v>19</v>
      </c>
      <c r="B22" s="1" t="s">
        <v>21</v>
      </c>
      <c r="C22" s="1" t="s">
        <v>16</v>
      </c>
      <c r="D22" s="1" t="s">
        <v>23</v>
      </c>
      <c r="E22" s="1" t="s">
        <v>12</v>
      </c>
      <c r="F22" s="1">
        <v>66</v>
      </c>
      <c r="G22" s="1">
        <v>58</v>
      </c>
      <c r="H22" s="1">
        <v>60</v>
      </c>
      <c r="I22">
        <f t="shared" si="1"/>
        <v>184</v>
      </c>
    </row>
    <row r="23" spans="1:9" ht="13.2" x14ac:dyDescent="0.25">
      <c r="A23" s="1" t="s">
        <v>8</v>
      </c>
      <c r="B23" s="1" t="s">
        <v>13</v>
      </c>
      <c r="C23" s="1" t="s">
        <v>10</v>
      </c>
      <c r="D23" s="1" t="s">
        <v>11</v>
      </c>
      <c r="E23" s="1" t="s">
        <v>12</v>
      </c>
      <c r="F23" s="1">
        <v>82</v>
      </c>
      <c r="G23" s="1">
        <v>88</v>
      </c>
      <c r="H23" s="1">
        <v>81</v>
      </c>
      <c r="I23">
        <f t="shared" si="1"/>
        <v>251</v>
      </c>
    </row>
    <row r="24" spans="1:9" ht="13.2" x14ac:dyDescent="0.25">
      <c r="A24" s="1" t="s">
        <v>8</v>
      </c>
      <c r="B24" s="1" t="s">
        <v>18</v>
      </c>
      <c r="C24" s="1" t="s">
        <v>10</v>
      </c>
      <c r="D24" s="1" t="s">
        <v>11</v>
      </c>
      <c r="E24" s="1" t="s">
        <v>12</v>
      </c>
      <c r="F24" s="1">
        <v>53</v>
      </c>
      <c r="G24" s="1">
        <v>56</v>
      </c>
      <c r="H24" s="1">
        <v>56</v>
      </c>
      <c r="I24">
        <f t="shared" si="1"/>
        <v>165</v>
      </c>
    </row>
    <row r="25" spans="1:9" ht="13.2" x14ac:dyDescent="0.25">
      <c r="A25" s="1" t="s">
        <v>8</v>
      </c>
      <c r="B25" s="1" t="s">
        <v>18</v>
      </c>
      <c r="C25" s="1" t="s">
        <v>16</v>
      </c>
      <c r="D25" s="1" t="s">
        <v>23</v>
      </c>
      <c r="E25" s="1" t="s">
        <v>12</v>
      </c>
      <c r="F25" s="1">
        <v>74</v>
      </c>
      <c r="G25" s="1">
        <v>82</v>
      </c>
      <c r="H25" s="1">
        <v>83</v>
      </c>
      <c r="I25">
        <f t="shared" si="1"/>
        <v>239</v>
      </c>
    </row>
    <row r="26" spans="1:9" ht="13.2" x14ac:dyDescent="0.25">
      <c r="A26" s="1" t="s">
        <v>8</v>
      </c>
      <c r="B26" s="1" t="s">
        <v>18</v>
      </c>
      <c r="C26" s="1" t="s">
        <v>20</v>
      </c>
      <c r="D26" s="1" t="s">
        <v>23</v>
      </c>
      <c r="E26" s="1" t="s">
        <v>17</v>
      </c>
      <c r="F26" s="1">
        <v>83</v>
      </c>
      <c r="G26" s="1">
        <v>97</v>
      </c>
      <c r="H26" s="1">
        <v>97</v>
      </c>
      <c r="I26">
        <f t="shared" si="1"/>
        <v>277</v>
      </c>
    </row>
    <row r="27" spans="1:9" ht="13.2" x14ac:dyDescent="0.25">
      <c r="A27" s="1" t="s">
        <v>8</v>
      </c>
      <c r="B27" s="1" t="s">
        <v>18</v>
      </c>
      <c r="C27" s="1" t="s">
        <v>22</v>
      </c>
      <c r="D27" s="1" t="s">
        <v>23</v>
      </c>
      <c r="E27" s="1" t="s">
        <v>17</v>
      </c>
      <c r="F27" s="1">
        <v>35</v>
      </c>
      <c r="G27" s="1">
        <v>49</v>
      </c>
      <c r="H27" s="1">
        <v>48</v>
      </c>
      <c r="I27">
        <f t="shared" si="1"/>
        <v>132</v>
      </c>
    </row>
    <row r="28" spans="1:9" ht="13.2" x14ac:dyDescent="0.25">
      <c r="A28" s="1" t="s">
        <v>19</v>
      </c>
      <c r="B28" s="1" t="s">
        <v>21</v>
      </c>
      <c r="C28" s="1" t="s">
        <v>14</v>
      </c>
      <c r="D28" s="1" t="s">
        <v>23</v>
      </c>
      <c r="E28" s="1" t="s">
        <v>12</v>
      </c>
      <c r="F28" s="1">
        <v>49</v>
      </c>
      <c r="G28" s="1">
        <v>55</v>
      </c>
      <c r="H28" s="1">
        <v>49</v>
      </c>
      <c r="I28">
        <f t="shared" si="1"/>
        <v>153</v>
      </c>
    </row>
    <row r="29" spans="1:9" ht="13.2" x14ac:dyDescent="0.25">
      <c r="A29" s="1" t="s">
        <v>8</v>
      </c>
      <c r="B29" s="1" t="s">
        <v>13</v>
      </c>
      <c r="C29" s="1" t="s">
        <v>14</v>
      </c>
      <c r="D29" s="1" t="s">
        <v>11</v>
      </c>
      <c r="E29" s="1" t="s">
        <v>17</v>
      </c>
      <c r="F29" s="1">
        <v>50</v>
      </c>
      <c r="G29" s="1">
        <v>56</v>
      </c>
      <c r="H29" s="1">
        <v>63</v>
      </c>
      <c r="I29">
        <f t="shared" si="1"/>
        <v>169</v>
      </c>
    </row>
    <row r="30" spans="1:9" ht="13.2" x14ac:dyDescent="0.25">
      <c r="A30" s="1" t="s">
        <v>8</v>
      </c>
      <c r="B30" s="1" t="s">
        <v>18</v>
      </c>
      <c r="C30" s="1" t="s">
        <v>16</v>
      </c>
      <c r="D30" s="1" t="s">
        <v>11</v>
      </c>
      <c r="E30" s="1" t="s">
        <v>12</v>
      </c>
      <c r="F30" s="1">
        <v>45</v>
      </c>
      <c r="G30" s="1">
        <v>54</v>
      </c>
      <c r="H30" s="1">
        <v>56</v>
      </c>
      <c r="I30">
        <f t="shared" si="1"/>
        <v>155</v>
      </c>
    </row>
    <row r="31" spans="1:9" ht="13.2" x14ac:dyDescent="0.25">
      <c r="A31" s="1" t="s">
        <v>19</v>
      </c>
      <c r="B31" s="1" t="s">
        <v>9</v>
      </c>
      <c r="C31" s="1" t="s">
        <v>16</v>
      </c>
      <c r="D31" s="1" t="s">
        <v>11</v>
      </c>
      <c r="E31" s="1" t="s">
        <v>17</v>
      </c>
      <c r="F31" s="1">
        <v>81</v>
      </c>
      <c r="G31" s="1">
        <v>74</v>
      </c>
      <c r="H31" s="1">
        <v>72</v>
      </c>
      <c r="I31">
        <f t="shared" si="1"/>
        <v>227</v>
      </c>
    </row>
    <row r="32" spans="1:9" ht="13.2" x14ac:dyDescent="0.25">
      <c r="A32" s="1" t="s">
        <v>19</v>
      </c>
      <c r="B32" s="1" t="s">
        <v>9</v>
      </c>
      <c r="C32" s="1" t="s">
        <v>16</v>
      </c>
      <c r="D32" s="1" t="s">
        <v>23</v>
      </c>
      <c r="E32" s="1" t="s">
        <v>12</v>
      </c>
      <c r="F32" s="1">
        <v>27</v>
      </c>
      <c r="G32" s="1">
        <v>37</v>
      </c>
      <c r="H32" s="1">
        <v>30</v>
      </c>
      <c r="I32">
        <f t="shared" si="1"/>
        <v>94</v>
      </c>
    </row>
    <row r="33" spans="1:9" ht="13.2" x14ac:dyDescent="0.25">
      <c r="A33" s="1" t="s">
        <v>8</v>
      </c>
      <c r="B33" s="1" t="s">
        <v>15</v>
      </c>
      <c r="C33" s="1" t="s">
        <v>22</v>
      </c>
      <c r="D33" s="1" t="s">
        <v>11</v>
      </c>
      <c r="E33" s="1" t="s">
        <v>12</v>
      </c>
      <c r="F33" s="1">
        <v>46</v>
      </c>
      <c r="G33" s="1">
        <v>57</v>
      </c>
      <c r="H33" s="1">
        <v>50</v>
      </c>
      <c r="I33">
        <f t="shared" si="1"/>
        <v>153</v>
      </c>
    </row>
    <row r="34" spans="1:9" ht="13.2" x14ac:dyDescent="0.25">
      <c r="A34" s="1" t="s">
        <v>8</v>
      </c>
      <c r="B34" s="1" t="s">
        <v>18</v>
      </c>
      <c r="C34" s="1" t="s">
        <v>16</v>
      </c>
      <c r="D34" s="1" t="s">
        <v>11</v>
      </c>
      <c r="E34" s="1" t="s">
        <v>12</v>
      </c>
      <c r="F34" s="1">
        <v>65</v>
      </c>
      <c r="G34" s="1">
        <v>68</v>
      </c>
      <c r="H34" s="1">
        <v>74</v>
      </c>
      <c r="I34">
        <f t="shared" si="1"/>
        <v>207</v>
      </c>
    </row>
    <row r="35" spans="1:9" ht="13.2" x14ac:dyDescent="0.25">
      <c r="A35" s="1" t="s">
        <v>19</v>
      </c>
      <c r="B35" s="1" t="s">
        <v>9</v>
      </c>
      <c r="C35" s="1" t="s">
        <v>16</v>
      </c>
      <c r="D35" s="1" t="s">
        <v>11</v>
      </c>
      <c r="E35" s="1" t="s">
        <v>17</v>
      </c>
      <c r="F35" s="1">
        <v>63</v>
      </c>
      <c r="G35" s="1">
        <v>66</v>
      </c>
      <c r="H35" s="1">
        <v>58</v>
      </c>
      <c r="I35">
        <f t="shared" si="1"/>
        <v>187</v>
      </c>
    </row>
    <row r="36" spans="1:9" ht="13.2" x14ac:dyDescent="0.25">
      <c r="A36" s="1" t="s">
        <v>8</v>
      </c>
      <c r="B36" s="1" t="s">
        <v>18</v>
      </c>
      <c r="C36" s="1" t="s">
        <v>14</v>
      </c>
      <c r="D36" s="1" t="s">
        <v>11</v>
      </c>
      <c r="E36" s="1" t="s">
        <v>17</v>
      </c>
      <c r="F36" s="1">
        <v>70</v>
      </c>
      <c r="G36" s="1">
        <v>87</v>
      </c>
      <c r="H36" s="1">
        <v>88</v>
      </c>
      <c r="I36">
        <f t="shared" si="1"/>
        <v>245</v>
      </c>
    </row>
    <row r="37" spans="1:9" ht="13.2" x14ac:dyDescent="0.25">
      <c r="A37" s="1" t="s">
        <v>8</v>
      </c>
      <c r="B37" s="1" t="s">
        <v>13</v>
      </c>
      <c r="C37" s="1" t="s">
        <v>14</v>
      </c>
      <c r="D37" s="1" t="s">
        <v>23</v>
      </c>
      <c r="E37" s="1" t="s">
        <v>12</v>
      </c>
      <c r="F37" s="1">
        <v>72</v>
      </c>
      <c r="G37" s="1">
        <v>91</v>
      </c>
      <c r="H37" s="1">
        <v>89</v>
      </c>
      <c r="I37">
        <f t="shared" si="1"/>
        <v>252</v>
      </c>
    </row>
    <row r="38" spans="1:9" ht="13.2" x14ac:dyDescent="0.25">
      <c r="A38" s="1" t="s">
        <v>8</v>
      </c>
      <c r="B38" s="1" t="s">
        <v>13</v>
      </c>
      <c r="C38" s="1" t="s">
        <v>16</v>
      </c>
      <c r="D38" s="1" t="s">
        <v>11</v>
      </c>
      <c r="E38" s="1" t="s">
        <v>12</v>
      </c>
      <c r="F38" s="1">
        <v>57</v>
      </c>
      <c r="G38" s="1">
        <v>68</v>
      </c>
      <c r="H38" s="1">
        <v>71</v>
      </c>
      <c r="I38">
        <f t="shared" si="1"/>
        <v>196</v>
      </c>
    </row>
    <row r="39" spans="1:9" ht="13.2" x14ac:dyDescent="0.25">
      <c r="A39" s="1" t="s">
        <v>19</v>
      </c>
      <c r="B39" s="1" t="s">
        <v>21</v>
      </c>
      <c r="C39" s="1" t="s">
        <v>10</v>
      </c>
      <c r="D39" s="1" t="s">
        <v>11</v>
      </c>
      <c r="E39" s="1" t="s">
        <v>12</v>
      </c>
      <c r="F39" s="1">
        <v>93</v>
      </c>
      <c r="G39" s="1">
        <v>85</v>
      </c>
      <c r="H39" s="1">
        <v>77</v>
      </c>
      <c r="I39">
        <f t="shared" si="1"/>
        <v>255</v>
      </c>
    </row>
    <row r="40" spans="1:9" ht="13.2" x14ac:dyDescent="0.25">
      <c r="A40" s="1" t="s">
        <v>19</v>
      </c>
      <c r="B40" s="1" t="s">
        <v>18</v>
      </c>
      <c r="C40" s="1" t="s">
        <v>16</v>
      </c>
      <c r="D40" s="1" t="s">
        <v>11</v>
      </c>
      <c r="E40" s="1" t="s">
        <v>17</v>
      </c>
      <c r="F40" s="1">
        <v>84</v>
      </c>
      <c r="G40" s="1">
        <v>73</v>
      </c>
      <c r="H40" s="1">
        <v>77</v>
      </c>
      <c r="I40">
        <f t="shared" si="1"/>
        <v>234</v>
      </c>
    </row>
    <row r="41" spans="1:9" ht="13.2" x14ac:dyDescent="0.25">
      <c r="A41" s="1" t="s">
        <v>8</v>
      </c>
      <c r="B41" s="1" t="s">
        <v>13</v>
      </c>
      <c r="C41" s="1" t="s">
        <v>10</v>
      </c>
      <c r="D41" s="1" t="s">
        <v>11</v>
      </c>
      <c r="E41" s="1" t="s">
        <v>12</v>
      </c>
      <c r="F41" s="1">
        <v>72</v>
      </c>
      <c r="G41" s="1">
        <v>86</v>
      </c>
      <c r="H41" s="1">
        <v>82</v>
      </c>
      <c r="I41">
        <f t="shared" si="1"/>
        <v>240</v>
      </c>
    </row>
    <row r="42" spans="1:9" ht="13.2" x14ac:dyDescent="0.25">
      <c r="A42" s="1" t="s">
        <v>19</v>
      </c>
      <c r="B42" s="1" t="s">
        <v>13</v>
      </c>
      <c r="C42" s="1" t="s">
        <v>14</v>
      </c>
      <c r="D42" s="1" t="s">
        <v>11</v>
      </c>
      <c r="E42" s="1" t="s">
        <v>12</v>
      </c>
      <c r="F42" s="1">
        <v>67</v>
      </c>
      <c r="G42" s="1">
        <v>59</v>
      </c>
      <c r="H42" s="1">
        <v>59</v>
      </c>
      <c r="I42">
        <f t="shared" si="1"/>
        <v>185</v>
      </c>
    </row>
    <row r="43" spans="1:9" ht="13.2" x14ac:dyDescent="0.25">
      <c r="A43" s="1" t="s">
        <v>19</v>
      </c>
      <c r="B43" s="1" t="s">
        <v>13</v>
      </c>
      <c r="C43" s="1" t="s">
        <v>24</v>
      </c>
      <c r="D43" s="1" t="s">
        <v>11</v>
      </c>
      <c r="E43" s="1" t="s">
        <v>12</v>
      </c>
      <c r="F43" s="1">
        <v>62</v>
      </c>
      <c r="G43" s="1">
        <v>57</v>
      </c>
      <c r="H43" s="1">
        <v>52</v>
      </c>
      <c r="I43">
        <f t="shared" si="1"/>
        <v>171</v>
      </c>
    </row>
    <row r="44" spans="1:9" ht="13.2" x14ac:dyDescent="0.25">
      <c r="A44" s="1" t="s">
        <v>8</v>
      </c>
      <c r="B44" s="1" t="s">
        <v>13</v>
      </c>
      <c r="C44" s="1" t="s">
        <v>16</v>
      </c>
      <c r="D44" s="1" t="s">
        <v>11</v>
      </c>
      <c r="E44" s="1" t="s">
        <v>12</v>
      </c>
      <c r="F44" s="1">
        <v>60</v>
      </c>
      <c r="G44" s="1">
        <v>59</v>
      </c>
      <c r="H44" s="1">
        <v>71</v>
      </c>
      <c r="I44">
        <f t="shared" si="1"/>
        <v>190</v>
      </c>
    </row>
    <row r="45" spans="1:9" ht="13.2" x14ac:dyDescent="0.25">
      <c r="A45" s="1" t="s">
        <v>19</v>
      </c>
      <c r="B45" s="1" t="s">
        <v>13</v>
      </c>
      <c r="C45" s="1" t="s">
        <v>10</v>
      </c>
      <c r="D45" s="1" t="s">
        <v>23</v>
      </c>
      <c r="E45" s="1" t="s">
        <v>17</v>
      </c>
      <c r="F45" s="1">
        <v>67</v>
      </c>
      <c r="G45" s="1">
        <v>75</v>
      </c>
      <c r="H45" s="1">
        <v>75</v>
      </c>
      <c r="I45">
        <f t="shared" si="1"/>
        <v>217</v>
      </c>
    </row>
    <row r="46" spans="1:9" ht="13.2" x14ac:dyDescent="0.25">
      <c r="A46" s="1" t="s">
        <v>19</v>
      </c>
      <c r="B46" s="1" t="s">
        <v>18</v>
      </c>
      <c r="C46" s="1" t="s">
        <v>14</v>
      </c>
      <c r="D46" s="1" t="s">
        <v>23</v>
      </c>
      <c r="E46" s="1" t="s">
        <v>12</v>
      </c>
      <c r="F46" s="1">
        <v>60</v>
      </c>
      <c r="G46" s="1">
        <v>57</v>
      </c>
      <c r="H46" s="1">
        <v>50</v>
      </c>
      <c r="I46">
        <f t="shared" si="1"/>
        <v>167</v>
      </c>
    </row>
    <row r="47" spans="1:9" ht="13.2" x14ac:dyDescent="0.25">
      <c r="A47" s="1" t="s">
        <v>8</v>
      </c>
      <c r="B47" s="1" t="s">
        <v>18</v>
      </c>
      <c r="C47" s="1" t="s">
        <v>14</v>
      </c>
      <c r="D47" s="1" t="s">
        <v>11</v>
      </c>
      <c r="E47" s="1" t="s">
        <v>17</v>
      </c>
      <c r="F47" s="1">
        <v>86</v>
      </c>
      <c r="G47" s="1">
        <v>100</v>
      </c>
      <c r="H47" s="1">
        <v>100</v>
      </c>
      <c r="I47">
        <f t="shared" si="1"/>
        <v>286</v>
      </c>
    </row>
    <row r="48" spans="1:9" ht="13.2" x14ac:dyDescent="0.25">
      <c r="A48" s="1" t="s">
        <v>19</v>
      </c>
      <c r="B48" s="1" t="s">
        <v>18</v>
      </c>
      <c r="C48" s="1" t="s">
        <v>16</v>
      </c>
      <c r="D48" s="1" t="s">
        <v>11</v>
      </c>
      <c r="E48" s="1" t="s">
        <v>17</v>
      </c>
      <c r="F48" s="1">
        <v>66</v>
      </c>
      <c r="G48" s="1">
        <v>68</v>
      </c>
      <c r="H48" s="1">
        <v>69</v>
      </c>
      <c r="I48">
        <f t="shared" si="1"/>
        <v>203</v>
      </c>
    </row>
    <row r="49" spans="1:9" ht="13.2" x14ac:dyDescent="0.25">
      <c r="A49" s="1" t="s">
        <v>8</v>
      </c>
      <c r="B49" s="1" t="s">
        <v>21</v>
      </c>
      <c r="C49" s="1" t="s">
        <v>14</v>
      </c>
      <c r="D49" s="1" t="s">
        <v>23</v>
      </c>
      <c r="E49" s="1" t="s">
        <v>12</v>
      </c>
      <c r="F49" s="1">
        <v>68</v>
      </c>
      <c r="G49" s="1">
        <v>65</v>
      </c>
      <c r="H49" s="1">
        <v>66</v>
      </c>
      <c r="I49">
        <f t="shared" si="1"/>
        <v>199</v>
      </c>
    </row>
    <row r="50" spans="1:9" ht="13.2" x14ac:dyDescent="0.25">
      <c r="A50" s="1" t="s">
        <v>19</v>
      </c>
      <c r="B50" s="1" t="s">
        <v>21</v>
      </c>
      <c r="C50" s="1" t="s">
        <v>16</v>
      </c>
      <c r="D50" s="1" t="s">
        <v>11</v>
      </c>
      <c r="E50" s="1" t="s">
        <v>12</v>
      </c>
      <c r="F50" s="1">
        <v>94</v>
      </c>
      <c r="G50" s="1">
        <v>90</v>
      </c>
      <c r="H50" s="1">
        <v>89</v>
      </c>
      <c r="I50">
        <f t="shared" si="1"/>
        <v>273</v>
      </c>
    </row>
    <row r="51" spans="1:9" ht="13.2" x14ac:dyDescent="0.25">
      <c r="A51" s="1" t="s">
        <v>8</v>
      </c>
      <c r="B51" s="1" t="s">
        <v>21</v>
      </c>
      <c r="C51" s="1" t="s">
        <v>10</v>
      </c>
      <c r="D51" s="1" t="s">
        <v>23</v>
      </c>
      <c r="E51" s="1" t="s">
        <v>17</v>
      </c>
      <c r="F51" s="1">
        <v>63</v>
      </c>
      <c r="G51" s="1">
        <v>69</v>
      </c>
      <c r="H51" s="1">
        <v>68</v>
      </c>
      <c r="I51">
        <f t="shared" si="1"/>
        <v>200</v>
      </c>
    </row>
    <row r="52" spans="1:9" ht="13.2" x14ac:dyDescent="0.25">
      <c r="A52" s="1" t="s">
        <v>8</v>
      </c>
      <c r="B52" s="1" t="s">
        <v>18</v>
      </c>
      <c r="C52" s="1" t="s">
        <v>16</v>
      </c>
      <c r="D52" s="1" t="s">
        <v>11</v>
      </c>
      <c r="E52" s="1" t="s">
        <v>17</v>
      </c>
      <c r="F52" s="1">
        <v>76</v>
      </c>
      <c r="G52" s="1">
        <v>78</v>
      </c>
      <c r="H52" s="1">
        <v>82</v>
      </c>
      <c r="I52">
        <f t="shared" si="1"/>
        <v>236</v>
      </c>
    </row>
    <row r="53" spans="1:9" ht="13.2" x14ac:dyDescent="0.25">
      <c r="A53" s="1" t="s">
        <v>19</v>
      </c>
      <c r="B53" s="1" t="s">
        <v>21</v>
      </c>
      <c r="C53" s="1" t="s">
        <v>10</v>
      </c>
      <c r="D53" s="1" t="s">
        <v>11</v>
      </c>
      <c r="E53" s="1" t="s">
        <v>17</v>
      </c>
      <c r="F53" s="1">
        <v>81</v>
      </c>
      <c r="G53" s="1">
        <v>63</v>
      </c>
      <c r="H53" s="1">
        <v>62</v>
      </c>
      <c r="I53">
        <f t="shared" si="1"/>
        <v>206</v>
      </c>
    </row>
    <row r="54" spans="1:9" ht="13.2" x14ac:dyDescent="0.25">
      <c r="A54" s="1" t="s">
        <v>19</v>
      </c>
      <c r="B54" s="1" t="s">
        <v>18</v>
      </c>
      <c r="C54" s="1" t="s">
        <v>10</v>
      </c>
      <c r="D54" s="1" t="s">
        <v>11</v>
      </c>
      <c r="E54" s="1" t="s">
        <v>12</v>
      </c>
      <c r="F54" s="1">
        <v>72</v>
      </c>
      <c r="G54" s="1">
        <v>64</v>
      </c>
      <c r="H54" s="1">
        <v>61</v>
      </c>
      <c r="I54">
        <f t="shared" si="1"/>
        <v>197</v>
      </c>
    </row>
    <row r="55" spans="1:9" ht="13.2" x14ac:dyDescent="0.25">
      <c r="A55" s="1" t="s">
        <v>19</v>
      </c>
      <c r="B55" s="1" t="s">
        <v>13</v>
      </c>
      <c r="C55" s="1" t="s">
        <v>16</v>
      </c>
      <c r="D55" s="1" t="s">
        <v>11</v>
      </c>
      <c r="E55" s="1" t="s">
        <v>12</v>
      </c>
      <c r="F55" s="1">
        <v>62</v>
      </c>
      <c r="G55" s="1">
        <v>65</v>
      </c>
      <c r="H55" s="1">
        <v>60</v>
      </c>
      <c r="I55">
        <f t="shared" si="1"/>
        <v>187</v>
      </c>
    </row>
    <row r="56" spans="1:9" ht="13.2" x14ac:dyDescent="0.25">
      <c r="A56" s="1" t="s">
        <v>19</v>
      </c>
      <c r="B56" s="1" t="s">
        <v>9</v>
      </c>
      <c r="C56" s="1" t="s">
        <v>16</v>
      </c>
      <c r="D56" s="1" t="s">
        <v>23</v>
      </c>
      <c r="E56" s="1" t="s">
        <v>12</v>
      </c>
      <c r="F56" s="1">
        <v>45</v>
      </c>
      <c r="G56" s="1">
        <v>40</v>
      </c>
      <c r="H56" s="1">
        <v>43</v>
      </c>
      <c r="I56">
        <f t="shared" si="1"/>
        <v>128</v>
      </c>
    </row>
    <row r="57" spans="1:9" ht="13.2" x14ac:dyDescent="0.25">
      <c r="A57" s="1" t="s">
        <v>19</v>
      </c>
      <c r="B57" s="1" t="s">
        <v>13</v>
      </c>
      <c r="C57" s="1" t="s">
        <v>22</v>
      </c>
      <c r="D57" s="1" t="s">
        <v>23</v>
      </c>
      <c r="E57" s="1" t="s">
        <v>12</v>
      </c>
      <c r="F57" s="1">
        <v>44</v>
      </c>
      <c r="G57" s="1">
        <v>48</v>
      </c>
      <c r="H57" s="1">
        <v>42</v>
      </c>
      <c r="I57">
        <f t="shared" si="1"/>
        <v>134</v>
      </c>
    </row>
    <row r="58" spans="1:9" ht="13.2" x14ac:dyDescent="0.25">
      <c r="A58" s="1" t="s">
        <v>8</v>
      </c>
      <c r="B58" s="1" t="s">
        <v>13</v>
      </c>
      <c r="C58" s="1" t="s">
        <v>10</v>
      </c>
      <c r="D58" s="1" t="s">
        <v>11</v>
      </c>
      <c r="E58" s="1" t="s">
        <v>12</v>
      </c>
      <c r="F58" s="1">
        <v>50</v>
      </c>
      <c r="G58" s="1">
        <v>50</v>
      </c>
      <c r="H58" s="1">
        <v>59</v>
      </c>
      <c r="I58">
        <f t="shared" si="1"/>
        <v>159</v>
      </c>
    </row>
    <row r="59" spans="1:9" ht="13.2" x14ac:dyDescent="0.25">
      <c r="A59" s="1" t="s">
        <v>19</v>
      </c>
      <c r="B59" s="1" t="s">
        <v>13</v>
      </c>
      <c r="C59" s="1" t="s">
        <v>10</v>
      </c>
      <c r="D59" s="1" t="s">
        <v>23</v>
      </c>
      <c r="E59" s="1" t="s">
        <v>12</v>
      </c>
      <c r="F59" s="1">
        <v>73</v>
      </c>
      <c r="G59" s="1">
        <v>65</v>
      </c>
      <c r="H59" s="1">
        <v>63</v>
      </c>
      <c r="I59">
        <f t="shared" si="1"/>
        <v>201</v>
      </c>
    </row>
    <row r="60" spans="1:9" ht="13.2" x14ac:dyDescent="0.25">
      <c r="A60" s="1" t="s">
        <v>19</v>
      </c>
      <c r="B60" s="1" t="s">
        <v>18</v>
      </c>
      <c r="C60" s="1" t="s">
        <v>10</v>
      </c>
      <c r="D60" s="1" t="s">
        <v>23</v>
      </c>
      <c r="E60" s="1" t="s">
        <v>17</v>
      </c>
      <c r="F60" s="1">
        <v>84</v>
      </c>
      <c r="G60" s="1">
        <v>79</v>
      </c>
      <c r="H60" s="1">
        <v>81</v>
      </c>
      <c r="I60">
        <f t="shared" si="1"/>
        <v>244</v>
      </c>
    </row>
    <row r="61" spans="1:9" ht="13.2" x14ac:dyDescent="0.25">
      <c r="A61" s="1" t="s">
        <v>8</v>
      </c>
      <c r="B61" s="1" t="s">
        <v>21</v>
      </c>
      <c r="C61" s="1" t="s">
        <v>10</v>
      </c>
      <c r="D61" s="1" t="s">
        <v>23</v>
      </c>
      <c r="E61" s="1" t="s">
        <v>12</v>
      </c>
      <c r="F61" s="1">
        <v>60</v>
      </c>
      <c r="G61" s="1">
        <v>80</v>
      </c>
      <c r="H61" s="1">
        <v>69</v>
      </c>
      <c r="I61">
        <f t="shared" si="1"/>
        <v>209</v>
      </c>
    </row>
    <row r="62" spans="1:9" ht="13.2" x14ac:dyDescent="0.25">
      <c r="A62" s="1" t="s">
        <v>8</v>
      </c>
      <c r="B62" s="1" t="s">
        <v>21</v>
      </c>
      <c r="C62" s="1" t="s">
        <v>16</v>
      </c>
      <c r="D62" s="1" t="s">
        <v>23</v>
      </c>
      <c r="E62" s="1" t="s">
        <v>17</v>
      </c>
      <c r="F62" s="1">
        <v>95</v>
      </c>
      <c r="G62" s="1">
        <v>96</v>
      </c>
      <c r="H62" s="1">
        <v>100</v>
      </c>
      <c r="I62">
        <f t="shared" si="1"/>
        <v>291</v>
      </c>
    </row>
    <row r="63" spans="1:9" ht="13.2" x14ac:dyDescent="0.25">
      <c r="A63" s="1" t="s">
        <v>19</v>
      </c>
      <c r="B63" s="1" t="s">
        <v>9</v>
      </c>
      <c r="C63" s="1" t="s">
        <v>10</v>
      </c>
      <c r="D63" s="1" t="s">
        <v>11</v>
      </c>
      <c r="E63" s="1" t="s">
        <v>17</v>
      </c>
      <c r="F63" s="1">
        <v>71</v>
      </c>
      <c r="G63" s="1">
        <v>73</v>
      </c>
      <c r="H63" s="1">
        <v>69</v>
      </c>
      <c r="I63">
        <f t="shared" si="1"/>
        <v>213</v>
      </c>
    </row>
    <row r="64" spans="1:9" ht="13.2" x14ac:dyDescent="0.25">
      <c r="A64" s="1" t="s">
        <v>8</v>
      </c>
      <c r="B64" s="1" t="s">
        <v>18</v>
      </c>
      <c r="C64" s="1" t="s">
        <v>10</v>
      </c>
      <c r="D64" s="1" t="s">
        <v>11</v>
      </c>
      <c r="E64" s="1" t="s">
        <v>12</v>
      </c>
      <c r="F64" s="1">
        <v>56</v>
      </c>
      <c r="G64" s="1">
        <v>72</v>
      </c>
      <c r="H64" s="1">
        <v>68</v>
      </c>
      <c r="I64">
        <f t="shared" si="1"/>
        <v>196</v>
      </c>
    </row>
    <row r="65" spans="1:9" ht="13.2" x14ac:dyDescent="0.25">
      <c r="A65" s="1" t="s">
        <v>8</v>
      </c>
      <c r="B65" s="1" t="s">
        <v>15</v>
      </c>
      <c r="C65" s="1" t="s">
        <v>14</v>
      </c>
      <c r="D65" s="1" t="s">
        <v>23</v>
      </c>
      <c r="E65" s="1" t="s">
        <v>12</v>
      </c>
      <c r="F65" s="1">
        <v>61</v>
      </c>
      <c r="G65" s="1">
        <v>62</v>
      </c>
      <c r="H65" s="1">
        <v>68</v>
      </c>
      <c r="I65">
        <f t="shared" si="1"/>
        <v>191</v>
      </c>
    </row>
    <row r="66" spans="1:9" ht="13.2" x14ac:dyDescent="0.25">
      <c r="A66" s="1" t="s">
        <v>19</v>
      </c>
      <c r="B66" s="1" t="s">
        <v>21</v>
      </c>
      <c r="C66" s="1" t="s">
        <v>16</v>
      </c>
      <c r="D66" s="1" t="s">
        <v>11</v>
      </c>
      <c r="E66" s="1" t="s">
        <v>12</v>
      </c>
      <c r="F66" s="1">
        <v>100</v>
      </c>
      <c r="G66" s="1">
        <v>95</v>
      </c>
      <c r="H66" s="1">
        <v>94</v>
      </c>
      <c r="I66">
        <f t="shared" si="1"/>
        <v>289</v>
      </c>
    </row>
    <row r="67" spans="1:9" ht="13.2" x14ac:dyDescent="0.25">
      <c r="A67" s="1" t="s">
        <v>19</v>
      </c>
      <c r="B67" s="1" t="s">
        <v>21</v>
      </c>
      <c r="C67" s="1" t="s">
        <v>16</v>
      </c>
      <c r="D67" s="1" t="s">
        <v>11</v>
      </c>
      <c r="E67" s="1" t="s">
        <v>17</v>
      </c>
      <c r="F67" s="1">
        <v>100</v>
      </c>
      <c r="G67" s="1">
        <v>92</v>
      </c>
      <c r="H67" s="1">
        <v>94</v>
      </c>
      <c r="I67">
        <f t="shared" ref="I67:I130" si="5">SUM(F67:H67)</f>
        <v>286</v>
      </c>
    </row>
    <row r="68" spans="1:9" ht="13.2" x14ac:dyDescent="0.25">
      <c r="A68" s="1" t="s">
        <v>19</v>
      </c>
      <c r="B68" s="1" t="s">
        <v>13</v>
      </c>
      <c r="C68" s="1" t="s">
        <v>10</v>
      </c>
      <c r="D68" s="1" t="s">
        <v>23</v>
      </c>
      <c r="E68" s="1" t="s">
        <v>12</v>
      </c>
      <c r="F68" s="1">
        <v>60</v>
      </c>
      <c r="G68" s="1">
        <v>64</v>
      </c>
      <c r="H68" s="1">
        <v>63</v>
      </c>
      <c r="I68">
        <f t="shared" si="5"/>
        <v>187</v>
      </c>
    </row>
    <row r="69" spans="1:9" ht="13.2" x14ac:dyDescent="0.25">
      <c r="A69" s="1" t="s">
        <v>19</v>
      </c>
      <c r="B69" s="1" t="s">
        <v>13</v>
      </c>
      <c r="C69" s="1" t="s">
        <v>24</v>
      </c>
      <c r="D69" s="1" t="s">
        <v>11</v>
      </c>
      <c r="E69" s="1" t="s">
        <v>17</v>
      </c>
      <c r="F69" s="1">
        <v>67</v>
      </c>
      <c r="G69" s="1">
        <v>67</v>
      </c>
      <c r="H69" s="1">
        <v>65</v>
      </c>
      <c r="I69">
        <f t="shared" si="5"/>
        <v>199</v>
      </c>
    </row>
    <row r="70" spans="1:9" ht="13.2" x14ac:dyDescent="0.25">
      <c r="A70" s="1" t="s">
        <v>19</v>
      </c>
      <c r="B70" s="1" t="s">
        <v>18</v>
      </c>
      <c r="C70" s="1" t="s">
        <v>16</v>
      </c>
      <c r="D70" s="1" t="s">
        <v>11</v>
      </c>
      <c r="E70" s="1" t="s">
        <v>17</v>
      </c>
      <c r="F70" s="1">
        <v>80</v>
      </c>
      <c r="G70" s="1">
        <v>76</v>
      </c>
      <c r="H70" s="1">
        <v>76</v>
      </c>
      <c r="I70">
        <f t="shared" si="5"/>
        <v>232</v>
      </c>
    </row>
    <row r="71" spans="1:9" ht="13.2" x14ac:dyDescent="0.25">
      <c r="A71" s="1" t="s">
        <v>8</v>
      </c>
      <c r="B71" s="1" t="s">
        <v>9</v>
      </c>
      <c r="C71" s="1" t="s">
        <v>10</v>
      </c>
      <c r="D71" s="1" t="s">
        <v>11</v>
      </c>
      <c r="E71" s="1" t="s">
        <v>17</v>
      </c>
      <c r="F71" s="1">
        <v>77</v>
      </c>
      <c r="G71" s="1">
        <v>87</v>
      </c>
      <c r="H71" s="1">
        <v>91</v>
      </c>
      <c r="I71">
        <f t="shared" si="5"/>
        <v>255</v>
      </c>
    </row>
    <row r="72" spans="1:9" ht="13.2" x14ac:dyDescent="0.25">
      <c r="A72" s="1" t="s">
        <v>19</v>
      </c>
      <c r="B72" s="1" t="s">
        <v>18</v>
      </c>
      <c r="C72" s="1" t="s">
        <v>14</v>
      </c>
      <c r="D72" s="1" t="s">
        <v>11</v>
      </c>
      <c r="E72" s="1" t="s">
        <v>12</v>
      </c>
      <c r="F72" s="1">
        <v>70</v>
      </c>
      <c r="G72" s="1">
        <v>65</v>
      </c>
      <c r="H72" s="1">
        <v>64</v>
      </c>
      <c r="I72">
        <f t="shared" si="5"/>
        <v>199</v>
      </c>
    </row>
    <row r="73" spans="1:9" ht="13.2" x14ac:dyDescent="0.25">
      <c r="A73" s="1" t="s">
        <v>8</v>
      </c>
      <c r="B73" s="1" t="s">
        <v>18</v>
      </c>
      <c r="C73" s="1" t="s">
        <v>14</v>
      </c>
      <c r="D73" s="1" t="s">
        <v>11</v>
      </c>
      <c r="E73" s="1" t="s">
        <v>17</v>
      </c>
      <c r="F73" s="1">
        <v>50</v>
      </c>
      <c r="G73" s="1">
        <v>64</v>
      </c>
      <c r="H73" s="1">
        <v>72</v>
      </c>
      <c r="I73">
        <f t="shared" si="5"/>
        <v>186</v>
      </c>
    </row>
    <row r="74" spans="1:9" ht="13.2" x14ac:dyDescent="0.25">
      <c r="A74" s="1" t="s">
        <v>8</v>
      </c>
      <c r="B74" s="1" t="s">
        <v>13</v>
      </c>
      <c r="C74" s="1" t="s">
        <v>20</v>
      </c>
      <c r="D74" s="1" t="s">
        <v>11</v>
      </c>
      <c r="E74" s="1" t="s">
        <v>12</v>
      </c>
      <c r="F74" s="1">
        <v>82</v>
      </c>
      <c r="G74" s="1">
        <v>90</v>
      </c>
      <c r="H74" s="1">
        <v>87</v>
      </c>
      <c r="I74">
        <f t="shared" si="5"/>
        <v>259</v>
      </c>
    </row>
    <row r="75" spans="1:9" ht="13.2" x14ac:dyDescent="0.25">
      <c r="A75" s="1" t="s">
        <v>19</v>
      </c>
      <c r="B75" s="1" t="s">
        <v>18</v>
      </c>
      <c r="C75" s="1" t="s">
        <v>14</v>
      </c>
      <c r="D75" s="1" t="s">
        <v>23</v>
      </c>
      <c r="E75" s="1" t="s">
        <v>17</v>
      </c>
      <c r="F75" s="1">
        <v>60</v>
      </c>
      <c r="G75" s="1">
        <v>65</v>
      </c>
      <c r="H75" s="1">
        <v>68</v>
      </c>
      <c r="I75">
        <f t="shared" si="5"/>
        <v>193</v>
      </c>
    </row>
    <row r="76" spans="1:9" ht="13.2" x14ac:dyDescent="0.25">
      <c r="A76" s="1" t="s">
        <v>8</v>
      </c>
      <c r="B76" s="1" t="s">
        <v>18</v>
      </c>
      <c r="C76" s="1" t="s">
        <v>10</v>
      </c>
      <c r="D76" s="1" t="s">
        <v>11</v>
      </c>
      <c r="E76" s="1" t="s">
        <v>17</v>
      </c>
      <c r="F76" s="1">
        <v>67</v>
      </c>
      <c r="G76" s="1">
        <v>70</v>
      </c>
      <c r="H76" s="1">
        <v>78</v>
      </c>
      <c r="I76">
        <f t="shared" si="5"/>
        <v>215</v>
      </c>
    </row>
    <row r="77" spans="1:9" ht="13.2" x14ac:dyDescent="0.25">
      <c r="A77" s="1" t="s">
        <v>8</v>
      </c>
      <c r="B77" s="1" t="s">
        <v>18</v>
      </c>
      <c r="C77" s="1" t="s">
        <v>10</v>
      </c>
      <c r="D77" s="1" t="s">
        <v>23</v>
      </c>
      <c r="E77" s="1" t="s">
        <v>17</v>
      </c>
      <c r="F77" s="1">
        <v>73</v>
      </c>
      <c r="G77" s="1">
        <v>87</v>
      </c>
      <c r="H77" s="1">
        <v>86</v>
      </c>
      <c r="I77">
        <f t="shared" si="5"/>
        <v>246</v>
      </c>
    </row>
    <row r="78" spans="1:9" ht="13.2" x14ac:dyDescent="0.25">
      <c r="A78" s="1" t="s">
        <v>19</v>
      </c>
      <c r="B78" s="1" t="s">
        <v>21</v>
      </c>
      <c r="C78" s="1" t="s">
        <v>10</v>
      </c>
      <c r="D78" s="1" t="s">
        <v>11</v>
      </c>
      <c r="E78" s="1" t="s">
        <v>12</v>
      </c>
      <c r="F78" s="1">
        <v>86</v>
      </c>
      <c r="G78" s="1">
        <v>73</v>
      </c>
      <c r="H78" s="1">
        <v>69</v>
      </c>
      <c r="I78">
        <f t="shared" si="5"/>
        <v>228</v>
      </c>
    </row>
    <row r="79" spans="1:9" ht="13.2" x14ac:dyDescent="0.25">
      <c r="A79" s="1" t="s">
        <v>8</v>
      </c>
      <c r="B79" s="1" t="s">
        <v>18</v>
      </c>
      <c r="C79" s="1" t="s">
        <v>14</v>
      </c>
      <c r="D79" s="1" t="s">
        <v>11</v>
      </c>
      <c r="E79" s="1" t="s">
        <v>12</v>
      </c>
      <c r="F79" s="1">
        <v>41</v>
      </c>
      <c r="G79" s="1">
        <v>48</v>
      </c>
      <c r="H79" s="1">
        <v>46</v>
      </c>
      <c r="I79">
        <f t="shared" si="5"/>
        <v>135</v>
      </c>
    </row>
    <row r="80" spans="1:9" ht="13.2" x14ac:dyDescent="0.25">
      <c r="A80" s="1" t="s">
        <v>8</v>
      </c>
      <c r="B80" s="1" t="s">
        <v>9</v>
      </c>
      <c r="C80" s="1" t="s">
        <v>16</v>
      </c>
      <c r="D80" s="1" t="s">
        <v>23</v>
      </c>
      <c r="E80" s="1" t="s">
        <v>12</v>
      </c>
      <c r="F80" s="1">
        <v>48</v>
      </c>
      <c r="G80" s="1">
        <v>77</v>
      </c>
      <c r="H80" s="1">
        <v>73</v>
      </c>
      <c r="I80">
        <f t="shared" si="5"/>
        <v>198</v>
      </c>
    </row>
    <row r="81" spans="1:9" ht="13.2" x14ac:dyDescent="0.25">
      <c r="A81" s="1" t="s">
        <v>8</v>
      </c>
      <c r="B81" s="1" t="s">
        <v>9</v>
      </c>
      <c r="C81" s="1" t="s">
        <v>10</v>
      </c>
      <c r="D81" s="1" t="s">
        <v>23</v>
      </c>
      <c r="E81" s="1" t="s">
        <v>12</v>
      </c>
      <c r="F81" s="1">
        <v>39</v>
      </c>
      <c r="G81" s="1">
        <v>49</v>
      </c>
      <c r="H81" s="1">
        <v>49</v>
      </c>
      <c r="I81">
        <f t="shared" si="5"/>
        <v>137</v>
      </c>
    </row>
    <row r="82" spans="1:9" ht="13.2" x14ac:dyDescent="0.25">
      <c r="A82" s="1" t="s">
        <v>8</v>
      </c>
      <c r="B82" s="1" t="s">
        <v>13</v>
      </c>
      <c r="C82" s="1" t="s">
        <v>22</v>
      </c>
      <c r="D82" s="1" t="s">
        <v>23</v>
      </c>
      <c r="E82" s="1" t="s">
        <v>17</v>
      </c>
      <c r="F82" s="1">
        <v>34</v>
      </c>
      <c r="G82" s="1">
        <v>60</v>
      </c>
      <c r="H82" s="1">
        <v>62</v>
      </c>
      <c r="I82">
        <f t="shared" si="5"/>
        <v>156</v>
      </c>
    </row>
    <row r="83" spans="1:9" ht="13.2" x14ac:dyDescent="0.25">
      <c r="A83" s="1" t="s">
        <v>8</v>
      </c>
      <c r="B83" s="1" t="s">
        <v>18</v>
      </c>
      <c r="C83" s="1" t="s">
        <v>14</v>
      </c>
      <c r="D83" s="1" t="s">
        <v>11</v>
      </c>
      <c r="E83" s="1" t="s">
        <v>12</v>
      </c>
      <c r="F83" s="1">
        <v>54</v>
      </c>
      <c r="G83" s="1">
        <v>60</v>
      </c>
      <c r="H83" s="1">
        <v>55</v>
      </c>
      <c r="I83">
        <f t="shared" si="5"/>
        <v>169</v>
      </c>
    </row>
    <row r="84" spans="1:9" ht="13.2" x14ac:dyDescent="0.25">
      <c r="A84" s="1" t="s">
        <v>19</v>
      </c>
      <c r="B84" s="1" t="s">
        <v>18</v>
      </c>
      <c r="C84" s="1" t="s">
        <v>24</v>
      </c>
      <c r="D84" s="1" t="s">
        <v>11</v>
      </c>
      <c r="E84" s="1" t="s">
        <v>12</v>
      </c>
      <c r="F84" s="1">
        <v>99</v>
      </c>
      <c r="G84" s="1">
        <v>95</v>
      </c>
      <c r="H84" s="1">
        <v>93</v>
      </c>
      <c r="I84">
        <f t="shared" si="5"/>
        <v>287</v>
      </c>
    </row>
    <row r="85" spans="1:9" ht="13.2" x14ac:dyDescent="0.25">
      <c r="A85" s="1" t="s">
        <v>8</v>
      </c>
      <c r="B85" s="1" t="s">
        <v>13</v>
      </c>
      <c r="C85" s="1" t="s">
        <v>22</v>
      </c>
      <c r="D85" s="1" t="s">
        <v>11</v>
      </c>
      <c r="E85" s="1" t="s">
        <v>17</v>
      </c>
      <c r="F85" s="1">
        <v>52</v>
      </c>
      <c r="G85" s="1">
        <v>69</v>
      </c>
      <c r="H85" s="1">
        <v>67</v>
      </c>
      <c r="I85">
        <f t="shared" si="5"/>
        <v>188</v>
      </c>
    </row>
    <row r="86" spans="1:9" ht="13.2" x14ac:dyDescent="0.25">
      <c r="A86" s="1" t="s">
        <v>8</v>
      </c>
      <c r="B86" s="1" t="s">
        <v>13</v>
      </c>
      <c r="C86" s="1" t="s">
        <v>14</v>
      </c>
      <c r="D86" s="1" t="s">
        <v>23</v>
      </c>
      <c r="E86" s="1" t="s">
        <v>12</v>
      </c>
      <c r="F86" s="1">
        <v>80</v>
      </c>
      <c r="G86" s="1">
        <v>89</v>
      </c>
      <c r="H86" s="1">
        <v>90</v>
      </c>
      <c r="I86">
        <f t="shared" si="5"/>
        <v>259</v>
      </c>
    </row>
    <row r="87" spans="1:9" ht="13.2" x14ac:dyDescent="0.25">
      <c r="A87" s="1" t="s">
        <v>8</v>
      </c>
      <c r="B87" s="1" t="s">
        <v>21</v>
      </c>
      <c r="C87" s="1" t="s">
        <v>16</v>
      </c>
      <c r="D87" s="1" t="s">
        <v>23</v>
      </c>
      <c r="E87" s="1" t="s">
        <v>12</v>
      </c>
      <c r="F87" s="1">
        <v>66</v>
      </c>
      <c r="G87" s="1">
        <v>88</v>
      </c>
      <c r="H87" s="1">
        <v>81</v>
      </c>
      <c r="I87">
        <f t="shared" si="5"/>
        <v>235</v>
      </c>
    </row>
    <row r="88" spans="1:9" ht="13.2" x14ac:dyDescent="0.25">
      <c r="A88" s="1" t="s">
        <v>8</v>
      </c>
      <c r="B88" s="1" t="s">
        <v>21</v>
      </c>
      <c r="C88" s="1" t="s">
        <v>10</v>
      </c>
      <c r="D88" s="1" t="s">
        <v>11</v>
      </c>
      <c r="E88" s="1" t="s">
        <v>12</v>
      </c>
      <c r="F88" s="1">
        <v>75</v>
      </c>
      <c r="G88" s="1">
        <v>73</v>
      </c>
      <c r="H88" s="1">
        <v>78</v>
      </c>
      <c r="I88">
        <f t="shared" si="5"/>
        <v>226</v>
      </c>
    </row>
    <row r="89" spans="1:9" ht="13.2" x14ac:dyDescent="0.25">
      <c r="A89" s="1" t="s">
        <v>8</v>
      </c>
      <c r="B89" s="1" t="s">
        <v>13</v>
      </c>
      <c r="C89" s="1" t="s">
        <v>16</v>
      </c>
      <c r="D89" s="1" t="s">
        <v>23</v>
      </c>
      <c r="E89" s="1" t="s">
        <v>12</v>
      </c>
      <c r="F89" s="1">
        <v>56</v>
      </c>
      <c r="G89" s="1">
        <v>65</v>
      </c>
      <c r="H89" s="1">
        <v>74</v>
      </c>
      <c r="I89">
        <f t="shared" si="5"/>
        <v>195</v>
      </c>
    </row>
    <row r="90" spans="1:9" ht="13.2" x14ac:dyDescent="0.25">
      <c r="A90" s="1" t="s">
        <v>19</v>
      </c>
      <c r="B90" s="1" t="s">
        <v>13</v>
      </c>
      <c r="C90" s="1" t="s">
        <v>24</v>
      </c>
      <c r="D90" s="1" t="s">
        <v>11</v>
      </c>
      <c r="E90" s="1" t="s">
        <v>12</v>
      </c>
      <c r="F90" s="1">
        <v>100</v>
      </c>
      <c r="G90" s="1">
        <v>97</v>
      </c>
      <c r="H90" s="1">
        <v>93</v>
      </c>
      <c r="I90">
        <f t="shared" si="5"/>
        <v>290</v>
      </c>
    </row>
    <row r="91" spans="1:9" ht="13.2" x14ac:dyDescent="0.25">
      <c r="A91" s="1" t="s">
        <v>19</v>
      </c>
      <c r="B91" s="1" t="s">
        <v>18</v>
      </c>
      <c r="C91" s="1" t="s">
        <v>22</v>
      </c>
      <c r="D91" s="1" t="s">
        <v>11</v>
      </c>
      <c r="E91" s="1" t="s">
        <v>12</v>
      </c>
      <c r="F91" s="1">
        <v>80</v>
      </c>
      <c r="G91" s="1">
        <v>70</v>
      </c>
      <c r="H91" s="1">
        <v>70</v>
      </c>
      <c r="I91">
        <f t="shared" si="5"/>
        <v>220</v>
      </c>
    </row>
    <row r="92" spans="1:9" ht="13.2" x14ac:dyDescent="0.25">
      <c r="A92" s="1" t="s">
        <v>19</v>
      </c>
      <c r="B92" s="1" t="s">
        <v>18</v>
      </c>
      <c r="C92" s="1" t="s">
        <v>22</v>
      </c>
      <c r="D92" s="1" t="s">
        <v>11</v>
      </c>
      <c r="E92" s="1" t="s">
        <v>17</v>
      </c>
      <c r="F92" s="1">
        <v>48</v>
      </c>
      <c r="G92" s="1">
        <v>49</v>
      </c>
      <c r="H92" s="1">
        <v>43</v>
      </c>
      <c r="I92">
        <f t="shared" si="5"/>
        <v>140</v>
      </c>
    </row>
    <row r="93" spans="1:9" ht="13.2" x14ac:dyDescent="0.25">
      <c r="A93" s="1" t="s">
        <v>19</v>
      </c>
      <c r="B93" s="1" t="s">
        <v>21</v>
      </c>
      <c r="C93" s="1" t="s">
        <v>24</v>
      </c>
      <c r="D93" s="1" t="s">
        <v>23</v>
      </c>
      <c r="E93" s="1" t="s">
        <v>12</v>
      </c>
      <c r="F93" s="1">
        <v>59</v>
      </c>
      <c r="G93" s="1">
        <v>51</v>
      </c>
      <c r="H93" s="1">
        <v>50</v>
      </c>
      <c r="I93">
        <f t="shared" si="5"/>
        <v>160</v>
      </c>
    </row>
    <row r="94" spans="1:9" ht="13.2" x14ac:dyDescent="0.25">
      <c r="A94" s="1" t="s">
        <v>19</v>
      </c>
      <c r="B94" s="1" t="s">
        <v>18</v>
      </c>
      <c r="C94" s="1" t="s">
        <v>14</v>
      </c>
      <c r="D94" s="1" t="s">
        <v>23</v>
      </c>
      <c r="E94" s="1" t="s">
        <v>12</v>
      </c>
      <c r="F94" s="1">
        <v>47</v>
      </c>
      <c r="G94" s="1">
        <v>50</v>
      </c>
      <c r="H94" s="1">
        <v>48</v>
      </c>
      <c r="I94">
        <f t="shared" si="5"/>
        <v>145</v>
      </c>
    </row>
    <row r="95" spans="1:9" ht="13.2" x14ac:dyDescent="0.25">
      <c r="A95" s="1" t="s">
        <v>19</v>
      </c>
      <c r="B95" s="1" t="s">
        <v>18</v>
      </c>
      <c r="C95" s="1" t="s">
        <v>22</v>
      </c>
      <c r="D95" s="1" t="s">
        <v>11</v>
      </c>
      <c r="E95" s="1" t="s">
        <v>12</v>
      </c>
      <c r="F95" s="1">
        <v>69</v>
      </c>
      <c r="G95" s="1">
        <v>67</v>
      </c>
      <c r="H95" s="1">
        <v>64</v>
      </c>
      <c r="I95">
        <f t="shared" si="5"/>
        <v>200</v>
      </c>
    </row>
    <row r="96" spans="1:9" ht="13.2" x14ac:dyDescent="0.25">
      <c r="A96" s="1" t="s">
        <v>8</v>
      </c>
      <c r="B96" s="1" t="s">
        <v>21</v>
      </c>
      <c r="C96" s="1" t="s">
        <v>16</v>
      </c>
      <c r="D96" s="1" t="s">
        <v>11</v>
      </c>
      <c r="E96" s="1" t="s">
        <v>12</v>
      </c>
      <c r="F96" s="1">
        <v>55</v>
      </c>
      <c r="G96" s="1">
        <v>59</v>
      </c>
      <c r="H96" s="1">
        <v>56</v>
      </c>
      <c r="I96">
        <f t="shared" si="5"/>
        <v>170</v>
      </c>
    </row>
    <row r="97" spans="1:9" ht="13.2" x14ac:dyDescent="0.25">
      <c r="A97" s="1" t="s">
        <v>8</v>
      </c>
      <c r="B97" s="1" t="s">
        <v>13</v>
      </c>
      <c r="C97" s="1" t="s">
        <v>10</v>
      </c>
      <c r="D97" s="1" t="s">
        <v>11</v>
      </c>
      <c r="E97" s="1" t="s">
        <v>17</v>
      </c>
      <c r="F97" s="1">
        <v>71</v>
      </c>
      <c r="G97" s="1">
        <v>75</v>
      </c>
      <c r="H97" s="1">
        <v>81</v>
      </c>
      <c r="I97">
        <f t="shared" si="5"/>
        <v>227</v>
      </c>
    </row>
    <row r="98" spans="1:9" ht="13.2" x14ac:dyDescent="0.25">
      <c r="A98" s="1" t="s">
        <v>8</v>
      </c>
      <c r="B98" s="1" t="s">
        <v>13</v>
      </c>
      <c r="C98" s="1" t="s">
        <v>24</v>
      </c>
      <c r="D98" s="1" t="s">
        <v>23</v>
      </c>
      <c r="E98" s="1" t="s">
        <v>12</v>
      </c>
      <c r="F98" s="1">
        <v>44</v>
      </c>
      <c r="G98" s="1">
        <v>55</v>
      </c>
      <c r="H98" s="1">
        <v>55</v>
      </c>
      <c r="I98">
        <f t="shared" si="5"/>
        <v>154</v>
      </c>
    </row>
    <row r="99" spans="1:9" ht="13.2" x14ac:dyDescent="0.25">
      <c r="A99" s="1" t="s">
        <v>19</v>
      </c>
      <c r="B99" s="1" t="s">
        <v>13</v>
      </c>
      <c r="C99" s="1" t="s">
        <v>22</v>
      </c>
      <c r="D99" s="1" t="s">
        <v>11</v>
      </c>
      <c r="E99" s="1" t="s">
        <v>12</v>
      </c>
      <c r="F99" s="1">
        <v>95</v>
      </c>
      <c r="G99" s="1">
        <v>74</v>
      </c>
      <c r="H99" s="1">
        <v>81</v>
      </c>
      <c r="I99">
        <f t="shared" si="5"/>
        <v>250</v>
      </c>
    </row>
    <row r="100" spans="1:9" ht="13.2" x14ac:dyDescent="0.25">
      <c r="A100" s="1" t="s">
        <v>8</v>
      </c>
      <c r="B100" s="1" t="s">
        <v>9</v>
      </c>
      <c r="C100" s="1" t="s">
        <v>16</v>
      </c>
      <c r="D100" s="1" t="s">
        <v>11</v>
      </c>
      <c r="E100" s="1" t="s">
        <v>17</v>
      </c>
      <c r="F100" s="1">
        <v>68</v>
      </c>
      <c r="G100" s="1">
        <v>80</v>
      </c>
      <c r="H100" s="1">
        <v>83</v>
      </c>
      <c r="I100">
        <f t="shared" si="5"/>
        <v>231</v>
      </c>
    </row>
    <row r="101" spans="1:9" ht="13.2" x14ac:dyDescent="0.25">
      <c r="A101" s="1" t="s">
        <v>8</v>
      </c>
      <c r="B101" s="1" t="s">
        <v>18</v>
      </c>
      <c r="C101" s="1" t="s">
        <v>22</v>
      </c>
      <c r="D101" s="1" t="s">
        <v>11</v>
      </c>
      <c r="E101" s="1" t="s">
        <v>12</v>
      </c>
      <c r="F101" s="1">
        <v>52</v>
      </c>
      <c r="G101" s="1">
        <v>65</v>
      </c>
      <c r="H101" s="1">
        <v>57</v>
      </c>
      <c r="I101">
        <f t="shared" si="5"/>
        <v>174</v>
      </c>
    </row>
    <row r="102" spans="1:9" ht="13.2" x14ac:dyDescent="0.25">
      <c r="A102" s="1" t="s">
        <v>19</v>
      </c>
      <c r="B102" s="1" t="s">
        <v>9</v>
      </c>
      <c r="C102" s="1" t="s">
        <v>22</v>
      </c>
      <c r="D102" s="1" t="s">
        <v>11</v>
      </c>
      <c r="E102" s="1" t="s">
        <v>17</v>
      </c>
      <c r="F102" s="1">
        <v>83</v>
      </c>
      <c r="G102" s="1">
        <v>88</v>
      </c>
      <c r="H102" s="1">
        <v>86</v>
      </c>
      <c r="I102">
        <f t="shared" si="5"/>
        <v>257</v>
      </c>
    </row>
    <row r="103" spans="1:9" ht="13.2" x14ac:dyDescent="0.25">
      <c r="A103" s="1" t="s">
        <v>8</v>
      </c>
      <c r="B103" s="1" t="s">
        <v>18</v>
      </c>
      <c r="C103" s="1" t="s">
        <v>10</v>
      </c>
      <c r="D103" s="1" t="s">
        <v>23</v>
      </c>
      <c r="E103" s="1" t="s">
        <v>17</v>
      </c>
      <c r="F103" s="1">
        <v>64</v>
      </c>
      <c r="G103" s="1">
        <v>78</v>
      </c>
      <c r="H103" s="1">
        <v>78</v>
      </c>
      <c r="I103">
        <f t="shared" si="5"/>
        <v>220</v>
      </c>
    </row>
    <row r="104" spans="1:9" ht="13.2" x14ac:dyDescent="0.25">
      <c r="A104" s="1" t="s">
        <v>8</v>
      </c>
      <c r="B104" s="1" t="s">
        <v>9</v>
      </c>
      <c r="C104" s="1" t="s">
        <v>10</v>
      </c>
      <c r="D104" s="1" t="s">
        <v>23</v>
      </c>
      <c r="E104" s="1" t="s">
        <v>12</v>
      </c>
      <c r="F104" s="1">
        <v>73</v>
      </c>
      <c r="G104" s="1">
        <v>81</v>
      </c>
      <c r="H104" s="1">
        <v>79</v>
      </c>
      <c r="I104">
        <f t="shared" si="5"/>
        <v>233</v>
      </c>
    </row>
    <row r="105" spans="1:9" ht="13.2" x14ac:dyDescent="0.25">
      <c r="A105" s="1" t="s">
        <v>8</v>
      </c>
      <c r="B105" s="1" t="s">
        <v>21</v>
      </c>
      <c r="C105" s="1" t="s">
        <v>20</v>
      </c>
      <c r="D105" s="1" t="s">
        <v>23</v>
      </c>
      <c r="E105" s="1" t="s">
        <v>12</v>
      </c>
      <c r="F105" s="1">
        <v>47</v>
      </c>
      <c r="G105" s="1">
        <v>57</v>
      </c>
      <c r="H105" s="1">
        <v>55</v>
      </c>
      <c r="I105">
        <f t="shared" si="5"/>
        <v>159</v>
      </c>
    </row>
    <row r="106" spans="1:9" ht="13.2" x14ac:dyDescent="0.25">
      <c r="A106" s="1" t="s">
        <v>8</v>
      </c>
      <c r="B106" s="1" t="s">
        <v>15</v>
      </c>
      <c r="C106" s="1" t="s">
        <v>14</v>
      </c>
      <c r="D106" s="1" t="s">
        <v>11</v>
      </c>
      <c r="E106" s="1" t="s">
        <v>12</v>
      </c>
      <c r="F106" s="1">
        <v>49</v>
      </c>
      <c r="G106" s="1">
        <v>57</v>
      </c>
      <c r="H106" s="1">
        <v>52</v>
      </c>
      <c r="I106">
        <f t="shared" si="5"/>
        <v>158</v>
      </c>
    </row>
    <row r="107" spans="1:9" ht="13.2" x14ac:dyDescent="0.25">
      <c r="A107" s="1" t="s">
        <v>8</v>
      </c>
      <c r="B107" s="1" t="s">
        <v>18</v>
      </c>
      <c r="C107" s="1" t="s">
        <v>20</v>
      </c>
      <c r="D107" s="1" t="s">
        <v>11</v>
      </c>
      <c r="E107" s="1" t="s">
        <v>17</v>
      </c>
      <c r="F107" s="1">
        <v>93</v>
      </c>
      <c r="G107" s="1">
        <v>100</v>
      </c>
      <c r="H107" s="1">
        <v>100</v>
      </c>
      <c r="I107">
        <f t="shared" si="5"/>
        <v>293</v>
      </c>
    </row>
    <row r="108" spans="1:9" ht="13.2" x14ac:dyDescent="0.25">
      <c r="A108" s="1" t="s">
        <v>19</v>
      </c>
      <c r="B108" s="1" t="s">
        <v>18</v>
      </c>
      <c r="C108" s="1" t="s">
        <v>16</v>
      </c>
      <c r="D108" s="1" t="s">
        <v>11</v>
      </c>
      <c r="E108" s="1" t="s">
        <v>12</v>
      </c>
      <c r="F108" s="1">
        <v>58</v>
      </c>
      <c r="G108" s="1">
        <v>61</v>
      </c>
      <c r="H108" s="1">
        <v>51</v>
      </c>
      <c r="I108">
        <f t="shared" si="5"/>
        <v>170</v>
      </c>
    </row>
    <row r="109" spans="1:9" ht="13.2" x14ac:dyDescent="0.25">
      <c r="A109" s="1" t="s">
        <v>19</v>
      </c>
      <c r="B109" s="1" t="s">
        <v>21</v>
      </c>
      <c r="C109" s="1" t="s">
        <v>14</v>
      </c>
      <c r="D109" s="1" t="s">
        <v>11</v>
      </c>
      <c r="E109" s="1" t="s">
        <v>17</v>
      </c>
      <c r="F109" s="1">
        <v>86</v>
      </c>
      <c r="G109" s="1">
        <v>88</v>
      </c>
      <c r="H109" s="1">
        <v>90</v>
      </c>
      <c r="I109">
        <f t="shared" si="5"/>
        <v>264</v>
      </c>
    </row>
    <row r="110" spans="1:9" ht="13.2" x14ac:dyDescent="0.25">
      <c r="A110" s="1" t="s">
        <v>19</v>
      </c>
      <c r="B110" s="1" t="s">
        <v>13</v>
      </c>
      <c r="C110" s="1" t="s">
        <v>10</v>
      </c>
      <c r="D110" s="1" t="s">
        <v>11</v>
      </c>
      <c r="E110" s="1" t="s">
        <v>17</v>
      </c>
      <c r="F110" s="1">
        <v>68</v>
      </c>
      <c r="G110" s="1">
        <v>65</v>
      </c>
      <c r="H110" s="1">
        <v>69</v>
      </c>
      <c r="I110">
        <f t="shared" si="5"/>
        <v>202</v>
      </c>
    </row>
    <row r="111" spans="1:9" ht="13.2" x14ac:dyDescent="0.25">
      <c r="A111" s="1" t="s">
        <v>19</v>
      </c>
      <c r="B111" s="1" t="s">
        <v>18</v>
      </c>
      <c r="C111" s="1" t="s">
        <v>16</v>
      </c>
      <c r="D111" s="1" t="s">
        <v>11</v>
      </c>
      <c r="E111" s="1" t="s">
        <v>12</v>
      </c>
      <c r="F111" s="1">
        <v>76</v>
      </c>
      <c r="G111" s="1">
        <v>72</v>
      </c>
      <c r="H111" s="1">
        <v>69</v>
      </c>
      <c r="I111">
        <f t="shared" si="5"/>
        <v>217</v>
      </c>
    </row>
    <row r="112" spans="1:9" ht="13.2" x14ac:dyDescent="0.25">
      <c r="A112" s="1" t="s">
        <v>8</v>
      </c>
      <c r="B112" s="1" t="s">
        <v>13</v>
      </c>
      <c r="C112" s="1" t="s">
        <v>22</v>
      </c>
      <c r="D112" s="1" t="s">
        <v>23</v>
      </c>
      <c r="E112" s="1" t="s">
        <v>12</v>
      </c>
      <c r="F112" s="1">
        <v>37</v>
      </c>
      <c r="G112" s="1">
        <v>49</v>
      </c>
      <c r="H112" s="1">
        <v>51</v>
      </c>
      <c r="I112">
        <f t="shared" si="5"/>
        <v>137</v>
      </c>
    </row>
    <row r="113" spans="1:9" ht="13.2" x14ac:dyDescent="0.25">
      <c r="A113" s="1" t="s">
        <v>8</v>
      </c>
      <c r="B113" s="1" t="s">
        <v>13</v>
      </c>
      <c r="C113" s="1" t="s">
        <v>14</v>
      </c>
      <c r="D113" s="1" t="s">
        <v>11</v>
      </c>
      <c r="E113" s="1" t="s">
        <v>17</v>
      </c>
      <c r="F113" s="1">
        <v>69</v>
      </c>
      <c r="G113" s="1">
        <v>79</v>
      </c>
      <c r="H113" s="1">
        <v>82</v>
      </c>
      <c r="I113">
        <f t="shared" si="5"/>
        <v>230</v>
      </c>
    </row>
    <row r="114" spans="1:9" ht="13.2" x14ac:dyDescent="0.25">
      <c r="A114" s="1" t="s">
        <v>19</v>
      </c>
      <c r="B114" s="1" t="s">
        <v>13</v>
      </c>
      <c r="C114" s="1" t="s">
        <v>16</v>
      </c>
      <c r="D114" s="1" t="s">
        <v>11</v>
      </c>
      <c r="E114" s="1" t="s">
        <v>12</v>
      </c>
      <c r="F114" s="1">
        <v>65</v>
      </c>
      <c r="G114" s="1">
        <v>50</v>
      </c>
      <c r="H114" s="1">
        <v>48</v>
      </c>
      <c r="I114">
        <f t="shared" si="5"/>
        <v>163</v>
      </c>
    </row>
    <row r="115" spans="1:9" ht="13.2" x14ac:dyDescent="0.25">
      <c r="A115" s="1" t="s">
        <v>8</v>
      </c>
      <c r="B115" s="1" t="s">
        <v>15</v>
      </c>
      <c r="C115" s="1" t="s">
        <v>22</v>
      </c>
      <c r="D115" s="1" t="s">
        <v>23</v>
      </c>
      <c r="E115" s="1" t="s">
        <v>17</v>
      </c>
      <c r="F115" s="1">
        <v>35</v>
      </c>
      <c r="G115" s="1">
        <v>52</v>
      </c>
      <c r="H115" s="1">
        <v>49</v>
      </c>
      <c r="I115">
        <f t="shared" si="5"/>
        <v>136</v>
      </c>
    </row>
    <row r="116" spans="1:9" ht="13.2" x14ac:dyDescent="0.25">
      <c r="A116" s="1" t="s">
        <v>8</v>
      </c>
      <c r="B116" s="1" t="s">
        <v>18</v>
      </c>
      <c r="C116" s="1" t="s">
        <v>10</v>
      </c>
      <c r="D116" s="1" t="s">
        <v>11</v>
      </c>
      <c r="E116" s="1" t="s">
        <v>17</v>
      </c>
      <c r="F116" s="1">
        <v>61</v>
      </c>
      <c r="G116" s="1">
        <v>62</v>
      </c>
      <c r="H116" s="1">
        <v>67</v>
      </c>
      <c r="I116">
        <f t="shared" si="5"/>
        <v>190</v>
      </c>
    </row>
    <row r="117" spans="1:9" ht="13.2" x14ac:dyDescent="0.25">
      <c r="A117" s="1" t="s">
        <v>19</v>
      </c>
      <c r="B117" s="1" t="s">
        <v>13</v>
      </c>
      <c r="C117" s="1" t="s">
        <v>14</v>
      </c>
      <c r="D117" s="1" t="s">
        <v>23</v>
      </c>
      <c r="E117" s="1" t="s">
        <v>17</v>
      </c>
      <c r="F117" s="1">
        <v>47</v>
      </c>
      <c r="G117" s="1">
        <v>52</v>
      </c>
      <c r="H117" s="1">
        <v>54</v>
      </c>
      <c r="I117">
        <f t="shared" si="5"/>
        <v>153</v>
      </c>
    </row>
    <row r="118" spans="1:9" ht="13.2" x14ac:dyDescent="0.25">
      <c r="A118" s="1" t="s">
        <v>19</v>
      </c>
      <c r="B118" s="1" t="s">
        <v>21</v>
      </c>
      <c r="C118" s="1" t="s">
        <v>16</v>
      </c>
      <c r="D118" s="1" t="s">
        <v>23</v>
      </c>
      <c r="E118" s="1" t="s">
        <v>12</v>
      </c>
      <c r="F118" s="1">
        <v>65</v>
      </c>
      <c r="G118" s="1">
        <v>59</v>
      </c>
      <c r="H118" s="1">
        <v>61</v>
      </c>
      <c r="I118">
        <f t="shared" si="5"/>
        <v>185</v>
      </c>
    </row>
    <row r="119" spans="1:9" ht="13.2" x14ac:dyDescent="0.25">
      <c r="A119" s="1" t="s">
        <v>19</v>
      </c>
      <c r="B119" s="1" t="s">
        <v>21</v>
      </c>
      <c r="C119" s="1" t="s">
        <v>10</v>
      </c>
      <c r="D119" s="1" t="s">
        <v>23</v>
      </c>
      <c r="E119" s="1" t="s">
        <v>12</v>
      </c>
      <c r="F119" s="1">
        <v>57</v>
      </c>
      <c r="G119" s="1">
        <v>45</v>
      </c>
      <c r="H119" s="1">
        <v>44</v>
      </c>
      <c r="I119">
        <f t="shared" si="5"/>
        <v>146</v>
      </c>
    </row>
    <row r="120" spans="1:9" ht="13.2" x14ac:dyDescent="0.25">
      <c r="A120" s="1" t="s">
        <v>8</v>
      </c>
      <c r="B120" s="1" t="s">
        <v>13</v>
      </c>
      <c r="C120" s="1" t="s">
        <v>14</v>
      </c>
      <c r="D120" s="1" t="s">
        <v>11</v>
      </c>
      <c r="E120" s="1" t="s">
        <v>12</v>
      </c>
      <c r="F120" s="1">
        <v>55</v>
      </c>
      <c r="G120" s="1">
        <v>64</v>
      </c>
      <c r="H120" s="1">
        <v>61</v>
      </c>
      <c r="I120">
        <f t="shared" si="5"/>
        <v>180</v>
      </c>
    </row>
    <row r="121" spans="1:9" ht="13.2" x14ac:dyDescent="0.25">
      <c r="A121" s="1" t="s">
        <v>19</v>
      </c>
      <c r="B121" s="1" t="s">
        <v>13</v>
      </c>
      <c r="C121" s="1" t="s">
        <v>22</v>
      </c>
      <c r="D121" s="1" t="s">
        <v>23</v>
      </c>
      <c r="E121" s="1" t="s">
        <v>12</v>
      </c>
      <c r="F121" s="1">
        <v>67</v>
      </c>
      <c r="G121" s="1">
        <v>60</v>
      </c>
      <c r="H121" s="1">
        <v>64</v>
      </c>
      <c r="I121">
        <f t="shared" si="5"/>
        <v>191</v>
      </c>
    </row>
    <row r="122" spans="1:9" ht="13.2" x14ac:dyDescent="0.25">
      <c r="A122" s="1" t="s">
        <v>19</v>
      </c>
      <c r="B122" s="1" t="s">
        <v>18</v>
      </c>
      <c r="C122" s="1" t="s">
        <v>10</v>
      </c>
      <c r="D122" s="1" t="s">
        <v>11</v>
      </c>
      <c r="E122" s="1" t="s">
        <v>17</v>
      </c>
      <c r="F122" s="1">
        <v>66</v>
      </c>
      <c r="G122" s="1">
        <v>63</v>
      </c>
      <c r="H122" s="1">
        <v>67</v>
      </c>
      <c r="I122">
        <f t="shared" si="5"/>
        <v>196</v>
      </c>
    </row>
    <row r="123" spans="1:9" ht="13.2" x14ac:dyDescent="0.25">
      <c r="A123" s="1" t="s">
        <v>8</v>
      </c>
      <c r="B123" s="1" t="s">
        <v>18</v>
      </c>
      <c r="C123" s="1" t="s">
        <v>20</v>
      </c>
      <c r="D123" s="1" t="s">
        <v>11</v>
      </c>
      <c r="E123" s="1" t="s">
        <v>12</v>
      </c>
      <c r="F123" s="1">
        <v>66</v>
      </c>
      <c r="G123" s="1">
        <v>69</v>
      </c>
      <c r="H123" s="1">
        <v>63</v>
      </c>
      <c r="I123">
        <f t="shared" si="5"/>
        <v>198</v>
      </c>
    </row>
    <row r="124" spans="1:9" ht="13.2" x14ac:dyDescent="0.25">
      <c r="A124" s="1" t="s">
        <v>19</v>
      </c>
      <c r="B124" s="1" t="s">
        <v>9</v>
      </c>
      <c r="C124" s="1" t="s">
        <v>14</v>
      </c>
      <c r="D124" s="1" t="s">
        <v>23</v>
      </c>
      <c r="E124" s="1" t="s">
        <v>17</v>
      </c>
      <c r="F124" s="1">
        <v>55</v>
      </c>
      <c r="G124" s="1">
        <v>61</v>
      </c>
      <c r="H124" s="1">
        <v>55</v>
      </c>
      <c r="I124">
        <f t="shared" si="5"/>
        <v>171</v>
      </c>
    </row>
    <row r="125" spans="1:9" ht="13.2" x14ac:dyDescent="0.25">
      <c r="A125" s="1" t="s">
        <v>8</v>
      </c>
      <c r="B125" s="1" t="s">
        <v>13</v>
      </c>
      <c r="C125" s="1" t="s">
        <v>24</v>
      </c>
      <c r="D125" s="1" t="s">
        <v>11</v>
      </c>
      <c r="E125" s="1" t="s">
        <v>12</v>
      </c>
      <c r="F125" s="1">
        <v>89</v>
      </c>
      <c r="G125" s="1">
        <v>97</v>
      </c>
      <c r="H125" s="1">
        <v>100</v>
      </c>
      <c r="I125">
        <f t="shared" si="5"/>
        <v>286</v>
      </c>
    </row>
    <row r="126" spans="1:9" ht="13.2" x14ac:dyDescent="0.25">
      <c r="A126" s="1" t="s">
        <v>19</v>
      </c>
      <c r="B126" s="1" t="s">
        <v>18</v>
      </c>
      <c r="C126" s="1" t="s">
        <v>10</v>
      </c>
      <c r="D126" s="1" t="s">
        <v>11</v>
      </c>
      <c r="E126" s="1" t="s">
        <v>17</v>
      </c>
      <c r="F126" s="1">
        <v>53</v>
      </c>
      <c r="G126" s="1">
        <v>62</v>
      </c>
      <c r="H126" s="1">
        <v>56</v>
      </c>
      <c r="I126">
        <f t="shared" si="5"/>
        <v>171</v>
      </c>
    </row>
    <row r="127" spans="1:9" ht="13.2" x14ac:dyDescent="0.25">
      <c r="A127" s="1" t="s">
        <v>8</v>
      </c>
      <c r="B127" s="1" t="s">
        <v>18</v>
      </c>
      <c r="C127" s="1" t="s">
        <v>22</v>
      </c>
      <c r="D127" s="1" t="s">
        <v>11</v>
      </c>
      <c r="E127" s="1" t="s">
        <v>12</v>
      </c>
      <c r="F127" s="1">
        <v>49</v>
      </c>
      <c r="G127" s="1">
        <v>53</v>
      </c>
      <c r="H127" s="1">
        <v>47</v>
      </c>
      <c r="I127">
        <f t="shared" si="5"/>
        <v>149</v>
      </c>
    </row>
    <row r="128" spans="1:9" ht="13.2" x14ac:dyDescent="0.25">
      <c r="A128" s="1" t="s">
        <v>19</v>
      </c>
      <c r="B128" s="1" t="s">
        <v>13</v>
      </c>
      <c r="C128" s="1" t="s">
        <v>10</v>
      </c>
      <c r="D128" s="1" t="s">
        <v>11</v>
      </c>
      <c r="E128" s="1" t="s">
        <v>17</v>
      </c>
      <c r="F128" s="1">
        <v>66</v>
      </c>
      <c r="G128" s="1">
        <v>68</v>
      </c>
      <c r="H128" s="1">
        <v>70</v>
      </c>
      <c r="I128">
        <f t="shared" si="5"/>
        <v>204</v>
      </c>
    </row>
    <row r="129" spans="1:9" ht="13.2" x14ac:dyDescent="0.25">
      <c r="A129" s="1" t="s">
        <v>8</v>
      </c>
      <c r="B129" s="1" t="s">
        <v>15</v>
      </c>
      <c r="C129" s="1" t="s">
        <v>14</v>
      </c>
      <c r="D129" s="1" t="s">
        <v>11</v>
      </c>
      <c r="E129" s="1" t="s">
        <v>12</v>
      </c>
      <c r="F129" s="1">
        <v>67</v>
      </c>
      <c r="G129" s="1">
        <v>78</v>
      </c>
      <c r="H129" s="1">
        <v>71</v>
      </c>
      <c r="I129">
        <f t="shared" si="5"/>
        <v>216</v>
      </c>
    </row>
    <row r="130" spans="1:9" ht="13.2" x14ac:dyDescent="0.25">
      <c r="A130" s="1" t="s">
        <v>19</v>
      </c>
      <c r="B130" s="1" t="s">
        <v>15</v>
      </c>
      <c r="C130" s="1" t="s">
        <v>14</v>
      </c>
      <c r="D130" s="1" t="s">
        <v>11</v>
      </c>
      <c r="E130" s="1" t="s">
        <v>12</v>
      </c>
      <c r="F130" s="1">
        <v>67</v>
      </c>
      <c r="G130" s="1">
        <v>66</v>
      </c>
      <c r="H130" s="1">
        <v>62</v>
      </c>
      <c r="I130">
        <f t="shared" si="5"/>
        <v>195</v>
      </c>
    </row>
    <row r="131" spans="1:9" ht="13.2" x14ac:dyDescent="0.25">
      <c r="A131" s="1" t="s">
        <v>19</v>
      </c>
      <c r="B131" s="1" t="s">
        <v>13</v>
      </c>
      <c r="C131" s="1" t="s">
        <v>16</v>
      </c>
      <c r="D131" s="1" t="s">
        <v>11</v>
      </c>
      <c r="E131" s="1" t="s">
        <v>17</v>
      </c>
      <c r="F131" s="1">
        <v>70</v>
      </c>
      <c r="G131" s="1">
        <v>68</v>
      </c>
      <c r="H131" s="1">
        <v>75</v>
      </c>
      <c r="I131">
        <f t="shared" ref="I131:I194" si="6">SUM(F131:H131)</f>
        <v>213</v>
      </c>
    </row>
    <row r="132" spans="1:9" ht="13.2" x14ac:dyDescent="0.25">
      <c r="A132" s="1" t="s">
        <v>8</v>
      </c>
      <c r="B132" s="1" t="s">
        <v>18</v>
      </c>
      <c r="C132" s="1" t="s">
        <v>10</v>
      </c>
      <c r="D132" s="1" t="s">
        <v>23</v>
      </c>
      <c r="E132" s="1" t="s">
        <v>17</v>
      </c>
      <c r="F132" s="1">
        <v>49</v>
      </c>
      <c r="G132" s="1">
        <v>55</v>
      </c>
      <c r="H132" s="1">
        <v>51</v>
      </c>
      <c r="I132">
        <f t="shared" si="6"/>
        <v>155</v>
      </c>
    </row>
    <row r="133" spans="1:9" ht="13.2" x14ac:dyDescent="0.25">
      <c r="A133" s="1" t="s">
        <v>19</v>
      </c>
      <c r="B133" s="1" t="s">
        <v>13</v>
      </c>
      <c r="C133" s="1" t="s">
        <v>10</v>
      </c>
      <c r="D133" s="1" t="s">
        <v>11</v>
      </c>
      <c r="E133" s="1" t="s">
        <v>17</v>
      </c>
      <c r="F133" s="1">
        <v>100</v>
      </c>
      <c r="G133" s="1">
        <v>91</v>
      </c>
      <c r="H133" s="1">
        <v>96</v>
      </c>
      <c r="I133">
        <f t="shared" si="6"/>
        <v>287</v>
      </c>
    </row>
    <row r="134" spans="1:9" ht="13.2" x14ac:dyDescent="0.25">
      <c r="A134" s="1" t="s">
        <v>19</v>
      </c>
      <c r="B134" s="1" t="s">
        <v>13</v>
      </c>
      <c r="C134" s="1" t="s">
        <v>14</v>
      </c>
      <c r="D134" s="1" t="s">
        <v>23</v>
      </c>
      <c r="E134" s="1" t="s">
        <v>12</v>
      </c>
      <c r="F134" s="1">
        <v>74</v>
      </c>
      <c r="G134" s="1">
        <v>72</v>
      </c>
      <c r="H134" s="1">
        <v>72</v>
      </c>
      <c r="I134">
        <f t="shared" si="6"/>
        <v>218</v>
      </c>
    </row>
    <row r="135" spans="1:9" ht="13.2" x14ac:dyDescent="0.25">
      <c r="A135" s="1" t="s">
        <v>19</v>
      </c>
      <c r="B135" s="1" t="s">
        <v>18</v>
      </c>
      <c r="C135" s="1" t="s">
        <v>22</v>
      </c>
      <c r="D135" s="1" t="s">
        <v>11</v>
      </c>
      <c r="E135" s="1" t="s">
        <v>12</v>
      </c>
      <c r="F135" s="1">
        <v>81</v>
      </c>
      <c r="G135" s="1">
        <v>87</v>
      </c>
      <c r="H135" s="1">
        <v>79</v>
      </c>
      <c r="I135">
        <f t="shared" si="6"/>
        <v>247</v>
      </c>
    </row>
    <row r="136" spans="1:9" ht="13.2" x14ac:dyDescent="0.25">
      <c r="A136" s="1" t="s">
        <v>19</v>
      </c>
      <c r="B136" s="1" t="s">
        <v>18</v>
      </c>
      <c r="C136" s="1" t="s">
        <v>22</v>
      </c>
      <c r="D136" s="1" t="s">
        <v>23</v>
      </c>
      <c r="E136" s="1" t="s">
        <v>17</v>
      </c>
      <c r="F136" s="1">
        <v>62</v>
      </c>
      <c r="G136" s="1">
        <v>58</v>
      </c>
      <c r="H136" s="1">
        <v>57</v>
      </c>
      <c r="I136">
        <f t="shared" si="6"/>
        <v>177</v>
      </c>
    </row>
    <row r="137" spans="1:9" ht="13.2" x14ac:dyDescent="0.25">
      <c r="A137" s="1" t="s">
        <v>19</v>
      </c>
      <c r="B137" s="1" t="s">
        <v>9</v>
      </c>
      <c r="C137" s="1" t="s">
        <v>14</v>
      </c>
      <c r="D137" s="1" t="s">
        <v>23</v>
      </c>
      <c r="E137" s="1" t="s">
        <v>17</v>
      </c>
      <c r="F137" s="1">
        <v>67</v>
      </c>
      <c r="G137" s="1">
        <v>67</v>
      </c>
      <c r="H137" s="1">
        <v>66</v>
      </c>
      <c r="I137">
        <f t="shared" si="6"/>
        <v>200</v>
      </c>
    </row>
    <row r="138" spans="1:9" ht="13.2" x14ac:dyDescent="0.25">
      <c r="A138" s="1" t="s">
        <v>8</v>
      </c>
      <c r="B138" s="1" t="s">
        <v>13</v>
      </c>
      <c r="C138" s="1" t="s">
        <v>14</v>
      </c>
      <c r="D138" s="1" t="s">
        <v>23</v>
      </c>
      <c r="E138" s="1" t="s">
        <v>12</v>
      </c>
      <c r="F138" s="1">
        <v>60</v>
      </c>
      <c r="G138" s="1">
        <v>68</v>
      </c>
      <c r="H138" s="1">
        <v>65</v>
      </c>
      <c r="I138">
        <f t="shared" si="6"/>
        <v>193</v>
      </c>
    </row>
    <row r="139" spans="1:9" ht="13.2" x14ac:dyDescent="0.25">
      <c r="A139" s="1" t="s">
        <v>8</v>
      </c>
      <c r="B139" s="1" t="s">
        <v>9</v>
      </c>
      <c r="C139" s="1" t="s">
        <v>16</v>
      </c>
      <c r="D139" s="1" t="s">
        <v>11</v>
      </c>
      <c r="E139" s="1" t="s">
        <v>17</v>
      </c>
      <c r="F139" s="1">
        <v>54</v>
      </c>
      <c r="G139" s="1">
        <v>65</v>
      </c>
      <c r="H139" s="1">
        <v>59</v>
      </c>
      <c r="I139">
        <f t="shared" si="6"/>
        <v>178</v>
      </c>
    </row>
    <row r="140" spans="1:9" ht="13.2" x14ac:dyDescent="0.25">
      <c r="A140" s="1" t="s">
        <v>19</v>
      </c>
      <c r="B140" s="1" t="s">
        <v>9</v>
      </c>
      <c r="C140" s="1" t="s">
        <v>10</v>
      </c>
      <c r="D140" s="1" t="s">
        <v>23</v>
      </c>
      <c r="E140" s="1" t="s">
        <v>12</v>
      </c>
      <c r="F140" s="1">
        <v>51</v>
      </c>
      <c r="G140" s="1">
        <v>45</v>
      </c>
      <c r="H140" s="1">
        <v>42</v>
      </c>
      <c r="I140">
        <f t="shared" si="6"/>
        <v>138</v>
      </c>
    </row>
    <row r="141" spans="1:9" ht="13.2" x14ac:dyDescent="0.25">
      <c r="A141" s="1" t="s">
        <v>19</v>
      </c>
      <c r="B141" s="1" t="s">
        <v>15</v>
      </c>
      <c r="C141" s="1" t="s">
        <v>10</v>
      </c>
      <c r="D141" s="1" t="s">
        <v>23</v>
      </c>
      <c r="E141" s="1" t="s">
        <v>12</v>
      </c>
      <c r="F141" s="1">
        <v>46</v>
      </c>
      <c r="G141" s="1">
        <v>48</v>
      </c>
      <c r="H141" s="1">
        <v>43</v>
      </c>
      <c r="I141">
        <f t="shared" si="6"/>
        <v>137</v>
      </c>
    </row>
    <row r="142" spans="1:9" ht="13.2" x14ac:dyDescent="0.25">
      <c r="A142" s="1" t="s">
        <v>19</v>
      </c>
      <c r="B142" s="1" t="s">
        <v>9</v>
      </c>
      <c r="C142" s="1" t="s">
        <v>14</v>
      </c>
      <c r="D142" s="1" t="s">
        <v>23</v>
      </c>
      <c r="E142" s="1" t="s">
        <v>12</v>
      </c>
      <c r="F142" s="1">
        <v>71</v>
      </c>
      <c r="G142" s="1">
        <v>84</v>
      </c>
      <c r="H142" s="1">
        <v>72</v>
      </c>
      <c r="I142">
        <f t="shared" si="6"/>
        <v>227</v>
      </c>
    </row>
    <row r="143" spans="1:9" ht="13.2" x14ac:dyDescent="0.25">
      <c r="A143" s="1" t="s">
        <v>19</v>
      </c>
      <c r="B143" s="1" t="s">
        <v>13</v>
      </c>
      <c r="C143" s="1" t="s">
        <v>10</v>
      </c>
      <c r="D143" s="1" t="s">
        <v>23</v>
      </c>
      <c r="E143" s="1" t="s">
        <v>12</v>
      </c>
      <c r="F143" s="1">
        <v>48</v>
      </c>
      <c r="G143" s="1">
        <v>50</v>
      </c>
      <c r="H143" s="1">
        <v>45</v>
      </c>
      <c r="I143">
        <f t="shared" si="6"/>
        <v>143</v>
      </c>
    </row>
    <row r="144" spans="1:9" ht="13.2" x14ac:dyDescent="0.25">
      <c r="A144" s="1" t="s">
        <v>19</v>
      </c>
      <c r="B144" s="1" t="s">
        <v>9</v>
      </c>
      <c r="C144" s="1" t="s">
        <v>14</v>
      </c>
      <c r="D144" s="1" t="s">
        <v>11</v>
      </c>
      <c r="E144" s="1" t="s">
        <v>12</v>
      </c>
      <c r="F144" s="1">
        <v>74</v>
      </c>
      <c r="G144" s="1">
        <v>73</v>
      </c>
      <c r="H144" s="1">
        <v>69</v>
      </c>
      <c r="I144">
        <f t="shared" si="6"/>
        <v>216</v>
      </c>
    </row>
    <row r="145" spans="1:9" ht="13.2" x14ac:dyDescent="0.25">
      <c r="A145" s="1" t="s">
        <v>19</v>
      </c>
      <c r="B145" s="1" t="s">
        <v>13</v>
      </c>
      <c r="C145" s="1" t="s">
        <v>10</v>
      </c>
      <c r="D145" s="1" t="s">
        <v>11</v>
      </c>
      <c r="E145" s="1" t="s">
        <v>12</v>
      </c>
      <c r="F145" s="1">
        <v>76</v>
      </c>
      <c r="G145" s="1">
        <v>75</v>
      </c>
      <c r="H145" s="1">
        <v>68</v>
      </c>
      <c r="I145">
        <f t="shared" si="6"/>
        <v>219</v>
      </c>
    </row>
    <row r="146" spans="1:9" ht="13.2" x14ac:dyDescent="0.25">
      <c r="A146" s="1" t="s">
        <v>8</v>
      </c>
      <c r="B146" s="1" t="s">
        <v>13</v>
      </c>
      <c r="C146" s="1" t="s">
        <v>20</v>
      </c>
      <c r="D146" s="1" t="s">
        <v>23</v>
      </c>
      <c r="E146" s="1" t="s">
        <v>17</v>
      </c>
      <c r="F146" s="1">
        <v>70</v>
      </c>
      <c r="G146" s="1">
        <v>70</v>
      </c>
      <c r="H146" s="1">
        <v>83</v>
      </c>
      <c r="I146">
        <f t="shared" si="6"/>
        <v>223</v>
      </c>
    </row>
    <row r="147" spans="1:9" ht="13.2" x14ac:dyDescent="0.25">
      <c r="A147" s="1" t="s">
        <v>19</v>
      </c>
      <c r="B147" s="1" t="s">
        <v>13</v>
      </c>
      <c r="C147" s="1" t="s">
        <v>16</v>
      </c>
      <c r="D147" s="1" t="s">
        <v>23</v>
      </c>
      <c r="E147" s="1" t="s">
        <v>12</v>
      </c>
      <c r="F147" s="1">
        <v>71</v>
      </c>
      <c r="G147" s="1">
        <v>72</v>
      </c>
      <c r="H147" s="1">
        <v>72</v>
      </c>
      <c r="I147">
        <f t="shared" si="6"/>
        <v>215</v>
      </c>
    </row>
    <row r="148" spans="1:9" ht="13.2" x14ac:dyDescent="0.25">
      <c r="A148" s="1" t="s">
        <v>8</v>
      </c>
      <c r="B148" s="1" t="s">
        <v>9</v>
      </c>
      <c r="C148" s="1" t="s">
        <v>10</v>
      </c>
      <c r="D148" s="1" t="s">
        <v>11</v>
      </c>
      <c r="E148" s="1" t="s">
        <v>17</v>
      </c>
      <c r="F148" s="1">
        <v>61</v>
      </c>
      <c r="G148" s="1">
        <v>72</v>
      </c>
      <c r="H148" s="1">
        <v>76</v>
      </c>
      <c r="I148">
        <f t="shared" si="6"/>
        <v>209</v>
      </c>
    </row>
    <row r="149" spans="1:9" ht="13.2" x14ac:dyDescent="0.25">
      <c r="A149" s="1" t="s">
        <v>19</v>
      </c>
      <c r="B149" s="1" t="s">
        <v>21</v>
      </c>
      <c r="C149" s="1" t="s">
        <v>16</v>
      </c>
      <c r="D149" s="1" t="s">
        <v>11</v>
      </c>
      <c r="E149" s="1" t="s">
        <v>12</v>
      </c>
      <c r="F149" s="1">
        <v>89</v>
      </c>
      <c r="G149" s="1">
        <v>86</v>
      </c>
      <c r="H149" s="1">
        <v>77</v>
      </c>
      <c r="I149">
        <f t="shared" si="6"/>
        <v>252</v>
      </c>
    </row>
    <row r="150" spans="1:9" ht="13.2" x14ac:dyDescent="0.25">
      <c r="A150" s="1" t="s">
        <v>8</v>
      </c>
      <c r="B150" s="1" t="s">
        <v>18</v>
      </c>
      <c r="C150" s="1" t="s">
        <v>10</v>
      </c>
      <c r="D150" s="1" t="s">
        <v>23</v>
      </c>
      <c r="E150" s="1" t="s">
        <v>12</v>
      </c>
      <c r="F150" s="1">
        <v>43</v>
      </c>
      <c r="G150" s="1">
        <v>53</v>
      </c>
      <c r="H150" s="1">
        <v>49</v>
      </c>
      <c r="I150">
        <f t="shared" si="6"/>
        <v>145</v>
      </c>
    </row>
    <row r="151" spans="1:9" ht="13.2" x14ac:dyDescent="0.25">
      <c r="A151" s="1" t="s">
        <v>19</v>
      </c>
      <c r="B151" s="1" t="s">
        <v>21</v>
      </c>
      <c r="C151" s="1" t="s">
        <v>24</v>
      </c>
      <c r="D151" s="1" t="s">
        <v>11</v>
      </c>
      <c r="E151" s="1" t="s">
        <v>17</v>
      </c>
      <c r="F151" s="1">
        <v>67</v>
      </c>
      <c r="G151" s="1">
        <v>60</v>
      </c>
      <c r="H151" s="1">
        <v>60</v>
      </c>
      <c r="I151">
        <f t="shared" si="6"/>
        <v>187</v>
      </c>
    </row>
    <row r="152" spans="1:9" ht="13.2" x14ac:dyDescent="0.25">
      <c r="A152" s="1" t="s">
        <v>19</v>
      </c>
      <c r="B152" s="1" t="s">
        <v>21</v>
      </c>
      <c r="C152" s="1" t="s">
        <v>22</v>
      </c>
      <c r="D152" s="1" t="s">
        <v>11</v>
      </c>
      <c r="E152" s="1" t="s">
        <v>12</v>
      </c>
      <c r="F152" s="1">
        <v>58</v>
      </c>
      <c r="G152" s="1">
        <v>67</v>
      </c>
      <c r="H152" s="1">
        <v>56</v>
      </c>
      <c r="I152">
        <f t="shared" si="6"/>
        <v>181</v>
      </c>
    </row>
    <row r="153" spans="1:9" ht="13.2" x14ac:dyDescent="0.25">
      <c r="A153" s="1" t="s">
        <v>19</v>
      </c>
      <c r="B153" s="1" t="s">
        <v>9</v>
      </c>
      <c r="C153" s="1" t="s">
        <v>14</v>
      </c>
      <c r="D153" s="1" t="s">
        <v>23</v>
      </c>
      <c r="E153" s="1" t="s">
        <v>17</v>
      </c>
      <c r="F153" s="1">
        <v>64</v>
      </c>
      <c r="G153" s="1">
        <v>60</v>
      </c>
      <c r="H153" s="1">
        <v>61</v>
      </c>
      <c r="I153">
        <f t="shared" si="6"/>
        <v>185</v>
      </c>
    </row>
    <row r="154" spans="1:9" ht="13.2" x14ac:dyDescent="0.25">
      <c r="A154" s="1" t="s">
        <v>8</v>
      </c>
      <c r="B154" s="1" t="s">
        <v>18</v>
      </c>
      <c r="C154" s="1" t="s">
        <v>10</v>
      </c>
      <c r="D154" s="1" t="s">
        <v>11</v>
      </c>
      <c r="E154" s="1" t="s">
        <v>12</v>
      </c>
      <c r="F154" s="1">
        <v>71</v>
      </c>
      <c r="G154" s="1">
        <v>76</v>
      </c>
      <c r="H154" s="1">
        <v>79</v>
      </c>
      <c r="I154">
        <f t="shared" si="6"/>
        <v>226</v>
      </c>
    </row>
    <row r="155" spans="1:9" ht="13.2" x14ac:dyDescent="0.25">
      <c r="A155" s="1" t="s">
        <v>19</v>
      </c>
      <c r="B155" s="1" t="s">
        <v>18</v>
      </c>
      <c r="C155" s="1" t="s">
        <v>14</v>
      </c>
      <c r="D155" s="1" t="s">
        <v>23</v>
      </c>
      <c r="E155" s="1" t="s">
        <v>17</v>
      </c>
      <c r="F155" s="1">
        <v>42</v>
      </c>
      <c r="G155" s="1">
        <v>54</v>
      </c>
      <c r="H155" s="1">
        <v>50</v>
      </c>
      <c r="I155">
        <f t="shared" si="6"/>
        <v>146</v>
      </c>
    </row>
    <row r="156" spans="1:9" ht="13.2" x14ac:dyDescent="0.25">
      <c r="A156" s="1" t="s">
        <v>19</v>
      </c>
      <c r="B156" s="1" t="s">
        <v>9</v>
      </c>
      <c r="C156" s="1" t="s">
        <v>16</v>
      </c>
      <c r="D156" s="1" t="s">
        <v>11</v>
      </c>
      <c r="E156" s="1" t="s">
        <v>17</v>
      </c>
      <c r="F156" s="1">
        <v>92</v>
      </c>
      <c r="G156" s="1">
        <v>91</v>
      </c>
      <c r="H156" s="1">
        <v>92</v>
      </c>
      <c r="I156">
        <f t="shared" si="6"/>
        <v>275</v>
      </c>
    </row>
    <row r="157" spans="1:9" ht="13.2" x14ac:dyDescent="0.25">
      <c r="A157" s="1" t="s">
        <v>19</v>
      </c>
      <c r="B157" s="1" t="s">
        <v>9</v>
      </c>
      <c r="C157" s="1" t="s">
        <v>16</v>
      </c>
      <c r="D157" s="1" t="s">
        <v>11</v>
      </c>
      <c r="E157" s="1" t="s">
        <v>12</v>
      </c>
      <c r="F157" s="1">
        <v>72</v>
      </c>
      <c r="G157" s="1">
        <v>72</v>
      </c>
      <c r="H157" s="1">
        <v>65</v>
      </c>
      <c r="I157">
        <f t="shared" si="6"/>
        <v>209</v>
      </c>
    </row>
    <row r="158" spans="1:9" ht="13.2" x14ac:dyDescent="0.25">
      <c r="A158" s="1" t="s">
        <v>8</v>
      </c>
      <c r="B158" s="1" t="s">
        <v>18</v>
      </c>
      <c r="C158" s="1" t="s">
        <v>20</v>
      </c>
      <c r="D158" s="1" t="s">
        <v>23</v>
      </c>
      <c r="E158" s="1" t="s">
        <v>17</v>
      </c>
      <c r="F158" s="1">
        <v>47</v>
      </c>
      <c r="G158" s="1">
        <v>60</v>
      </c>
      <c r="H158" s="1">
        <v>54</v>
      </c>
      <c r="I158">
        <f t="shared" si="6"/>
        <v>161</v>
      </c>
    </row>
    <row r="159" spans="1:9" ht="13.2" x14ac:dyDescent="0.25">
      <c r="A159" s="1" t="s">
        <v>8</v>
      </c>
      <c r="B159" s="1" t="s">
        <v>21</v>
      </c>
      <c r="C159" s="1" t="s">
        <v>14</v>
      </c>
      <c r="D159" s="1" t="s">
        <v>23</v>
      </c>
      <c r="E159" s="1" t="s">
        <v>12</v>
      </c>
      <c r="F159" s="1">
        <v>63</v>
      </c>
      <c r="G159" s="1">
        <v>59</v>
      </c>
      <c r="H159" s="1">
        <v>59</v>
      </c>
      <c r="I159">
        <f t="shared" si="6"/>
        <v>181</v>
      </c>
    </row>
    <row r="160" spans="1:9" ht="13.2" x14ac:dyDescent="0.25">
      <c r="A160" s="1" t="s">
        <v>19</v>
      </c>
      <c r="B160" s="1" t="s">
        <v>9</v>
      </c>
      <c r="C160" s="1" t="s">
        <v>16</v>
      </c>
      <c r="D160" s="1" t="s">
        <v>23</v>
      </c>
      <c r="E160" s="1" t="s">
        <v>12</v>
      </c>
      <c r="F160" s="1">
        <v>35</v>
      </c>
      <c r="G160" s="1">
        <v>37</v>
      </c>
      <c r="H160" s="1">
        <v>41</v>
      </c>
      <c r="I160">
        <f t="shared" si="6"/>
        <v>113</v>
      </c>
    </row>
    <row r="161" spans="1:9" ht="13.2" x14ac:dyDescent="0.25">
      <c r="A161" s="1" t="s">
        <v>19</v>
      </c>
      <c r="B161" s="1" t="s">
        <v>18</v>
      </c>
      <c r="C161" s="1" t="s">
        <v>14</v>
      </c>
      <c r="D161" s="1" t="s">
        <v>11</v>
      </c>
      <c r="E161" s="1" t="s">
        <v>12</v>
      </c>
      <c r="F161" s="1">
        <v>79</v>
      </c>
      <c r="G161" s="1">
        <v>66</v>
      </c>
      <c r="H161" s="1">
        <v>65</v>
      </c>
      <c r="I161">
        <f t="shared" si="6"/>
        <v>210</v>
      </c>
    </row>
    <row r="162" spans="1:9" ht="13.2" x14ac:dyDescent="0.25">
      <c r="A162" s="1" t="s">
        <v>19</v>
      </c>
      <c r="B162" s="1" t="s">
        <v>15</v>
      </c>
      <c r="C162" s="1" t="s">
        <v>14</v>
      </c>
      <c r="D162" s="1" t="s">
        <v>11</v>
      </c>
      <c r="E162" s="1" t="s">
        <v>12</v>
      </c>
      <c r="F162" s="1">
        <v>70</v>
      </c>
      <c r="G162" s="1">
        <v>68</v>
      </c>
      <c r="H162" s="1">
        <v>60</v>
      </c>
      <c r="I162">
        <f t="shared" si="6"/>
        <v>198</v>
      </c>
    </row>
    <row r="163" spans="1:9" ht="13.2" x14ac:dyDescent="0.25">
      <c r="A163" s="1" t="s">
        <v>8</v>
      </c>
      <c r="B163" s="1" t="s">
        <v>13</v>
      </c>
      <c r="C163" s="1" t="s">
        <v>20</v>
      </c>
      <c r="D163" s="1" t="s">
        <v>11</v>
      </c>
      <c r="E163" s="1" t="s">
        <v>12</v>
      </c>
      <c r="F163" s="1">
        <v>71</v>
      </c>
      <c r="G163" s="1">
        <v>73</v>
      </c>
      <c r="H163" s="1">
        <v>76</v>
      </c>
      <c r="I163">
        <f t="shared" si="6"/>
        <v>220</v>
      </c>
    </row>
    <row r="164" spans="1:9" ht="13.2" x14ac:dyDescent="0.25">
      <c r="A164" s="1" t="s">
        <v>8</v>
      </c>
      <c r="B164" s="1" t="s">
        <v>15</v>
      </c>
      <c r="C164" s="1" t="s">
        <v>16</v>
      </c>
      <c r="D164" s="1" t="s">
        <v>11</v>
      </c>
      <c r="E164" s="1" t="s">
        <v>12</v>
      </c>
      <c r="F164" s="1">
        <v>85</v>
      </c>
      <c r="G164" s="1">
        <v>90</v>
      </c>
      <c r="H164" s="1">
        <v>85</v>
      </c>
      <c r="I164">
        <f t="shared" si="6"/>
        <v>260</v>
      </c>
    </row>
    <row r="165" spans="1:9" ht="13.2" x14ac:dyDescent="0.25">
      <c r="A165" s="1" t="s">
        <v>8</v>
      </c>
      <c r="B165" s="1" t="s">
        <v>13</v>
      </c>
      <c r="C165" s="1" t="s">
        <v>10</v>
      </c>
      <c r="D165" s="1" t="s">
        <v>11</v>
      </c>
      <c r="E165" s="1" t="s">
        <v>17</v>
      </c>
      <c r="F165" s="1">
        <v>65</v>
      </c>
      <c r="G165" s="1">
        <v>71</v>
      </c>
      <c r="H165" s="1">
        <v>77</v>
      </c>
      <c r="I165">
        <f t="shared" si="6"/>
        <v>213</v>
      </c>
    </row>
    <row r="166" spans="1:9" ht="13.2" x14ac:dyDescent="0.25">
      <c r="A166" s="1" t="s">
        <v>19</v>
      </c>
      <c r="B166" s="1" t="s">
        <v>13</v>
      </c>
      <c r="C166" s="1" t="s">
        <v>14</v>
      </c>
      <c r="D166" s="1" t="s">
        <v>11</v>
      </c>
      <c r="E166" s="1" t="s">
        <v>12</v>
      </c>
      <c r="F166" s="1">
        <v>61</v>
      </c>
      <c r="G166" s="1">
        <v>57</v>
      </c>
      <c r="H166" s="1">
        <v>45</v>
      </c>
      <c r="I166">
        <f t="shared" si="6"/>
        <v>163</v>
      </c>
    </row>
    <row r="167" spans="1:9" ht="13.2" x14ac:dyDescent="0.25">
      <c r="A167" s="1" t="s">
        <v>8</v>
      </c>
      <c r="B167" s="1" t="s">
        <v>18</v>
      </c>
      <c r="C167" s="1" t="s">
        <v>14</v>
      </c>
      <c r="D167" s="1" t="s">
        <v>11</v>
      </c>
      <c r="E167" s="1" t="s">
        <v>12</v>
      </c>
      <c r="F167" s="1">
        <v>40</v>
      </c>
      <c r="G167" s="1">
        <v>48</v>
      </c>
      <c r="H167" s="1">
        <v>48</v>
      </c>
      <c r="I167">
        <f t="shared" si="6"/>
        <v>136</v>
      </c>
    </row>
    <row r="168" spans="1:9" ht="13.2" x14ac:dyDescent="0.25">
      <c r="A168" s="1" t="s">
        <v>19</v>
      </c>
      <c r="B168" s="1" t="s">
        <v>13</v>
      </c>
      <c r="C168" s="1" t="s">
        <v>14</v>
      </c>
      <c r="D168" s="1" t="s">
        <v>11</v>
      </c>
      <c r="E168" s="1" t="s">
        <v>17</v>
      </c>
      <c r="F168" s="1">
        <v>65</v>
      </c>
      <c r="G168" s="1">
        <v>64</v>
      </c>
      <c r="H168" s="1">
        <v>65</v>
      </c>
      <c r="I168">
        <f t="shared" si="6"/>
        <v>194</v>
      </c>
    </row>
    <row r="169" spans="1:9" ht="13.2" x14ac:dyDescent="0.25">
      <c r="A169" s="1" t="s">
        <v>8</v>
      </c>
      <c r="B169" s="1" t="s">
        <v>9</v>
      </c>
      <c r="C169" s="1" t="s">
        <v>24</v>
      </c>
      <c r="D169" s="1" t="s">
        <v>11</v>
      </c>
      <c r="E169" s="1" t="s">
        <v>12</v>
      </c>
      <c r="F169" s="1">
        <v>62</v>
      </c>
      <c r="G169" s="1">
        <v>77</v>
      </c>
      <c r="H169" s="1">
        <v>72</v>
      </c>
      <c r="I169">
        <f t="shared" si="6"/>
        <v>211</v>
      </c>
    </row>
    <row r="170" spans="1:9" ht="13.2" x14ac:dyDescent="0.25">
      <c r="A170" s="1" t="s">
        <v>8</v>
      </c>
      <c r="B170" s="1" t="s">
        <v>9</v>
      </c>
      <c r="C170" s="1" t="s">
        <v>20</v>
      </c>
      <c r="D170" s="1" t="s">
        <v>11</v>
      </c>
      <c r="E170" s="1" t="s">
        <v>12</v>
      </c>
      <c r="F170" s="1">
        <v>65</v>
      </c>
      <c r="G170" s="1">
        <v>63</v>
      </c>
      <c r="H170" s="1">
        <v>68</v>
      </c>
      <c r="I170">
        <f t="shared" si="6"/>
        <v>196</v>
      </c>
    </row>
    <row r="171" spans="1:9" ht="13.2" x14ac:dyDescent="0.25">
      <c r="A171" s="1" t="s">
        <v>8</v>
      </c>
      <c r="B171" s="1" t="s">
        <v>18</v>
      </c>
      <c r="C171" s="1" t="s">
        <v>10</v>
      </c>
      <c r="D171" s="1" t="s">
        <v>11</v>
      </c>
      <c r="E171" s="1" t="s">
        <v>12</v>
      </c>
      <c r="F171" s="1">
        <v>63</v>
      </c>
      <c r="G171" s="1">
        <v>67</v>
      </c>
      <c r="H171" s="1">
        <v>57</v>
      </c>
      <c r="I171">
        <f t="shared" si="6"/>
        <v>187</v>
      </c>
    </row>
    <row r="172" spans="1:9" ht="13.2" x14ac:dyDescent="0.25">
      <c r="A172" s="1" t="s">
        <v>8</v>
      </c>
      <c r="B172" s="1" t="s">
        <v>21</v>
      </c>
      <c r="C172" s="1" t="s">
        <v>10</v>
      </c>
      <c r="D172" s="1" t="s">
        <v>11</v>
      </c>
      <c r="E172" s="1" t="s">
        <v>12</v>
      </c>
      <c r="F172" s="1">
        <v>72</v>
      </c>
      <c r="G172" s="1">
        <v>77</v>
      </c>
      <c r="H172" s="1">
        <v>74</v>
      </c>
      <c r="I172">
        <f t="shared" si="6"/>
        <v>223</v>
      </c>
    </row>
    <row r="173" spans="1:9" ht="13.2" x14ac:dyDescent="0.25">
      <c r="A173" s="1" t="s">
        <v>19</v>
      </c>
      <c r="B173" s="1" t="s">
        <v>13</v>
      </c>
      <c r="C173" s="1" t="s">
        <v>16</v>
      </c>
      <c r="D173" s="1" t="s">
        <v>23</v>
      </c>
      <c r="E173" s="1" t="s">
        <v>12</v>
      </c>
      <c r="F173" s="1">
        <v>58</v>
      </c>
      <c r="G173" s="1">
        <v>59</v>
      </c>
      <c r="H173" s="1">
        <v>54</v>
      </c>
      <c r="I173">
        <f t="shared" si="6"/>
        <v>171</v>
      </c>
    </row>
    <row r="174" spans="1:9" ht="13.2" x14ac:dyDescent="0.25">
      <c r="A174" s="1" t="s">
        <v>8</v>
      </c>
      <c r="B174" s="1" t="s">
        <v>9</v>
      </c>
      <c r="C174" s="1" t="s">
        <v>14</v>
      </c>
      <c r="D174" s="1" t="s">
        <v>11</v>
      </c>
      <c r="E174" s="1" t="s">
        <v>17</v>
      </c>
      <c r="F174" s="1">
        <v>53</v>
      </c>
      <c r="G174" s="1">
        <v>70</v>
      </c>
      <c r="H174" s="1">
        <v>64</v>
      </c>
      <c r="I174">
        <f t="shared" si="6"/>
        <v>187</v>
      </c>
    </row>
    <row r="175" spans="1:9" ht="13.2" x14ac:dyDescent="0.25">
      <c r="A175" s="1" t="s">
        <v>8</v>
      </c>
      <c r="B175" s="1" t="s">
        <v>13</v>
      </c>
      <c r="C175" s="1" t="s">
        <v>22</v>
      </c>
      <c r="D175" s="1" t="s">
        <v>11</v>
      </c>
      <c r="E175" s="1" t="s">
        <v>12</v>
      </c>
      <c r="F175" s="1">
        <v>51</v>
      </c>
      <c r="G175" s="1">
        <v>63</v>
      </c>
      <c r="H175" s="1">
        <v>59</v>
      </c>
      <c r="I175">
        <f t="shared" si="6"/>
        <v>173</v>
      </c>
    </row>
    <row r="176" spans="1:9" ht="13.2" x14ac:dyDescent="0.25">
      <c r="A176" s="1" t="s">
        <v>8</v>
      </c>
      <c r="B176" s="1" t="s">
        <v>18</v>
      </c>
      <c r="C176" s="1" t="s">
        <v>14</v>
      </c>
      <c r="D176" s="1" t="s">
        <v>11</v>
      </c>
      <c r="E176" s="1" t="s">
        <v>12</v>
      </c>
      <c r="F176" s="1">
        <v>74</v>
      </c>
      <c r="G176" s="1">
        <v>83</v>
      </c>
      <c r="H176" s="1">
        <v>82</v>
      </c>
      <c r="I176">
        <f t="shared" si="6"/>
        <v>239</v>
      </c>
    </row>
    <row r="177" spans="1:9" ht="13.2" x14ac:dyDescent="0.25">
      <c r="A177" s="1" t="s">
        <v>8</v>
      </c>
      <c r="B177" s="1" t="s">
        <v>13</v>
      </c>
      <c r="C177" s="1" t="s">
        <v>22</v>
      </c>
      <c r="D177" s="1" t="s">
        <v>23</v>
      </c>
      <c r="E177" s="1" t="s">
        <v>17</v>
      </c>
      <c r="F177" s="1">
        <v>54</v>
      </c>
      <c r="G177" s="1">
        <v>74</v>
      </c>
      <c r="H177" s="1">
        <v>68</v>
      </c>
      <c r="I177">
        <f t="shared" si="6"/>
        <v>196</v>
      </c>
    </row>
    <row r="178" spans="1:9" ht="13.2" x14ac:dyDescent="0.25">
      <c r="A178" s="1" t="s">
        <v>8</v>
      </c>
      <c r="B178" s="1" t="s">
        <v>13</v>
      </c>
      <c r="C178" s="1" t="s">
        <v>24</v>
      </c>
      <c r="D178" s="1" t="s">
        <v>11</v>
      </c>
      <c r="E178" s="1" t="s">
        <v>12</v>
      </c>
      <c r="F178" s="1">
        <v>67</v>
      </c>
      <c r="G178" s="1">
        <v>79</v>
      </c>
      <c r="H178" s="1">
        <v>74</v>
      </c>
      <c r="I178">
        <f t="shared" si="6"/>
        <v>220</v>
      </c>
    </row>
    <row r="179" spans="1:9" ht="13.2" x14ac:dyDescent="0.25">
      <c r="A179" s="1" t="s">
        <v>8</v>
      </c>
      <c r="B179" s="1" t="s">
        <v>18</v>
      </c>
      <c r="C179" s="1" t="s">
        <v>14</v>
      </c>
      <c r="D179" s="1" t="s">
        <v>11</v>
      </c>
      <c r="E179" s="1" t="s">
        <v>12</v>
      </c>
      <c r="F179" s="1">
        <v>73</v>
      </c>
      <c r="G179" s="1">
        <v>87</v>
      </c>
      <c r="H179" s="1">
        <v>88</v>
      </c>
      <c r="I179">
        <f t="shared" si="6"/>
        <v>248</v>
      </c>
    </row>
    <row r="180" spans="1:9" ht="13.2" x14ac:dyDescent="0.25">
      <c r="A180" s="1" t="s">
        <v>8</v>
      </c>
      <c r="B180" s="1" t="s">
        <v>13</v>
      </c>
      <c r="C180" s="1" t="s">
        <v>14</v>
      </c>
      <c r="D180" s="1" t="s">
        <v>11</v>
      </c>
      <c r="E180" s="1" t="s">
        <v>12</v>
      </c>
      <c r="F180" s="1">
        <v>76</v>
      </c>
      <c r="G180" s="1">
        <v>93</v>
      </c>
      <c r="H180" s="1">
        <v>91</v>
      </c>
      <c r="I180">
        <f t="shared" si="6"/>
        <v>260</v>
      </c>
    </row>
    <row r="181" spans="1:9" ht="13.2" x14ac:dyDescent="0.25">
      <c r="A181" s="1" t="s">
        <v>8</v>
      </c>
      <c r="B181" s="1" t="s">
        <v>18</v>
      </c>
      <c r="C181" s="1" t="s">
        <v>10</v>
      </c>
      <c r="D181" s="1" t="s">
        <v>23</v>
      </c>
      <c r="E181" s="1" t="s">
        <v>12</v>
      </c>
      <c r="F181" s="1">
        <v>42</v>
      </c>
      <c r="G181" s="1">
        <v>49</v>
      </c>
      <c r="H181" s="1">
        <v>54</v>
      </c>
      <c r="I181">
        <f t="shared" si="6"/>
        <v>145</v>
      </c>
    </row>
    <row r="182" spans="1:9" ht="13.2" x14ac:dyDescent="0.25">
      <c r="A182" s="1" t="s">
        <v>8</v>
      </c>
      <c r="B182" s="1" t="s">
        <v>18</v>
      </c>
      <c r="C182" s="1" t="s">
        <v>20</v>
      </c>
      <c r="D182" s="1" t="s">
        <v>11</v>
      </c>
      <c r="E182" s="1" t="s">
        <v>12</v>
      </c>
      <c r="F182" s="1">
        <v>56</v>
      </c>
      <c r="G182" s="1">
        <v>55</v>
      </c>
      <c r="H182" s="1">
        <v>59</v>
      </c>
      <c r="I182">
        <f t="shared" si="6"/>
        <v>170</v>
      </c>
    </row>
    <row r="183" spans="1:9" ht="13.2" x14ac:dyDescent="0.25">
      <c r="A183" s="1" t="s">
        <v>19</v>
      </c>
      <c r="B183" s="1" t="s">
        <v>15</v>
      </c>
      <c r="C183" s="1" t="s">
        <v>22</v>
      </c>
      <c r="D183" s="1" t="s">
        <v>11</v>
      </c>
      <c r="E183" s="1" t="s">
        <v>17</v>
      </c>
      <c r="F183" s="1">
        <v>87</v>
      </c>
      <c r="G183" s="1">
        <v>80</v>
      </c>
      <c r="H183" s="1">
        <v>84</v>
      </c>
      <c r="I183">
        <f t="shared" si="6"/>
        <v>251</v>
      </c>
    </row>
    <row r="184" spans="1:9" ht="13.2" x14ac:dyDescent="0.25">
      <c r="A184" s="1" t="s">
        <v>19</v>
      </c>
      <c r="B184" s="1" t="s">
        <v>21</v>
      </c>
      <c r="C184" s="1" t="s">
        <v>16</v>
      </c>
      <c r="D184" s="1" t="s">
        <v>23</v>
      </c>
      <c r="E184" s="1" t="s">
        <v>12</v>
      </c>
      <c r="F184" s="1">
        <v>72</v>
      </c>
      <c r="G184" s="1">
        <v>69</v>
      </c>
      <c r="H184" s="1">
        <v>64</v>
      </c>
      <c r="I184">
        <f t="shared" si="6"/>
        <v>205</v>
      </c>
    </row>
    <row r="185" spans="1:9" ht="13.2" x14ac:dyDescent="0.25">
      <c r="A185" s="1" t="s">
        <v>19</v>
      </c>
      <c r="B185" s="1" t="s">
        <v>18</v>
      </c>
      <c r="C185" s="1" t="s">
        <v>14</v>
      </c>
      <c r="D185" s="1" t="s">
        <v>11</v>
      </c>
      <c r="E185" s="1" t="s">
        <v>12</v>
      </c>
      <c r="F185" s="1">
        <v>81</v>
      </c>
      <c r="G185" s="1">
        <v>87</v>
      </c>
      <c r="H185" s="1">
        <v>72</v>
      </c>
      <c r="I185">
        <f t="shared" si="6"/>
        <v>240</v>
      </c>
    </row>
    <row r="186" spans="1:9" ht="13.2" x14ac:dyDescent="0.25">
      <c r="A186" s="1" t="s">
        <v>19</v>
      </c>
      <c r="B186" s="1" t="s">
        <v>13</v>
      </c>
      <c r="C186" s="1" t="s">
        <v>20</v>
      </c>
      <c r="D186" s="1" t="s">
        <v>23</v>
      </c>
      <c r="E186" s="1" t="s">
        <v>17</v>
      </c>
      <c r="F186" s="1">
        <v>91</v>
      </c>
      <c r="G186" s="1">
        <v>91</v>
      </c>
      <c r="H186" s="1">
        <v>97</v>
      </c>
      <c r="I186">
        <f t="shared" si="6"/>
        <v>279</v>
      </c>
    </row>
    <row r="187" spans="1:9" ht="13.2" x14ac:dyDescent="0.25">
      <c r="A187" s="1" t="s">
        <v>19</v>
      </c>
      <c r="B187" s="1" t="s">
        <v>13</v>
      </c>
      <c r="C187" s="1" t="s">
        <v>14</v>
      </c>
      <c r="D187" s="1" t="s">
        <v>11</v>
      </c>
      <c r="E187" s="1" t="s">
        <v>12</v>
      </c>
      <c r="F187" s="1">
        <v>83</v>
      </c>
      <c r="G187" s="1">
        <v>76</v>
      </c>
      <c r="H187" s="1">
        <v>79</v>
      </c>
      <c r="I187">
        <f t="shared" si="6"/>
        <v>238</v>
      </c>
    </row>
    <row r="188" spans="1:9" ht="13.2" x14ac:dyDescent="0.25">
      <c r="A188" s="1" t="s">
        <v>19</v>
      </c>
      <c r="B188" s="1" t="s">
        <v>21</v>
      </c>
      <c r="C188" s="1" t="s">
        <v>16</v>
      </c>
      <c r="D188" s="1" t="s">
        <v>23</v>
      </c>
      <c r="E188" s="1" t="s">
        <v>12</v>
      </c>
      <c r="F188" s="1">
        <v>79</v>
      </c>
      <c r="G188" s="1">
        <v>71</v>
      </c>
      <c r="H188" s="1">
        <v>72</v>
      </c>
      <c r="I188">
        <f t="shared" si="6"/>
        <v>222</v>
      </c>
    </row>
    <row r="189" spans="1:9" ht="13.2" x14ac:dyDescent="0.25">
      <c r="A189" s="1" t="s">
        <v>8</v>
      </c>
      <c r="B189" s="1" t="s">
        <v>9</v>
      </c>
      <c r="C189" s="1" t="s">
        <v>14</v>
      </c>
      <c r="D189" s="1" t="s">
        <v>11</v>
      </c>
      <c r="E189" s="1" t="s">
        <v>12</v>
      </c>
      <c r="F189" s="1">
        <v>58</v>
      </c>
      <c r="G189" s="1">
        <v>59</v>
      </c>
      <c r="H189" s="1">
        <v>57</v>
      </c>
      <c r="I189">
        <f t="shared" si="6"/>
        <v>174</v>
      </c>
    </row>
    <row r="190" spans="1:9" ht="13.2" x14ac:dyDescent="0.25">
      <c r="A190" s="1" t="s">
        <v>19</v>
      </c>
      <c r="B190" s="1" t="s">
        <v>9</v>
      </c>
      <c r="C190" s="1" t="s">
        <v>14</v>
      </c>
      <c r="D190" s="1" t="s">
        <v>23</v>
      </c>
      <c r="E190" s="1" t="s">
        <v>17</v>
      </c>
      <c r="F190" s="1">
        <v>82</v>
      </c>
      <c r="G190" s="1">
        <v>83</v>
      </c>
      <c r="H190" s="1">
        <v>84</v>
      </c>
      <c r="I190">
        <f t="shared" si="6"/>
        <v>249</v>
      </c>
    </row>
    <row r="191" spans="1:9" ht="13.2" x14ac:dyDescent="0.25">
      <c r="A191" s="1" t="s">
        <v>8</v>
      </c>
      <c r="B191" s="1" t="s">
        <v>18</v>
      </c>
      <c r="C191" s="1" t="s">
        <v>14</v>
      </c>
      <c r="D191" s="1" t="s">
        <v>23</v>
      </c>
      <c r="E191" s="1" t="s">
        <v>12</v>
      </c>
      <c r="F191" s="1">
        <v>57</v>
      </c>
      <c r="G191" s="1">
        <v>70</v>
      </c>
      <c r="H191" s="1">
        <v>68</v>
      </c>
      <c r="I191">
        <f t="shared" si="6"/>
        <v>195</v>
      </c>
    </row>
    <row r="192" spans="1:9" ht="13.2" x14ac:dyDescent="0.25">
      <c r="A192" s="1" t="s">
        <v>19</v>
      </c>
      <c r="B192" s="1" t="s">
        <v>13</v>
      </c>
      <c r="C192" s="1" t="s">
        <v>22</v>
      </c>
      <c r="D192" s="1" t="s">
        <v>11</v>
      </c>
      <c r="E192" s="1" t="s">
        <v>17</v>
      </c>
      <c r="F192" s="1">
        <v>60</v>
      </c>
      <c r="G192" s="1">
        <v>53</v>
      </c>
      <c r="H192" s="1">
        <v>52</v>
      </c>
      <c r="I192">
        <f t="shared" si="6"/>
        <v>165</v>
      </c>
    </row>
    <row r="193" spans="1:9" ht="13.2" x14ac:dyDescent="0.25">
      <c r="A193" s="1" t="s">
        <v>8</v>
      </c>
      <c r="B193" s="1" t="s">
        <v>13</v>
      </c>
      <c r="C193" s="1" t="s">
        <v>10</v>
      </c>
      <c r="D193" s="1" t="s">
        <v>11</v>
      </c>
      <c r="E193" s="1" t="s">
        <v>12</v>
      </c>
      <c r="F193" s="1">
        <v>56</v>
      </c>
      <c r="G193" s="1">
        <v>62</v>
      </c>
      <c r="H193" s="1">
        <v>64</v>
      </c>
      <c r="I193">
        <f t="shared" si="6"/>
        <v>182</v>
      </c>
    </row>
    <row r="194" spans="1:9" ht="13.2" x14ac:dyDescent="0.25">
      <c r="A194" s="1" t="s">
        <v>8</v>
      </c>
      <c r="B194" s="1" t="s">
        <v>18</v>
      </c>
      <c r="C194" s="1" t="s">
        <v>16</v>
      </c>
      <c r="D194" s="1" t="s">
        <v>11</v>
      </c>
      <c r="E194" s="1" t="s">
        <v>17</v>
      </c>
      <c r="F194" s="1">
        <v>68</v>
      </c>
      <c r="G194" s="1">
        <v>88</v>
      </c>
      <c r="H194" s="1">
        <v>87</v>
      </c>
      <c r="I194">
        <f t="shared" si="6"/>
        <v>243</v>
      </c>
    </row>
    <row r="195" spans="1:9" ht="13.2" x14ac:dyDescent="0.25">
      <c r="A195" s="1" t="s">
        <v>8</v>
      </c>
      <c r="B195" s="1" t="s">
        <v>18</v>
      </c>
      <c r="C195" s="1" t="s">
        <v>10</v>
      </c>
      <c r="D195" s="1" t="s">
        <v>23</v>
      </c>
      <c r="E195" s="1" t="s">
        <v>12</v>
      </c>
      <c r="F195" s="1">
        <v>28</v>
      </c>
      <c r="G195" s="1">
        <v>47</v>
      </c>
      <c r="H195" s="1">
        <v>44</v>
      </c>
      <c r="I195">
        <f t="shared" ref="I195:I258" si="7">SUM(F195:H195)</f>
        <v>119</v>
      </c>
    </row>
    <row r="196" spans="1:9" ht="13.2" x14ac:dyDescent="0.25">
      <c r="A196" s="1" t="s">
        <v>8</v>
      </c>
      <c r="B196" s="1" t="s">
        <v>21</v>
      </c>
      <c r="C196" s="1" t="s">
        <v>22</v>
      </c>
      <c r="D196" s="1" t="s">
        <v>23</v>
      </c>
      <c r="E196" s="1" t="s">
        <v>12</v>
      </c>
      <c r="F196" s="1">
        <v>75</v>
      </c>
      <c r="G196" s="1">
        <v>89</v>
      </c>
      <c r="H196" s="1">
        <v>82</v>
      </c>
      <c r="I196">
        <f t="shared" si="7"/>
        <v>246</v>
      </c>
    </row>
    <row r="197" spans="1:9" ht="13.2" x14ac:dyDescent="0.25">
      <c r="A197" s="1" t="s">
        <v>8</v>
      </c>
      <c r="B197" s="1" t="s">
        <v>21</v>
      </c>
      <c r="C197" s="1" t="s">
        <v>22</v>
      </c>
      <c r="D197" s="1" t="s">
        <v>11</v>
      </c>
      <c r="E197" s="1" t="s">
        <v>12</v>
      </c>
      <c r="F197" s="1">
        <v>60</v>
      </c>
      <c r="G197" s="1">
        <v>69</v>
      </c>
      <c r="H197" s="1">
        <v>67</v>
      </c>
      <c r="I197">
        <f t="shared" si="7"/>
        <v>196</v>
      </c>
    </row>
    <row r="198" spans="1:9" ht="13.2" x14ac:dyDescent="0.25">
      <c r="A198" s="1" t="s">
        <v>19</v>
      </c>
      <c r="B198" s="1" t="s">
        <v>21</v>
      </c>
      <c r="C198" s="1" t="s">
        <v>14</v>
      </c>
      <c r="D198" s="1" t="s">
        <v>23</v>
      </c>
      <c r="E198" s="1" t="s">
        <v>12</v>
      </c>
      <c r="F198" s="1">
        <v>70</v>
      </c>
      <c r="G198" s="1">
        <v>62</v>
      </c>
      <c r="H198" s="1">
        <v>60</v>
      </c>
      <c r="I198">
        <f t="shared" si="7"/>
        <v>192</v>
      </c>
    </row>
    <row r="199" spans="1:9" ht="13.2" x14ac:dyDescent="0.25">
      <c r="A199" s="1" t="s">
        <v>19</v>
      </c>
      <c r="B199" s="1" t="s">
        <v>18</v>
      </c>
      <c r="C199" s="1" t="s">
        <v>16</v>
      </c>
      <c r="D199" s="1" t="s">
        <v>11</v>
      </c>
      <c r="E199" s="1" t="s">
        <v>12</v>
      </c>
      <c r="F199" s="1">
        <v>79</v>
      </c>
      <c r="G199" s="1">
        <v>69</v>
      </c>
      <c r="H199" s="1">
        <v>72</v>
      </c>
      <c r="I199">
        <f t="shared" si="7"/>
        <v>220</v>
      </c>
    </row>
    <row r="200" spans="1:9" ht="13.2" x14ac:dyDescent="0.25">
      <c r="A200" s="1" t="s">
        <v>19</v>
      </c>
      <c r="B200" s="1" t="s">
        <v>21</v>
      </c>
      <c r="C200" s="1" t="s">
        <v>20</v>
      </c>
      <c r="D200" s="1" t="s">
        <v>11</v>
      </c>
      <c r="E200" s="1" t="s">
        <v>12</v>
      </c>
      <c r="F200" s="1">
        <v>83</v>
      </c>
      <c r="G200" s="1">
        <v>78</v>
      </c>
      <c r="H200" s="1">
        <v>74</v>
      </c>
      <c r="I200">
        <f t="shared" si="7"/>
        <v>235</v>
      </c>
    </row>
    <row r="201" spans="1:9" ht="13.2" x14ac:dyDescent="0.25">
      <c r="A201" s="1" t="s">
        <v>8</v>
      </c>
      <c r="B201" s="1" t="s">
        <v>9</v>
      </c>
      <c r="C201" s="1" t="s">
        <v>14</v>
      </c>
      <c r="D201" s="1" t="s">
        <v>11</v>
      </c>
      <c r="E201" s="1" t="s">
        <v>12</v>
      </c>
      <c r="F201" s="1">
        <v>70</v>
      </c>
      <c r="G201" s="1">
        <v>81</v>
      </c>
      <c r="H201" s="1">
        <v>75</v>
      </c>
      <c r="I201">
        <f t="shared" si="7"/>
        <v>226</v>
      </c>
    </row>
    <row r="202" spans="1:9" ht="13.2" x14ac:dyDescent="0.25">
      <c r="A202" s="1" t="s">
        <v>19</v>
      </c>
      <c r="B202" s="1" t="s">
        <v>13</v>
      </c>
      <c r="C202" s="1" t="s">
        <v>10</v>
      </c>
      <c r="D202" s="1" t="s">
        <v>11</v>
      </c>
      <c r="E202" s="1" t="s">
        <v>12</v>
      </c>
      <c r="F202" s="1">
        <v>57</v>
      </c>
      <c r="G202" s="1">
        <v>47</v>
      </c>
      <c r="H202" s="1">
        <v>41</v>
      </c>
      <c r="I202">
        <f t="shared" si="7"/>
        <v>145</v>
      </c>
    </row>
    <row r="203" spans="1:9" ht="13.2" x14ac:dyDescent="0.25">
      <c r="A203" s="1" t="s">
        <v>8</v>
      </c>
      <c r="B203" s="1" t="s">
        <v>9</v>
      </c>
      <c r="C203" s="1" t="s">
        <v>16</v>
      </c>
      <c r="D203" s="1" t="s">
        <v>11</v>
      </c>
      <c r="E203" s="1" t="s">
        <v>12</v>
      </c>
      <c r="F203" s="1">
        <v>65</v>
      </c>
      <c r="G203" s="1">
        <v>71</v>
      </c>
      <c r="H203" s="1">
        <v>67</v>
      </c>
      <c r="I203">
        <f t="shared" si="7"/>
        <v>203</v>
      </c>
    </row>
    <row r="204" spans="1:9" ht="13.2" x14ac:dyDescent="0.25">
      <c r="A204" s="1" t="s">
        <v>19</v>
      </c>
      <c r="B204" s="1" t="s">
        <v>18</v>
      </c>
      <c r="C204" s="1" t="s">
        <v>22</v>
      </c>
      <c r="D204" s="1" t="s">
        <v>11</v>
      </c>
      <c r="E204" s="1" t="s">
        <v>12</v>
      </c>
      <c r="F204" s="1">
        <v>87</v>
      </c>
      <c r="G204" s="1">
        <v>73</v>
      </c>
      <c r="H204" s="1">
        <v>73</v>
      </c>
      <c r="I204">
        <f t="shared" si="7"/>
        <v>233</v>
      </c>
    </row>
    <row r="205" spans="1:9" ht="13.2" x14ac:dyDescent="0.25">
      <c r="A205" s="1" t="s">
        <v>8</v>
      </c>
      <c r="B205" s="1" t="s">
        <v>9</v>
      </c>
      <c r="C205" s="1" t="s">
        <v>16</v>
      </c>
      <c r="D205" s="1" t="s">
        <v>23</v>
      </c>
      <c r="E205" s="1" t="s">
        <v>12</v>
      </c>
      <c r="F205" s="1">
        <v>76</v>
      </c>
      <c r="G205" s="1">
        <v>86</v>
      </c>
      <c r="H205" s="1">
        <v>82</v>
      </c>
      <c r="I205">
        <f t="shared" si="7"/>
        <v>244</v>
      </c>
    </row>
    <row r="206" spans="1:9" ht="13.2" x14ac:dyDescent="0.25">
      <c r="A206" s="1" t="s">
        <v>8</v>
      </c>
      <c r="B206" s="1" t="s">
        <v>9</v>
      </c>
      <c r="C206" s="1" t="s">
        <v>24</v>
      </c>
      <c r="D206" s="1" t="s">
        <v>11</v>
      </c>
      <c r="E206" s="1" t="s">
        <v>17</v>
      </c>
      <c r="F206" s="1">
        <v>100</v>
      </c>
      <c r="G206" s="1">
        <v>100</v>
      </c>
      <c r="H206" s="1">
        <v>100</v>
      </c>
      <c r="I206">
        <f t="shared" si="7"/>
        <v>300</v>
      </c>
    </row>
    <row r="207" spans="1:9" ht="13.2" x14ac:dyDescent="0.25">
      <c r="A207" s="1" t="s">
        <v>19</v>
      </c>
      <c r="B207" s="1" t="s">
        <v>13</v>
      </c>
      <c r="C207" s="1" t="s">
        <v>14</v>
      </c>
      <c r="D207" s="1" t="s">
        <v>23</v>
      </c>
      <c r="E207" s="1" t="s">
        <v>17</v>
      </c>
      <c r="F207" s="1">
        <v>81</v>
      </c>
      <c r="G207" s="1">
        <v>86</v>
      </c>
      <c r="H207" s="1">
        <v>82</v>
      </c>
      <c r="I207">
        <f t="shared" si="7"/>
        <v>249</v>
      </c>
    </row>
    <row r="208" spans="1:9" ht="13.2" x14ac:dyDescent="0.25">
      <c r="A208" s="1" t="s">
        <v>19</v>
      </c>
      <c r="B208" s="1" t="s">
        <v>15</v>
      </c>
      <c r="C208" s="1" t="s">
        <v>16</v>
      </c>
      <c r="D208" s="1" t="s">
        <v>11</v>
      </c>
      <c r="E208" s="1" t="s">
        <v>17</v>
      </c>
      <c r="F208" s="1">
        <v>82</v>
      </c>
      <c r="G208" s="1">
        <v>75</v>
      </c>
      <c r="H208" s="1">
        <v>79</v>
      </c>
      <c r="I208">
        <f t="shared" si="7"/>
        <v>236</v>
      </c>
    </row>
    <row r="209" spans="1:9" ht="13.2" x14ac:dyDescent="0.25">
      <c r="A209" s="1" t="s">
        <v>8</v>
      </c>
      <c r="B209" s="1" t="s">
        <v>18</v>
      </c>
      <c r="C209" s="1" t="s">
        <v>10</v>
      </c>
      <c r="D209" s="1" t="s">
        <v>23</v>
      </c>
      <c r="E209" s="1" t="s">
        <v>12</v>
      </c>
      <c r="F209" s="1">
        <v>36</v>
      </c>
      <c r="G209" s="1">
        <v>52</v>
      </c>
      <c r="H209" s="1">
        <v>43</v>
      </c>
      <c r="I209">
        <f t="shared" si="7"/>
        <v>131</v>
      </c>
    </row>
    <row r="210" spans="1:9" ht="13.2" x14ac:dyDescent="0.25">
      <c r="A210" s="1" t="s">
        <v>19</v>
      </c>
      <c r="B210" s="1" t="s">
        <v>13</v>
      </c>
      <c r="C210" s="1" t="s">
        <v>10</v>
      </c>
      <c r="D210" s="1" t="s">
        <v>11</v>
      </c>
      <c r="E210" s="1" t="s">
        <v>17</v>
      </c>
      <c r="F210" s="1">
        <v>43</v>
      </c>
      <c r="G210" s="1">
        <v>48</v>
      </c>
      <c r="H210" s="1">
        <v>48</v>
      </c>
      <c r="I210">
        <f t="shared" si="7"/>
        <v>139</v>
      </c>
    </row>
    <row r="211" spans="1:9" ht="13.2" x14ac:dyDescent="0.25">
      <c r="A211" s="1" t="s">
        <v>8</v>
      </c>
      <c r="B211" s="1" t="s">
        <v>13</v>
      </c>
      <c r="C211" s="1" t="s">
        <v>10</v>
      </c>
      <c r="D211" s="1" t="s">
        <v>11</v>
      </c>
      <c r="E211" s="1" t="s">
        <v>17</v>
      </c>
      <c r="F211" s="1">
        <v>75</v>
      </c>
      <c r="G211" s="1">
        <v>71</v>
      </c>
      <c r="H211" s="1">
        <v>77</v>
      </c>
      <c r="I211">
        <f t="shared" si="7"/>
        <v>223</v>
      </c>
    </row>
    <row r="212" spans="1:9" ht="13.2" x14ac:dyDescent="0.25">
      <c r="A212" s="1" t="s">
        <v>8</v>
      </c>
      <c r="B212" s="1" t="s">
        <v>18</v>
      </c>
      <c r="C212" s="1" t="s">
        <v>16</v>
      </c>
      <c r="D212" s="1" t="s">
        <v>11</v>
      </c>
      <c r="E212" s="1" t="s">
        <v>12</v>
      </c>
      <c r="F212" s="1">
        <v>73</v>
      </c>
      <c r="G212" s="1">
        <v>74</v>
      </c>
      <c r="H212" s="1">
        <v>79</v>
      </c>
      <c r="I212">
        <f t="shared" si="7"/>
        <v>226</v>
      </c>
    </row>
    <row r="213" spans="1:9" ht="13.2" x14ac:dyDescent="0.25">
      <c r="A213" s="1" t="s">
        <v>19</v>
      </c>
      <c r="B213" s="1" t="s">
        <v>18</v>
      </c>
      <c r="C213" s="1" t="s">
        <v>22</v>
      </c>
      <c r="D213" s="1" t="s">
        <v>11</v>
      </c>
      <c r="E213" s="1" t="s">
        <v>12</v>
      </c>
      <c r="F213" s="1">
        <v>86</v>
      </c>
      <c r="G213" s="1">
        <v>71</v>
      </c>
      <c r="H213" s="1">
        <v>76</v>
      </c>
      <c r="I213">
        <f t="shared" si="7"/>
        <v>233</v>
      </c>
    </row>
    <row r="214" spans="1:9" ht="13.2" x14ac:dyDescent="0.25">
      <c r="A214" s="1" t="s">
        <v>19</v>
      </c>
      <c r="B214" s="1" t="s">
        <v>9</v>
      </c>
      <c r="C214" s="1" t="s">
        <v>20</v>
      </c>
      <c r="D214" s="1" t="s">
        <v>11</v>
      </c>
      <c r="E214" s="1" t="s">
        <v>12</v>
      </c>
      <c r="F214" s="1">
        <v>70</v>
      </c>
      <c r="G214" s="1">
        <v>68</v>
      </c>
      <c r="H214" s="1">
        <v>61</v>
      </c>
      <c r="I214">
        <f t="shared" si="7"/>
        <v>199</v>
      </c>
    </row>
    <row r="215" spans="1:9" ht="13.2" x14ac:dyDescent="0.25">
      <c r="A215" s="1" t="s">
        <v>19</v>
      </c>
      <c r="B215" s="1" t="s">
        <v>18</v>
      </c>
      <c r="C215" s="1" t="s">
        <v>24</v>
      </c>
      <c r="D215" s="1" t="s">
        <v>11</v>
      </c>
      <c r="E215" s="1" t="s">
        <v>12</v>
      </c>
      <c r="F215" s="1">
        <v>64</v>
      </c>
      <c r="G215" s="1">
        <v>62</v>
      </c>
      <c r="H215" s="1">
        <v>64</v>
      </c>
      <c r="I215">
        <f t="shared" si="7"/>
        <v>190</v>
      </c>
    </row>
    <row r="216" spans="1:9" ht="13.2" x14ac:dyDescent="0.25">
      <c r="A216" s="1" t="s">
        <v>19</v>
      </c>
      <c r="B216" s="1" t="s">
        <v>18</v>
      </c>
      <c r="C216" s="1" t="s">
        <v>22</v>
      </c>
      <c r="D216" s="1" t="s">
        <v>11</v>
      </c>
      <c r="E216" s="1" t="s">
        <v>17</v>
      </c>
      <c r="F216" s="1">
        <v>80</v>
      </c>
      <c r="G216" s="1">
        <v>85</v>
      </c>
      <c r="H216" s="1">
        <v>88</v>
      </c>
      <c r="I216">
        <f t="shared" si="7"/>
        <v>253</v>
      </c>
    </row>
    <row r="217" spans="1:9" ht="13.2" x14ac:dyDescent="0.25">
      <c r="A217" s="1" t="s">
        <v>8</v>
      </c>
      <c r="B217" s="1" t="s">
        <v>18</v>
      </c>
      <c r="C217" s="1" t="s">
        <v>10</v>
      </c>
      <c r="D217" s="1" t="s">
        <v>23</v>
      </c>
      <c r="E217" s="1" t="s">
        <v>17</v>
      </c>
      <c r="F217" s="1">
        <v>36</v>
      </c>
      <c r="G217" s="1">
        <v>43</v>
      </c>
      <c r="H217" s="1">
        <v>47</v>
      </c>
      <c r="I217">
        <f t="shared" si="7"/>
        <v>126</v>
      </c>
    </row>
    <row r="218" spans="1:9" ht="13.2" x14ac:dyDescent="0.25">
      <c r="A218" s="1" t="s">
        <v>8</v>
      </c>
      <c r="B218" s="1" t="s">
        <v>13</v>
      </c>
      <c r="C218" s="1" t="s">
        <v>14</v>
      </c>
      <c r="D218" s="1" t="s">
        <v>11</v>
      </c>
      <c r="E218" s="1" t="s">
        <v>17</v>
      </c>
      <c r="F218" s="1">
        <v>86</v>
      </c>
      <c r="G218" s="1">
        <v>100</v>
      </c>
      <c r="H218" s="1">
        <v>97</v>
      </c>
      <c r="I218">
        <f t="shared" si="7"/>
        <v>283</v>
      </c>
    </row>
    <row r="219" spans="1:9" ht="13.2" x14ac:dyDescent="0.25">
      <c r="A219" s="1" t="s">
        <v>19</v>
      </c>
      <c r="B219" s="1" t="s">
        <v>21</v>
      </c>
      <c r="C219" s="1" t="s">
        <v>16</v>
      </c>
      <c r="D219" s="1" t="s">
        <v>11</v>
      </c>
      <c r="E219" s="1" t="s">
        <v>12</v>
      </c>
      <c r="F219" s="1">
        <v>56</v>
      </c>
      <c r="G219" s="1">
        <v>49</v>
      </c>
      <c r="H219" s="1">
        <v>51</v>
      </c>
      <c r="I219">
        <f t="shared" si="7"/>
        <v>156</v>
      </c>
    </row>
    <row r="220" spans="1:9" ht="13.2" x14ac:dyDescent="0.25">
      <c r="A220" s="1" t="s">
        <v>8</v>
      </c>
      <c r="B220" s="1" t="s">
        <v>13</v>
      </c>
      <c r="C220" s="1" t="s">
        <v>16</v>
      </c>
      <c r="D220" s="1" t="s">
        <v>23</v>
      </c>
      <c r="E220" s="1" t="s">
        <v>12</v>
      </c>
      <c r="F220" s="1">
        <v>77</v>
      </c>
      <c r="G220" s="1">
        <v>85</v>
      </c>
      <c r="H220" s="1">
        <v>91</v>
      </c>
      <c r="I220">
        <f t="shared" si="7"/>
        <v>253</v>
      </c>
    </row>
    <row r="221" spans="1:9" ht="13.2" x14ac:dyDescent="0.25">
      <c r="A221" s="1" t="s">
        <v>8</v>
      </c>
      <c r="B221" s="1" t="s">
        <v>9</v>
      </c>
      <c r="C221" s="1" t="s">
        <v>14</v>
      </c>
      <c r="D221" s="1" t="s">
        <v>23</v>
      </c>
      <c r="E221" s="1" t="s">
        <v>12</v>
      </c>
      <c r="F221" s="1">
        <v>38</v>
      </c>
      <c r="G221" s="1">
        <v>54</v>
      </c>
      <c r="H221" s="1">
        <v>49</v>
      </c>
      <c r="I221">
        <f t="shared" si="7"/>
        <v>141</v>
      </c>
    </row>
    <row r="222" spans="1:9" ht="13.2" x14ac:dyDescent="0.25">
      <c r="A222" s="1" t="s">
        <v>8</v>
      </c>
      <c r="B222" s="1" t="s">
        <v>15</v>
      </c>
      <c r="C222" s="1" t="s">
        <v>14</v>
      </c>
      <c r="D222" s="1" t="s">
        <v>11</v>
      </c>
      <c r="E222" s="1" t="s">
        <v>12</v>
      </c>
      <c r="F222" s="1">
        <v>53</v>
      </c>
      <c r="G222" s="1">
        <v>50</v>
      </c>
      <c r="H222" s="1">
        <v>51</v>
      </c>
      <c r="I222">
        <f t="shared" si="7"/>
        <v>154</v>
      </c>
    </row>
    <row r="223" spans="1:9" ht="13.2" x14ac:dyDescent="0.25">
      <c r="A223" s="1" t="s">
        <v>19</v>
      </c>
      <c r="B223" s="1" t="s">
        <v>21</v>
      </c>
      <c r="C223" s="1" t="s">
        <v>10</v>
      </c>
      <c r="D223" s="1" t="s">
        <v>23</v>
      </c>
      <c r="E223" s="1" t="s">
        <v>12</v>
      </c>
      <c r="F223" s="1">
        <v>53</v>
      </c>
      <c r="G223" s="1">
        <v>56</v>
      </c>
      <c r="H223" s="1">
        <v>48</v>
      </c>
      <c r="I223">
        <f t="shared" si="7"/>
        <v>157</v>
      </c>
    </row>
    <row r="224" spans="1:9" ht="13.2" x14ac:dyDescent="0.25">
      <c r="A224" s="1" t="s">
        <v>19</v>
      </c>
      <c r="B224" s="1" t="s">
        <v>18</v>
      </c>
      <c r="C224" s="1" t="s">
        <v>16</v>
      </c>
      <c r="D224" s="1" t="s">
        <v>11</v>
      </c>
      <c r="E224" s="1" t="s">
        <v>12</v>
      </c>
      <c r="F224" s="1">
        <v>69</v>
      </c>
      <c r="G224" s="1">
        <v>58</v>
      </c>
      <c r="H224" s="1">
        <v>62</v>
      </c>
      <c r="I224">
        <f t="shared" si="7"/>
        <v>189</v>
      </c>
    </row>
    <row r="225" spans="1:9" ht="13.2" x14ac:dyDescent="0.25">
      <c r="A225" s="1" t="s">
        <v>8</v>
      </c>
      <c r="B225" s="1" t="s">
        <v>18</v>
      </c>
      <c r="C225" s="1" t="s">
        <v>22</v>
      </c>
      <c r="D225" s="1" t="s">
        <v>11</v>
      </c>
      <c r="E225" s="1" t="s">
        <v>17</v>
      </c>
      <c r="F225" s="1">
        <v>55</v>
      </c>
      <c r="G225" s="1">
        <v>64</v>
      </c>
      <c r="H225" s="1">
        <v>64</v>
      </c>
      <c r="I225">
        <f t="shared" si="7"/>
        <v>183</v>
      </c>
    </row>
    <row r="226" spans="1:9" ht="13.2" x14ac:dyDescent="0.25">
      <c r="A226" s="1" t="s">
        <v>19</v>
      </c>
      <c r="B226" s="1" t="s">
        <v>18</v>
      </c>
      <c r="C226" s="1" t="s">
        <v>10</v>
      </c>
      <c r="D226" s="1" t="s">
        <v>11</v>
      </c>
      <c r="E226" s="1" t="s">
        <v>12</v>
      </c>
      <c r="F226" s="1">
        <v>53</v>
      </c>
      <c r="G226" s="1">
        <v>50</v>
      </c>
      <c r="H226" s="1">
        <v>41</v>
      </c>
      <c r="I226">
        <f t="shared" si="7"/>
        <v>144</v>
      </c>
    </row>
    <row r="227" spans="1:9" ht="13.2" x14ac:dyDescent="0.25">
      <c r="A227" s="1" t="s">
        <v>19</v>
      </c>
      <c r="B227" s="1" t="s">
        <v>21</v>
      </c>
      <c r="C227" s="1" t="s">
        <v>10</v>
      </c>
      <c r="D227" s="1" t="s">
        <v>11</v>
      </c>
      <c r="E227" s="1" t="s">
        <v>17</v>
      </c>
      <c r="F227" s="1">
        <v>61</v>
      </c>
      <c r="G227" s="1">
        <v>53</v>
      </c>
      <c r="H227" s="1">
        <v>48</v>
      </c>
      <c r="I227">
        <f t="shared" si="7"/>
        <v>162</v>
      </c>
    </row>
    <row r="228" spans="1:9" ht="13.2" x14ac:dyDescent="0.25">
      <c r="A228" s="1" t="s">
        <v>8</v>
      </c>
      <c r="B228" s="1" t="s">
        <v>9</v>
      </c>
      <c r="C228" s="1" t="s">
        <v>16</v>
      </c>
      <c r="D228" s="1" t="s">
        <v>11</v>
      </c>
      <c r="E228" s="1" t="s">
        <v>12</v>
      </c>
      <c r="F228" s="1">
        <v>44</v>
      </c>
      <c r="G228" s="1">
        <v>50</v>
      </c>
      <c r="H228" s="1">
        <v>44</v>
      </c>
      <c r="I228">
        <f t="shared" si="7"/>
        <v>138</v>
      </c>
    </row>
    <row r="229" spans="1:9" ht="13.2" x14ac:dyDescent="0.25">
      <c r="A229" s="1" t="s">
        <v>19</v>
      </c>
      <c r="B229" s="1" t="s">
        <v>21</v>
      </c>
      <c r="C229" s="1" t="s">
        <v>14</v>
      </c>
      <c r="D229" s="1" t="s">
        <v>23</v>
      </c>
      <c r="E229" s="1" t="s">
        <v>12</v>
      </c>
      <c r="F229" s="1">
        <v>49</v>
      </c>
      <c r="G229" s="1">
        <v>59</v>
      </c>
      <c r="H229" s="1">
        <v>46</v>
      </c>
      <c r="I229">
        <f t="shared" si="7"/>
        <v>154</v>
      </c>
    </row>
    <row r="230" spans="1:9" ht="13.2" x14ac:dyDescent="0.25">
      <c r="A230" s="1" t="s">
        <v>19</v>
      </c>
      <c r="B230" s="1" t="s">
        <v>9</v>
      </c>
      <c r="C230" s="1" t="s">
        <v>10</v>
      </c>
      <c r="D230" s="1" t="s">
        <v>11</v>
      </c>
      <c r="E230" s="1" t="s">
        <v>12</v>
      </c>
      <c r="F230" s="1">
        <v>60</v>
      </c>
      <c r="G230" s="1">
        <v>59</v>
      </c>
      <c r="H230" s="1">
        <v>55</v>
      </c>
      <c r="I230">
        <f t="shared" si="7"/>
        <v>174</v>
      </c>
    </row>
    <row r="231" spans="1:9" ht="13.2" x14ac:dyDescent="0.25">
      <c r="A231" s="1" t="s">
        <v>8</v>
      </c>
      <c r="B231" s="1" t="s">
        <v>9</v>
      </c>
      <c r="C231" s="1" t="s">
        <v>14</v>
      </c>
      <c r="D231" s="1" t="s">
        <v>11</v>
      </c>
      <c r="E231" s="1" t="s">
        <v>17</v>
      </c>
      <c r="F231" s="1">
        <v>59</v>
      </c>
      <c r="G231" s="1">
        <v>63</v>
      </c>
      <c r="H231" s="1">
        <v>71</v>
      </c>
      <c r="I231">
        <f t="shared" si="7"/>
        <v>193</v>
      </c>
    </row>
    <row r="232" spans="1:9" ht="13.2" x14ac:dyDescent="0.25">
      <c r="A232" s="1" t="s">
        <v>19</v>
      </c>
      <c r="B232" s="1" t="s">
        <v>18</v>
      </c>
      <c r="C232" s="1" t="s">
        <v>16</v>
      </c>
      <c r="D232" s="1" t="s">
        <v>11</v>
      </c>
      <c r="E232" s="1" t="s">
        <v>17</v>
      </c>
      <c r="F232" s="1">
        <v>68</v>
      </c>
      <c r="G232" s="1">
        <v>66</v>
      </c>
      <c r="H232" s="1">
        <v>65</v>
      </c>
      <c r="I232">
        <f t="shared" si="7"/>
        <v>199</v>
      </c>
    </row>
    <row r="233" spans="1:9" ht="13.2" x14ac:dyDescent="0.25">
      <c r="A233" s="1" t="s">
        <v>8</v>
      </c>
      <c r="B233" s="1" t="s">
        <v>21</v>
      </c>
      <c r="C233" s="1" t="s">
        <v>20</v>
      </c>
      <c r="D233" s="1" t="s">
        <v>11</v>
      </c>
      <c r="E233" s="1" t="s">
        <v>17</v>
      </c>
      <c r="F233" s="1">
        <v>93</v>
      </c>
      <c r="G233" s="1">
        <v>94</v>
      </c>
      <c r="H233" s="1">
        <v>97</v>
      </c>
      <c r="I233">
        <f t="shared" si="7"/>
        <v>284</v>
      </c>
    </row>
    <row r="234" spans="1:9" ht="13.2" x14ac:dyDescent="0.25">
      <c r="A234" s="1" t="s">
        <v>19</v>
      </c>
      <c r="B234" s="1" t="s">
        <v>13</v>
      </c>
      <c r="C234" s="1" t="s">
        <v>14</v>
      </c>
      <c r="D234" s="1" t="s">
        <v>23</v>
      </c>
      <c r="E234" s="1" t="s">
        <v>12</v>
      </c>
      <c r="F234" s="1">
        <v>61</v>
      </c>
      <c r="G234" s="1">
        <v>67</v>
      </c>
      <c r="H234" s="1">
        <v>60</v>
      </c>
      <c r="I234">
        <f t="shared" si="7"/>
        <v>188</v>
      </c>
    </row>
    <row r="235" spans="1:9" ht="13.2" x14ac:dyDescent="0.25">
      <c r="A235" s="1" t="s">
        <v>8</v>
      </c>
      <c r="B235" s="1" t="s">
        <v>9</v>
      </c>
      <c r="C235" s="1" t="s">
        <v>14</v>
      </c>
      <c r="D235" s="1" t="s">
        <v>11</v>
      </c>
      <c r="E235" s="1" t="s">
        <v>12</v>
      </c>
      <c r="F235" s="1">
        <v>71</v>
      </c>
      <c r="G235" s="1">
        <v>72</v>
      </c>
      <c r="H235" s="1">
        <v>78</v>
      </c>
      <c r="I235">
        <f t="shared" si="7"/>
        <v>221</v>
      </c>
    </row>
    <row r="236" spans="1:9" ht="13.2" x14ac:dyDescent="0.25">
      <c r="A236" s="1" t="s">
        <v>19</v>
      </c>
      <c r="B236" s="1" t="s">
        <v>9</v>
      </c>
      <c r="C236" s="1" t="s">
        <v>22</v>
      </c>
      <c r="D236" s="1" t="s">
        <v>11</v>
      </c>
      <c r="E236" s="1" t="s">
        <v>12</v>
      </c>
      <c r="F236" s="1">
        <v>61</v>
      </c>
      <c r="G236" s="1">
        <v>55</v>
      </c>
      <c r="H236" s="1">
        <v>54</v>
      </c>
      <c r="I236">
        <f t="shared" si="7"/>
        <v>170</v>
      </c>
    </row>
    <row r="237" spans="1:9" ht="13.2" x14ac:dyDescent="0.25">
      <c r="A237" s="1" t="s">
        <v>8</v>
      </c>
      <c r="B237" s="1" t="s">
        <v>18</v>
      </c>
      <c r="C237" s="1" t="s">
        <v>20</v>
      </c>
      <c r="D237" s="1" t="s">
        <v>23</v>
      </c>
      <c r="E237" s="1" t="s">
        <v>12</v>
      </c>
      <c r="F237" s="1">
        <v>45</v>
      </c>
      <c r="G237" s="1">
        <v>55</v>
      </c>
      <c r="H237" s="1">
        <v>58</v>
      </c>
      <c r="I237">
        <f t="shared" si="7"/>
        <v>158</v>
      </c>
    </row>
    <row r="238" spans="1:9" ht="13.2" x14ac:dyDescent="0.25">
      <c r="A238" s="1" t="s">
        <v>8</v>
      </c>
      <c r="B238" s="1" t="s">
        <v>18</v>
      </c>
      <c r="C238" s="1" t="s">
        <v>14</v>
      </c>
      <c r="D238" s="1" t="s">
        <v>23</v>
      </c>
      <c r="E238" s="1" t="s">
        <v>12</v>
      </c>
      <c r="F238" s="1">
        <v>41</v>
      </c>
      <c r="G238" s="1">
        <v>55</v>
      </c>
      <c r="H238" s="1">
        <v>46</v>
      </c>
      <c r="I238">
        <f t="shared" si="7"/>
        <v>142</v>
      </c>
    </row>
    <row r="239" spans="1:9" ht="13.2" x14ac:dyDescent="0.25">
      <c r="A239" s="1" t="s">
        <v>19</v>
      </c>
      <c r="B239" s="1" t="s">
        <v>9</v>
      </c>
      <c r="C239" s="1" t="s">
        <v>22</v>
      </c>
      <c r="D239" s="1" t="s">
        <v>11</v>
      </c>
      <c r="E239" s="1" t="s">
        <v>12</v>
      </c>
      <c r="F239" s="1">
        <v>47</v>
      </c>
      <c r="G239" s="1">
        <v>41</v>
      </c>
      <c r="H239" s="1">
        <v>36</v>
      </c>
      <c r="I239">
        <f t="shared" si="7"/>
        <v>124</v>
      </c>
    </row>
    <row r="240" spans="1:9" ht="13.2" x14ac:dyDescent="0.25">
      <c r="A240" s="1" t="s">
        <v>8</v>
      </c>
      <c r="B240" s="1" t="s">
        <v>13</v>
      </c>
      <c r="C240" s="1" t="s">
        <v>16</v>
      </c>
      <c r="D240" s="1" t="s">
        <v>11</v>
      </c>
      <c r="E240" s="1" t="s">
        <v>12</v>
      </c>
      <c r="F240" s="1">
        <v>54</v>
      </c>
      <c r="G240" s="1">
        <v>53</v>
      </c>
      <c r="H240" s="1">
        <v>51</v>
      </c>
      <c r="I240">
        <f t="shared" si="7"/>
        <v>158</v>
      </c>
    </row>
    <row r="241" spans="1:9" ht="13.2" x14ac:dyDescent="0.25">
      <c r="A241" s="1" t="s">
        <v>19</v>
      </c>
      <c r="B241" s="1" t="s">
        <v>15</v>
      </c>
      <c r="C241" s="1" t="s">
        <v>14</v>
      </c>
      <c r="D241" s="1" t="s">
        <v>11</v>
      </c>
      <c r="E241" s="1" t="s">
        <v>12</v>
      </c>
      <c r="F241" s="1">
        <v>64</v>
      </c>
      <c r="G241" s="1">
        <v>63</v>
      </c>
      <c r="H241" s="1">
        <v>55</v>
      </c>
      <c r="I241">
        <f t="shared" si="7"/>
        <v>182</v>
      </c>
    </row>
    <row r="242" spans="1:9" ht="13.2" x14ac:dyDescent="0.25">
      <c r="A242" s="1" t="s">
        <v>19</v>
      </c>
      <c r="B242" s="1" t="s">
        <v>15</v>
      </c>
      <c r="C242" s="1" t="s">
        <v>22</v>
      </c>
      <c r="D242" s="1" t="s">
        <v>11</v>
      </c>
      <c r="E242" s="1" t="s">
        <v>12</v>
      </c>
      <c r="F242" s="1">
        <v>60</v>
      </c>
      <c r="G242" s="1">
        <v>54</v>
      </c>
      <c r="H242" s="1">
        <v>53</v>
      </c>
      <c r="I242">
        <f t="shared" si="7"/>
        <v>167</v>
      </c>
    </row>
    <row r="243" spans="1:9" ht="13.2" x14ac:dyDescent="0.25">
      <c r="A243" s="1" t="s">
        <v>19</v>
      </c>
      <c r="B243" s="1" t="s">
        <v>13</v>
      </c>
      <c r="C243" s="1" t="s">
        <v>14</v>
      </c>
      <c r="D243" s="1" t="s">
        <v>11</v>
      </c>
      <c r="E243" s="1" t="s">
        <v>12</v>
      </c>
      <c r="F243" s="1">
        <v>72</v>
      </c>
      <c r="G243" s="1">
        <v>70</v>
      </c>
      <c r="H243" s="1">
        <v>63</v>
      </c>
      <c r="I243">
        <f t="shared" si="7"/>
        <v>205</v>
      </c>
    </row>
    <row r="244" spans="1:9" ht="13.2" x14ac:dyDescent="0.25">
      <c r="A244" s="1" t="s">
        <v>8</v>
      </c>
      <c r="B244" s="1" t="s">
        <v>13</v>
      </c>
      <c r="C244" s="1" t="s">
        <v>16</v>
      </c>
      <c r="D244" s="1" t="s">
        <v>11</v>
      </c>
      <c r="E244" s="1" t="s">
        <v>12</v>
      </c>
      <c r="F244" s="1">
        <v>61</v>
      </c>
      <c r="G244" s="1">
        <v>65</v>
      </c>
      <c r="H244" s="1">
        <v>68</v>
      </c>
      <c r="I244">
        <f t="shared" si="7"/>
        <v>194</v>
      </c>
    </row>
    <row r="245" spans="1:9" ht="13.2" x14ac:dyDescent="0.25">
      <c r="A245" s="1" t="s">
        <v>8</v>
      </c>
      <c r="B245" s="1" t="s">
        <v>18</v>
      </c>
      <c r="C245" s="1" t="s">
        <v>14</v>
      </c>
      <c r="D245" s="1" t="s">
        <v>23</v>
      </c>
      <c r="E245" s="1" t="s">
        <v>12</v>
      </c>
      <c r="F245" s="1">
        <v>35</v>
      </c>
      <c r="G245" s="1">
        <v>48</v>
      </c>
      <c r="H245" s="1">
        <v>51</v>
      </c>
      <c r="I245">
        <f t="shared" si="7"/>
        <v>134</v>
      </c>
    </row>
    <row r="246" spans="1:9" ht="13.2" x14ac:dyDescent="0.25">
      <c r="A246" s="1" t="s">
        <v>19</v>
      </c>
      <c r="B246" s="1" t="s">
        <v>15</v>
      </c>
      <c r="C246" s="1" t="s">
        <v>24</v>
      </c>
      <c r="D246" s="1" t="s">
        <v>11</v>
      </c>
      <c r="E246" s="1" t="s">
        <v>12</v>
      </c>
      <c r="F246" s="1">
        <v>82</v>
      </c>
      <c r="G246" s="1">
        <v>84</v>
      </c>
      <c r="H246" s="1">
        <v>83</v>
      </c>
      <c r="I246">
        <f t="shared" si="7"/>
        <v>249</v>
      </c>
    </row>
    <row r="247" spans="1:9" ht="13.2" x14ac:dyDescent="0.25">
      <c r="A247" s="1" t="s">
        <v>8</v>
      </c>
      <c r="B247" s="1" t="s">
        <v>18</v>
      </c>
      <c r="C247" s="1" t="s">
        <v>16</v>
      </c>
      <c r="D247" s="1" t="s">
        <v>11</v>
      </c>
      <c r="E247" s="1" t="s">
        <v>12</v>
      </c>
      <c r="F247" s="1">
        <v>67</v>
      </c>
      <c r="G247" s="1">
        <v>83</v>
      </c>
      <c r="H247" s="1">
        <v>80</v>
      </c>
      <c r="I247">
        <f t="shared" si="7"/>
        <v>230</v>
      </c>
    </row>
    <row r="248" spans="1:9" ht="13.2" x14ac:dyDescent="0.25">
      <c r="A248" s="1" t="s">
        <v>19</v>
      </c>
      <c r="B248" s="1" t="s">
        <v>13</v>
      </c>
      <c r="C248" s="1" t="s">
        <v>22</v>
      </c>
      <c r="D248" s="1" t="s">
        <v>11</v>
      </c>
      <c r="E248" s="1" t="s">
        <v>17</v>
      </c>
      <c r="F248" s="1">
        <v>76</v>
      </c>
      <c r="G248" s="1">
        <v>72</v>
      </c>
      <c r="H248" s="1">
        <v>73</v>
      </c>
      <c r="I248">
        <f t="shared" si="7"/>
        <v>221</v>
      </c>
    </row>
    <row r="249" spans="1:9" ht="13.2" x14ac:dyDescent="0.25">
      <c r="A249" s="1" t="s">
        <v>8</v>
      </c>
      <c r="B249" s="1" t="s">
        <v>18</v>
      </c>
      <c r="C249" s="1" t="s">
        <v>16</v>
      </c>
      <c r="D249" s="1" t="s">
        <v>23</v>
      </c>
      <c r="E249" s="1" t="s">
        <v>12</v>
      </c>
      <c r="F249" s="1">
        <v>46</v>
      </c>
      <c r="G249" s="1">
        <v>62</v>
      </c>
      <c r="H249" s="1">
        <v>63</v>
      </c>
      <c r="I249">
        <f t="shared" si="7"/>
        <v>171</v>
      </c>
    </row>
    <row r="250" spans="1:9" ht="13.2" x14ac:dyDescent="0.25">
      <c r="A250" s="1" t="s">
        <v>19</v>
      </c>
      <c r="B250" s="1" t="s">
        <v>9</v>
      </c>
      <c r="C250" s="1" t="s">
        <v>10</v>
      </c>
      <c r="D250" s="1" t="s">
        <v>23</v>
      </c>
      <c r="E250" s="1" t="s">
        <v>17</v>
      </c>
      <c r="F250" s="1">
        <v>64</v>
      </c>
      <c r="G250" s="1">
        <v>65</v>
      </c>
      <c r="H250" s="1">
        <v>63</v>
      </c>
      <c r="I250">
        <f t="shared" si="7"/>
        <v>192</v>
      </c>
    </row>
    <row r="251" spans="1:9" ht="13.2" x14ac:dyDescent="0.25">
      <c r="A251" s="1" t="s">
        <v>8</v>
      </c>
      <c r="B251" s="1" t="s">
        <v>9</v>
      </c>
      <c r="C251" s="1" t="s">
        <v>20</v>
      </c>
      <c r="D251" s="1" t="s">
        <v>23</v>
      </c>
      <c r="E251" s="1" t="s">
        <v>17</v>
      </c>
      <c r="F251" s="1">
        <v>32</v>
      </c>
      <c r="G251" s="1">
        <v>55</v>
      </c>
      <c r="H251" s="1">
        <v>54</v>
      </c>
      <c r="I251">
        <f t="shared" si="7"/>
        <v>141</v>
      </c>
    </row>
    <row r="252" spans="1:9" ht="13.2" x14ac:dyDescent="0.25">
      <c r="A252" s="1" t="s">
        <v>19</v>
      </c>
      <c r="B252" s="1" t="s">
        <v>13</v>
      </c>
      <c r="C252" s="1" t="s">
        <v>10</v>
      </c>
      <c r="D252" s="1" t="s">
        <v>11</v>
      </c>
      <c r="E252" s="1" t="s">
        <v>12</v>
      </c>
      <c r="F252" s="1">
        <v>56</v>
      </c>
      <c r="G252" s="1">
        <v>50</v>
      </c>
      <c r="H252" s="1">
        <v>50</v>
      </c>
      <c r="I252">
        <f t="shared" si="7"/>
        <v>156</v>
      </c>
    </row>
    <row r="253" spans="1:9" ht="13.2" x14ac:dyDescent="0.25">
      <c r="A253" s="1" t="s">
        <v>19</v>
      </c>
      <c r="B253" s="1" t="s">
        <v>9</v>
      </c>
      <c r="C253" s="1" t="s">
        <v>16</v>
      </c>
      <c r="D253" s="1" t="s">
        <v>11</v>
      </c>
      <c r="E253" s="1" t="s">
        <v>12</v>
      </c>
      <c r="F253" s="1">
        <v>100</v>
      </c>
      <c r="G253" s="1">
        <v>79</v>
      </c>
      <c r="H253" s="1">
        <v>77</v>
      </c>
      <c r="I253">
        <f t="shared" si="7"/>
        <v>256</v>
      </c>
    </row>
    <row r="254" spans="1:9" ht="13.2" x14ac:dyDescent="0.25">
      <c r="A254" s="1" t="s">
        <v>19</v>
      </c>
      <c r="B254" s="1" t="s">
        <v>18</v>
      </c>
      <c r="C254" s="1" t="s">
        <v>20</v>
      </c>
      <c r="D254" s="1" t="s">
        <v>11</v>
      </c>
      <c r="E254" s="1" t="s">
        <v>12</v>
      </c>
      <c r="F254" s="1">
        <v>52</v>
      </c>
      <c r="G254" s="1">
        <v>53</v>
      </c>
      <c r="H254" s="1">
        <v>54</v>
      </c>
      <c r="I254">
        <f t="shared" si="7"/>
        <v>159</v>
      </c>
    </row>
    <row r="255" spans="1:9" ht="13.2" x14ac:dyDescent="0.25">
      <c r="A255" s="1" t="s">
        <v>8</v>
      </c>
      <c r="B255" s="1" t="s">
        <v>21</v>
      </c>
      <c r="C255" s="1" t="s">
        <v>10</v>
      </c>
      <c r="D255" s="1" t="s">
        <v>11</v>
      </c>
      <c r="E255" s="1" t="s">
        <v>12</v>
      </c>
      <c r="F255" s="1">
        <v>98</v>
      </c>
      <c r="G255" s="1">
        <v>92</v>
      </c>
      <c r="H255" s="1">
        <v>93</v>
      </c>
      <c r="I255">
        <f t="shared" si="7"/>
        <v>283</v>
      </c>
    </row>
    <row r="256" spans="1:9" ht="13.2" x14ac:dyDescent="0.25">
      <c r="A256" s="1" t="s">
        <v>8</v>
      </c>
      <c r="B256" s="1" t="s">
        <v>13</v>
      </c>
      <c r="C256" s="1" t="s">
        <v>10</v>
      </c>
      <c r="D256" s="1" t="s">
        <v>23</v>
      </c>
      <c r="E256" s="1" t="s">
        <v>12</v>
      </c>
      <c r="F256" s="1">
        <v>56</v>
      </c>
      <c r="G256" s="1">
        <v>65</v>
      </c>
      <c r="H256" s="1">
        <v>61</v>
      </c>
      <c r="I256">
        <f t="shared" si="7"/>
        <v>182</v>
      </c>
    </row>
    <row r="257" spans="1:9" ht="13.2" x14ac:dyDescent="0.25">
      <c r="A257" s="1" t="s">
        <v>19</v>
      </c>
      <c r="B257" s="1" t="s">
        <v>18</v>
      </c>
      <c r="C257" s="1" t="s">
        <v>10</v>
      </c>
      <c r="D257" s="1" t="s">
        <v>23</v>
      </c>
      <c r="E257" s="1" t="s">
        <v>17</v>
      </c>
      <c r="F257" s="1">
        <v>58</v>
      </c>
      <c r="G257" s="1">
        <v>57</v>
      </c>
      <c r="H257" s="1">
        <v>52</v>
      </c>
      <c r="I257">
        <f t="shared" si="7"/>
        <v>167</v>
      </c>
    </row>
    <row r="258" spans="1:9" ht="13.2" x14ac:dyDescent="0.25">
      <c r="A258" s="1" t="s">
        <v>8</v>
      </c>
      <c r="B258" s="1" t="s">
        <v>18</v>
      </c>
      <c r="C258" s="1" t="s">
        <v>22</v>
      </c>
      <c r="D258" s="1" t="s">
        <v>23</v>
      </c>
      <c r="E258" s="1" t="s">
        <v>12</v>
      </c>
      <c r="F258" s="1">
        <v>57</v>
      </c>
      <c r="G258" s="1">
        <v>68</v>
      </c>
      <c r="H258" s="1">
        <v>64</v>
      </c>
      <c r="I258">
        <f t="shared" si="7"/>
        <v>189</v>
      </c>
    </row>
    <row r="259" spans="1:9" ht="13.2" x14ac:dyDescent="0.25">
      <c r="A259" s="1" t="s">
        <v>8</v>
      </c>
      <c r="B259" s="1" t="s">
        <v>13</v>
      </c>
      <c r="C259" s="1" t="s">
        <v>10</v>
      </c>
      <c r="D259" s="1" t="s">
        <v>11</v>
      </c>
      <c r="E259" s="1" t="s">
        <v>12</v>
      </c>
      <c r="F259" s="1">
        <v>68</v>
      </c>
      <c r="G259" s="1">
        <v>68</v>
      </c>
      <c r="H259" s="1">
        <v>65</v>
      </c>
      <c r="I259">
        <f t="shared" ref="I259:I322" si="8">SUM(F259:H259)</f>
        <v>201</v>
      </c>
    </row>
    <row r="260" spans="1:9" ht="13.2" x14ac:dyDescent="0.25">
      <c r="A260" s="1" t="s">
        <v>8</v>
      </c>
      <c r="B260" s="1" t="s">
        <v>21</v>
      </c>
      <c r="C260" s="1" t="s">
        <v>22</v>
      </c>
      <c r="D260" s="1" t="s">
        <v>11</v>
      </c>
      <c r="E260" s="1" t="s">
        <v>17</v>
      </c>
      <c r="F260" s="1">
        <v>61</v>
      </c>
      <c r="G260" s="1">
        <v>74</v>
      </c>
      <c r="H260" s="1">
        <v>75</v>
      </c>
      <c r="I260">
        <f t="shared" si="8"/>
        <v>210</v>
      </c>
    </row>
    <row r="261" spans="1:9" ht="13.2" x14ac:dyDescent="0.25">
      <c r="A261" s="1" t="s">
        <v>8</v>
      </c>
      <c r="B261" s="1" t="s">
        <v>21</v>
      </c>
      <c r="C261" s="1" t="s">
        <v>16</v>
      </c>
      <c r="D261" s="1" t="s">
        <v>23</v>
      </c>
      <c r="E261" s="1" t="s">
        <v>17</v>
      </c>
      <c r="F261" s="1">
        <v>80</v>
      </c>
      <c r="G261" s="1">
        <v>91</v>
      </c>
      <c r="H261" s="1">
        <v>94</v>
      </c>
      <c r="I261">
        <f t="shared" si="8"/>
        <v>265</v>
      </c>
    </row>
    <row r="262" spans="1:9" ht="13.2" x14ac:dyDescent="0.25">
      <c r="A262" s="1" t="s">
        <v>8</v>
      </c>
      <c r="B262" s="1" t="s">
        <v>18</v>
      </c>
      <c r="C262" s="1" t="s">
        <v>10</v>
      </c>
      <c r="D262" s="1" t="s">
        <v>11</v>
      </c>
      <c r="E262" s="1" t="s">
        <v>17</v>
      </c>
      <c r="F262" s="1">
        <v>48</v>
      </c>
      <c r="G262" s="1">
        <v>55</v>
      </c>
      <c r="H262" s="1">
        <v>54</v>
      </c>
      <c r="I262">
        <f t="shared" si="8"/>
        <v>157</v>
      </c>
    </row>
    <row r="263" spans="1:9" ht="13.2" x14ac:dyDescent="0.25">
      <c r="A263" s="1" t="s">
        <v>8</v>
      </c>
      <c r="B263" s="1" t="s">
        <v>21</v>
      </c>
      <c r="C263" s="1" t="s">
        <v>20</v>
      </c>
      <c r="D263" s="1" t="s">
        <v>11</v>
      </c>
      <c r="E263" s="1" t="s">
        <v>12</v>
      </c>
      <c r="F263" s="1">
        <v>86</v>
      </c>
      <c r="G263" s="1">
        <v>93</v>
      </c>
      <c r="H263" s="1">
        <v>98</v>
      </c>
      <c r="I263">
        <f t="shared" si="8"/>
        <v>277</v>
      </c>
    </row>
    <row r="264" spans="1:9" ht="13.2" x14ac:dyDescent="0.25">
      <c r="A264" s="1" t="s">
        <v>19</v>
      </c>
      <c r="B264" s="1" t="s">
        <v>18</v>
      </c>
      <c r="C264" s="1" t="s">
        <v>22</v>
      </c>
      <c r="D264" s="1" t="s">
        <v>23</v>
      </c>
      <c r="E264" s="1" t="s">
        <v>12</v>
      </c>
      <c r="F264" s="1">
        <v>19</v>
      </c>
      <c r="G264" s="1">
        <v>34</v>
      </c>
      <c r="H264" s="1">
        <v>25</v>
      </c>
      <c r="I264">
        <f t="shared" si="8"/>
        <v>78</v>
      </c>
    </row>
    <row r="265" spans="1:9" ht="13.2" x14ac:dyDescent="0.25">
      <c r="A265" s="1" t="s">
        <v>19</v>
      </c>
      <c r="B265" s="1" t="s">
        <v>18</v>
      </c>
      <c r="C265" s="1" t="s">
        <v>14</v>
      </c>
      <c r="D265" s="1" t="s">
        <v>11</v>
      </c>
      <c r="E265" s="1" t="s">
        <v>17</v>
      </c>
      <c r="F265" s="1">
        <v>100</v>
      </c>
      <c r="G265" s="1">
        <v>100</v>
      </c>
      <c r="H265" s="1">
        <v>99</v>
      </c>
      <c r="I265">
        <f t="shared" si="8"/>
        <v>299</v>
      </c>
    </row>
    <row r="266" spans="1:9" ht="13.2" x14ac:dyDescent="0.25">
      <c r="A266" s="1" t="s">
        <v>19</v>
      </c>
      <c r="B266" s="1" t="s">
        <v>13</v>
      </c>
      <c r="C266" s="1" t="s">
        <v>14</v>
      </c>
      <c r="D266" s="1" t="s">
        <v>11</v>
      </c>
      <c r="E266" s="1" t="s">
        <v>12</v>
      </c>
      <c r="F266" s="1">
        <v>74</v>
      </c>
      <c r="G266" s="1">
        <v>82</v>
      </c>
      <c r="H266" s="1">
        <v>74</v>
      </c>
      <c r="I266">
        <f t="shared" si="8"/>
        <v>230</v>
      </c>
    </row>
    <row r="267" spans="1:9" ht="13.2" x14ac:dyDescent="0.25">
      <c r="A267" s="1" t="s">
        <v>8</v>
      </c>
      <c r="B267" s="1" t="s">
        <v>9</v>
      </c>
      <c r="C267" s="1" t="s">
        <v>14</v>
      </c>
      <c r="D267" s="1" t="s">
        <v>23</v>
      </c>
      <c r="E267" s="1" t="s">
        <v>17</v>
      </c>
      <c r="F267" s="1">
        <v>50</v>
      </c>
      <c r="G267" s="1">
        <v>72</v>
      </c>
      <c r="H267" s="1">
        <v>71</v>
      </c>
      <c r="I267">
        <f t="shared" si="8"/>
        <v>193</v>
      </c>
    </row>
    <row r="268" spans="1:9" ht="13.2" x14ac:dyDescent="0.25">
      <c r="A268" s="1" t="s">
        <v>19</v>
      </c>
      <c r="B268" s="1" t="s">
        <v>18</v>
      </c>
      <c r="C268" s="1" t="s">
        <v>20</v>
      </c>
      <c r="D268" s="1" t="s">
        <v>23</v>
      </c>
      <c r="E268" s="1" t="s">
        <v>17</v>
      </c>
      <c r="F268" s="1">
        <v>74</v>
      </c>
      <c r="G268" s="1">
        <v>75</v>
      </c>
      <c r="H268" s="1">
        <v>74</v>
      </c>
      <c r="I268">
        <f t="shared" si="8"/>
        <v>223</v>
      </c>
    </row>
    <row r="269" spans="1:9" ht="13.2" x14ac:dyDescent="0.25">
      <c r="A269" s="1" t="s">
        <v>8</v>
      </c>
      <c r="B269" s="1" t="s">
        <v>18</v>
      </c>
      <c r="C269" s="1" t="s">
        <v>22</v>
      </c>
      <c r="D269" s="1" t="s">
        <v>23</v>
      </c>
      <c r="E269" s="1" t="s">
        <v>12</v>
      </c>
      <c r="F269" s="1">
        <v>28</v>
      </c>
      <c r="G269" s="1">
        <v>39</v>
      </c>
      <c r="H269" s="1">
        <v>37</v>
      </c>
      <c r="I269">
        <f t="shared" si="8"/>
        <v>104</v>
      </c>
    </row>
    <row r="270" spans="1:9" ht="13.2" x14ac:dyDescent="0.25">
      <c r="A270" s="1" t="s">
        <v>8</v>
      </c>
      <c r="B270" s="1" t="s">
        <v>9</v>
      </c>
      <c r="C270" s="1" t="s">
        <v>16</v>
      </c>
      <c r="D270" s="1" t="s">
        <v>23</v>
      </c>
      <c r="E270" s="1" t="s">
        <v>12</v>
      </c>
      <c r="F270" s="1">
        <v>54</v>
      </c>
      <c r="G270" s="1">
        <v>68</v>
      </c>
      <c r="H270" s="1">
        <v>60</v>
      </c>
      <c r="I270">
        <f t="shared" si="8"/>
        <v>182</v>
      </c>
    </row>
    <row r="271" spans="1:9" ht="13.2" x14ac:dyDescent="0.25">
      <c r="A271" s="1" t="s">
        <v>19</v>
      </c>
      <c r="B271" s="1" t="s">
        <v>9</v>
      </c>
      <c r="C271" s="1" t="s">
        <v>22</v>
      </c>
      <c r="D271" s="1" t="s">
        <v>11</v>
      </c>
      <c r="E271" s="1" t="s">
        <v>17</v>
      </c>
      <c r="F271" s="1">
        <v>83</v>
      </c>
      <c r="G271" s="1">
        <v>83</v>
      </c>
      <c r="H271" s="1">
        <v>74</v>
      </c>
      <c r="I271">
        <f t="shared" si="8"/>
        <v>240</v>
      </c>
    </row>
    <row r="272" spans="1:9" ht="13.2" x14ac:dyDescent="0.25">
      <c r="A272" s="1" t="s">
        <v>8</v>
      </c>
      <c r="B272" s="1" t="s">
        <v>13</v>
      </c>
      <c r="C272" s="1" t="s">
        <v>24</v>
      </c>
      <c r="D272" s="1" t="s">
        <v>11</v>
      </c>
      <c r="E272" s="1" t="s">
        <v>12</v>
      </c>
      <c r="F272" s="1">
        <v>89</v>
      </c>
      <c r="G272" s="1">
        <v>97</v>
      </c>
      <c r="H272" s="1">
        <v>99</v>
      </c>
      <c r="I272">
        <f t="shared" si="8"/>
        <v>285</v>
      </c>
    </row>
    <row r="273" spans="1:9" ht="13.2" x14ac:dyDescent="0.25">
      <c r="A273" s="1" t="s">
        <v>8</v>
      </c>
      <c r="B273" s="1" t="s">
        <v>13</v>
      </c>
      <c r="C273" s="1" t="s">
        <v>14</v>
      </c>
      <c r="D273" s="1" t="s">
        <v>23</v>
      </c>
      <c r="E273" s="1" t="s">
        <v>12</v>
      </c>
      <c r="F273" s="1">
        <v>50</v>
      </c>
      <c r="G273" s="1">
        <v>61</v>
      </c>
      <c r="H273" s="1">
        <v>63</v>
      </c>
      <c r="I273">
        <f t="shared" si="8"/>
        <v>174</v>
      </c>
    </row>
    <row r="274" spans="1:9" ht="13.2" x14ac:dyDescent="0.25">
      <c r="A274" s="1" t="s">
        <v>19</v>
      </c>
      <c r="B274" s="1" t="s">
        <v>13</v>
      </c>
      <c r="C274" s="1" t="s">
        <v>10</v>
      </c>
      <c r="D274" s="1" t="s">
        <v>23</v>
      </c>
      <c r="E274" s="1" t="s">
        <v>17</v>
      </c>
      <c r="F274" s="1">
        <v>82</v>
      </c>
      <c r="G274" s="1">
        <v>86</v>
      </c>
      <c r="H274" s="1">
        <v>89</v>
      </c>
      <c r="I274">
        <f t="shared" si="8"/>
        <v>257</v>
      </c>
    </row>
    <row r="275" spans="1:9" ht="13.2" x14ac:dyDescent="0.25">
      <c r="A275" s="1" t="s">
        <v>8</v>
      </c>
      <c r="B275" s="1" t="s">
        <v>9</v>
      </c>
      <c r="C275" s="1" t="s">
        <v>22</v>
      </c>
      <c r="D275" s="1" t="s">
        <v>11</v>
      </c>
      <c r="E275" s="1" t="s">
        <v>17</v>
      </c>
      <c r="F275" s="1">
        <v>53</v>
      </c>
      <c r="G275" s="1">
        <v>69</v>
      </c>
      <c r="H275" s="1">
        <v>67</v>
      </c>
      <c r="I275">
        <f t="shared" si="8"/>
        <v>189</v>
      </c>
    </row>
    <row r="276" spans="1:9" ht="13.2" x14ac:dyDescent="0.25">
      <c r="A276" s="1" t="s">
        <v>19</v>
      </c>
      <c r="B276" s="1" t="s">
        <v>18</v>
      </c>
      <c r="C276" s="1" t="s">
        <v>10</v>
      </c>
      <c r="D276" s="1" t="s">
        <v>11</v>
      </c>
      <c r="E276" s="1" t="s">
        <v>12</v>
      </c>
      <c r="F276" s="1">
        <v>81</v>
      </c>
      <c r="G276" s="1">
        <v>81</v>
      </c>
      <c r="H276" s="1">
        <v>74</v>
      </c>
      <c r="I276">
        <f t="shared" si="8"/>
        <v>236</v>
      </c>
    </row>
    <row r="277" spans="1:9" ht="13.2" x14ac:dyDescent="0.25">
      <c r="A277" s="1" t="s">
        <v>8</v>
      </c>
      <c r="B277" s="1" t="s">
        <v>9</v>
      </c>
      <c r="C277" s="1" t="s">
        <v>20</v>
      </c>
      <c r="D277" s="1" t="s">
        <v>11</v>
      </c>
      <c r="E277" s="1" t="s">
        <v>17</v>
      </c>
      <c r="F277" s="1">
        <v>60</v>
      </c>
      <c r="G277" s="1">
        <v>69</v>
      </c>
      <c r="H277" s="1">
        <v>74</v>
      </c>
      <c r="I277">
        <f t="shared" si="8"/>
        <v>203</v>
      </c>
    </row>
    <row r="278" spans="1:9" ht="13.2" x14ac:dyDescent="0.25">
      <c r="A278" s="1" t="s">
        <v>19</v>
      </c>
      <c r="B278" s="1" t="s">
        <v>18</v>
      </c>
      <c r="C278" s="1" t="s">
        <v>20</v>
      </c>
      <c r="D278" s="1" t="s">
        <v>23</v>
      </c>
      <c r="E278" s="1" t="s">
        <v>12</v>
      </c>
      <c r="F278" s="1">
        <v>75</v>
      </c>
      <c r="G278" s="1">
        <v>59</v>
      </c>
      <c r="H278" s="1">
        <v>68</v>
      </c>
      <c r="I278">
        <f t="shared" si="8"/>
        <v>202</v>
      </c>
    </row>
    <row r="279" spans="1:9" ht="13.2" x14ac:dyDescent="0.25">
      <c r="A279" s="1" t="s">
        <v>8</v>
      </c>
      <c r="B279" s="1" t="s">
        <v>18</v>
      </c>
      <c r="C279" s="1" t="s">
        <v>24</v>
      </c>
      <c r="D279" s="1" t="s">
        <v>11</v>
      </c>
      <c r="E279" s="1" t="s">
        <v>12</v>
      </c>
      <c r="F279" s="1">
        <v>77</v>
      </c>
      <c r="G279" s="1">
        <v>80</v>
      </c>
      <c r="H279" s="1">
        <v>83</v>
      </c>
      <c r="I279">
        <f t="shared" si="8"/>
        <v>240</v>
      </c>
    </row>
    <row r="280" spans="1:9" ht="13.2" x14ac:dyDescent="0.25">
      <c r="A280" s="1" t="s">
        <v>8</v>
      </c>
      <c r="B280" s="1" t="s">
        <v>13</v>
      </c>
      <c r="C280" s="1" t="s">
        <v>10</v>
      </c>
      <c r="D280" s="1" t="s">
        <v>11</v>
      </c>
      <c r="E280" s="1" t="s">
        <v>17</v>
      </c>
      <c r="F280" s="1">
        <v>78</v>
      </c>
      <c r="G280" s="1">
        <v>90</v>
      </c>
      <c r="H280" s="1">
        <v>93</v>
      </c>
      <c r="I280">
        <f t="shared" si="8"/>
        <v>261</v>
      </c>
    </row>
    <row r="281" spans="1:9" ht="13.2" x14ac:dyDescent="0.25">
      <c r="A281" s="1" t="s">
        <v>19</v>
      </c>
      <c r="B281" s="1" t="s">
        <v>13</v>
      </c>
      <c r="C281" s="1" t="s">
        <v>14</v>
      </c>
      <c r="D281" s="1" t="s">
        <v>11</v>
      </c>
      <c r="E281" s="1" t="s">
        <v>12</v>
      </c>
      <c r="F281" s="1">
        <v>68</v>
      </c>
      <c r="G281" s="1">
        <v>56</v>
      </c>
      <c r="H281" s="1">
        <v>52</v>
      </c>
      <c r="I281">
        <f t="shared" si="8"/>
        <v>176</v>
      </c>
    </row>
    <row r="282" spans="1:9" ht="13.2" x14ac:dyDescent="0.25">
      <c r="A282" s="1" t="s">
        <v>8</v>
      </c>
      <c r="B282" s="1" t="s">
        <v>15</v>
      </c>
      <c r="C282" s="1" t="s">
        <v>10</v>
      </c>
      <c r="D282" s="1" t="s">
        <v>11</v>
      </c>
      <c r="E282" s="1" t="s">
        <v>17</v>
      </c>
      <c r="F282" s="1">
        <v>37</v>
      </c>
      <c r="G282" s="1">
        <v>55</v>
      </c>
      <c r="H282" s="1">
        <v>55</v>
      </c>
      <c r="I282">
        <f t="shared" si="8"/>
        <v>147</v>
      </c>
    </row>
    <row r="283" spans="1:9" ht="13.2" x14ac:dyDescent="0.25">
      <c r="A283" s="1" t="s">
        <v>19</v>
      </c>
      <c r="B283" s="1" t="s">
        <v>18</v>
      </c>
      <c r="C283" s="1" t="s">
        <v>14</v>
      </c>
      <c r="D283" s="1" t="s">
        <v>23</v>
      </c>
      <c r="E283" s="1" t="s">
        <v>12</v>
      </c>
      <c r="F283" s="1">
        <v>75</v>
      </c>
      <c r="G283" s="1">
        <v>73</v>
      </c>
      <c r="H283" s="1">
        <v>70</v>
      </c>
      <c r="I283">
        <f t="shared" si="8"/>
        <v>218</v>
      </c>
    </row>
    <row r="284" spans="1:9" ht="13.2" x14ac:dyDescent="0.25">
      <c r="A284" s="1" t="s">
        <v>8</v>
      </c>
      <c r="B284" s="1" t="s">
        <v>18</v>
      </c>
      <c r="C284" s="1" t="s">
        <v>16</v>
      </c>
      <c r="D284" s="1" t="s">
        <v>23</v>
      </c>
      <c r="E284" s="1" t="s">
        <v>17</v>
      </c>
      <c r="F284" s="1">
        <v>86</v>
      </c>
      <c r="G284" s="1">
        <v>97</v>
      </c>
      <c r="H284" s="1">
        <v>95</v>
      </c>
      <c r="I284">
        <f t="shared" si="8"/>
        <v>278</v>
      </c>
    </row>
    <row r="285" spans="1:9" ht="13.2" x14ac:dyDescent="0.25">
      <c r="A285" s="1" t="s">
        <v>19</v>
      </c>
      <c r="B285" s="1" t="s">
        <v>13</v>
      </c>
      <c r="C285" s="1" t="s">
        <v>16</v>
      </c>
      <c r="D285" s="1" t="s">
        <v>11</v>
      </c>
      <c r="E285" s="1" t="s">
        <v>17</v>
      </c>
      <c r="F285" s="1">
        <v>80</v>
      </c>
      <c r="G285" s="1">
        <v>79</v>
      </c>
      <c r="H285" s="1">
        <v>82</v>
      </c>
      <c r="I285">
        <f t="shared" si="8"/>
        <v>241</v>
      </c>
    </row>
    <row r="286" spans="1:9" ht="13.2" x14ac:dyDescent="0.25">
      <c r="A286" s="1" t="s">
        <v>8</v>
      </c>
      <c r="B286" s="1" t="s">
        <v>13</v>
      </c>
      <c r="C286" s="1" t="s">
        <v>10</v>
      </c>
      <c r="D286" s="1" t="s">
        <v>23</v>
      </c>
      <c r="E286" s="1" t="s">
        <v>17</v>
      </c>
      <c r="F286" s="1">
        <v>57</v>
      </c>
      <c r="G286" s="1">
        <v>71</v>
      </c>
      <c r="H286" s="1">
        <v>71</v>
      </c>
      <c r="I286">
        <f t="shared" si="8"/>
        <v>199</v>
      </c>
    </row>
    <row r="287" spans="1:9" ht="13.2" x14ac:dyDescent="0.25">
      <c r="A287" s="1" t="s">
        <v>8</v>
      </c>
      <c r="B287" s="1" t="s">
        <v>18</v>
      </c>
      <c r="C287" s="1" t="s">
        <v>20</v>
      </c>
      <c r="D287" s="1" t="s">
        <v>11</v>
      </c>
      <c r="E287" s="1" t="s">
        <v>17</v>
      </c>
      <c r="F287" s="1">
        <v>53</v>
      </c>
      <c r="G287" s="1">
        <v>62</v>
      </c>
      <c r="H287" s="1">
        <v>65</v>
      </c>
      <c r="I287">
        <f t="shared" si="8"/>
        <v>180</v>
      </c>
    </row>
    <row r="288" spans="1:9" ht="13.2" x14ac:dyDescent="0.25">
      <c r="A288" s="1" t="s">
        <v>19</v>
      </c>
      <c r="B288" s="1" t="s">
        <v>21</v>
      </c>
      <c r="C288" s="1" t="s">
        <v>14</v>
      </c>
      <c r="D288" s="1" t="s">
        <v>11</v>
      </c>
      <c r="E288" s="1" t="s">
        <v>12</v>
      </c>
      <c r="F288" s="1">
        <v>74</v>
      </c>
      <c r="G288" s="1">
        <v>57</v>
      </c>
      <c r="H288" s="1">
        <v>58</v>
      </c>
      <c r="I288">
        <f t="shared" si="8"/>
        <v>189</v>
      </c>
    </row>
    <row r="289" spans="1:9" ht="13.2" x14ac:dyDescent="0.25">
      <c r="A289" s="1" t="s">
        <v>19</v>
      </c>
      <c r="B289" s="1" t="s">
        <v>18</v>
      </c>
      <c r="C289" s="1" t="s">
        <v>20</v>
      </c>
      <c r="D289" s="1" t="s">
        <v>11</v>
      </c>
      <c r="E289" s="1" t="s">
        <v>12</v>
      </c>
      <c r="F289" s="1">
        <v>55</v>
      </c>
      <c r="G289" s="1">
        <v>56</v>
      </c>
      <c r="H289" s="1">
        <v>63</v>
      </c>
      <c r="I289">
        <f t="shared" si="8"/>
        <v>174</v>
      </c>
    </row>
    <row r="290" spans="1:9" ht="13.2" x14ac:dyDescent="0.25">
      <c r="A290" s="1" t="s">
        <v>8</v>
      </c>
      <c r="B290" s="1" t="s">
        <v>21</v>
      </c>
      <c r="C290" s="1" t="s">
        <v>24</v>
      </c>
      <c r="D290" s="1" t="s">
        <v>23</v>
      </c>
      <c r="E290" s="1" t="s">
        <v>17</v>
      </c>
      <c r="F290" s="1">
        <v>79</v>
      </c>
      <c r="G290" s="1">
        <v>89</v>
      </c>
      <c r="H290" s="1">
        <v>93</v>
      </c>
      <c r="I290">
        <f t="shared" si="8"/>
        <v>261</v>
      </c>
    </row>
    <row r="291" spans="1:9" ht="13.2" x14ac:dyDescent="0.25">
      <c r="A291" s="1" t="s">
        <v>19</v>
      </c>
      <c r="B291" s="1" t="s">
        <v>13</v>
      </c>
      <c r="C291" s="1" t="s">
        <v>20</v>
      </c>
      <c r="D291" s="1" t="s">
        <v>11</v>
      </c>
      <c r="E291" s="1" t="s">
        <v>12</v>
      </c>
      <c r="F291" s="1">
        <v>89</v>
      </c>
      <c r="G291" s="1">
        <v>77</v>
      </c>
      <c r="H291" s="1">
        <v>77</v>
      </c>
      <c r="I291">
        <f t="shared" si="8"/>
        <v>243</v>
      </c>
    </row>
    <row r="292" spans="1:9" ht="13.2" x14ac:dyDescent="0.25">
      <c r="A292" s="1" t="s">
        <v>8</v>
      </c>
      <c r="B292" s="1" t="s">
        <v>18</v>
      </c>
      <c r="C292" s="1" t="s">
        <v>22</v>
      </c>
      <c r="D292" s="1" t="s">
        <v>11</v>
      </c>
      <c r="E292" s="1" t="s">
        <v>12</v>
      </c>
      <c r="F292" s="1">
        <v>59</v>
      </c>
      <c r="G292" s="1">
        <v>63</v>
      </c>
      <c r="H292" s="1">
        <v>53</v>
      </c>
      <c r="I292">
        <f t="shared" si="8"/>
        <v>175</v>
      </c>
    </row>
    <row r="293" spans="1:9" ht="13.2" x14ac:dyDescent="0.25">
      <c r="A293" s="1" t="s">
        <v>19</v>
      </c>
      <c r="B293" s="1" t="s">
        <v>18</v>
      </c>
      <c r="C293" s="1" t="s">
        <v>16</v>
      </c>
      <c r="D293" s="1" t="s">
        <v>11</v>
      </c>
      <c r="E293" s="1" t="s">
        <v>12</v>
      </c>
      <c r="F293" s="1">
        <v>82</v>
      </c>
      <c r="G293" s="1">
        <v>62</v>
      </c>
      <c r="H293" s="1">
        <v>61</v>
      </c>
      <c r="I293">
        <f t="shared" si="8"/>
        <v>205</v>
      </c>
    </row>
    <row r="294" spans="1:9" ht="13.2" x14ac:dyDescent="0.25">
      <c r="A294" s="1" t="s">
        <v>8</v>
      </c>
      <c r="B294" s="1" t="s">
        <v>21</v>
      </c>
      <c r="C294" s="1" t="s">
        <v>14</v>
      </c>
      <c r="D294" s="1" t="s">
        <v>11</v>
      </c>
      <c r="E294" s="1" t="s">
        <v>12</v>
      </c>
      <c r="F294" s="1">
        <v>91</v>
      </c>
      <c r="G294" s="1">
        <v>90</v>
      </c>
      <c r="H294" s="1">
        <v>90</v>
      </c>
      <c r="I294">
        <f t="shared" si="8"/>
        <v>271</v>
      </c>
    </row>
    <row r="295" spans="1:9" ht="13.2" x14ac:dyDescent="0.25">
      <c r="A295" s="1" t="s">
        <v>19</v>
      </c>
      <c r="B295" s="1" t="s">
        <v>9</v>
      </c>
      <c r="C295" s="1" t="s">
        <v>16</v>
      </c>
      <c r="D295" s="1" t="s">
        <v>11</v>
      </c>
      <c r="E295" s="1" t="s">
        <v>17</v>
      </c>
      <c r="F295" s="1">
        <v>79</v>
      </c>
      <c r="G295" s="1">
        <v>77</v>
      </c>
      <c r="H295" s="1">
        <v>78</v>
      </c>
      <c r="I295">
        <f t="shared" si="8"/>
        <v>234</v>
      </c>
    </row>
    <row r="296" spans="1:9" ht="13.2" x14ac:dyDescent="0.25">
      <c r="A296" s="1" t="s">
        <v>19</v>
      </c>
      <c r="B296" s="1" t="s">
        <v>9</v>
      </c>
      <c r="C296" s="1" t="s">
        <v>14</v>
      </c>
      <c r="D296" s="1" t="s">
        <v>11</v>
      </c>
      <c r="E296" s="1" t="s">
        <v>17</v>
      </c>
      <c r="F296" s="1">
        <v>52</v>
      </c>
      <c r="G296" s="1">
        <v>49</v>
      </c>
      <c r="H296" s="1">
        <v>51</v>
      </c>
      <c r="I296">
        <f t="shared" si="8"/>
        <v>152</v>
      </c>
    </row>
    <row r="297" spans="1:9" ht="13.2" x14ac:dyDescent="0.25">
      <c r="A297" s="1" t="s">
        <v>19</v>
      </c>
      <c r="B297" s="1" t="s">
        <v>13</v>
      </c>
      <c r="C297" s="1" t="s">
        <v>16</v>
      </c>
      <c r="D297" s="1" t="s">
        <v>23</v>
      </c>
      <c r="E297" s="1" t="s">
        <v>17</v>
      </c>
      <c r="F297" s="1">
        <v>73</v>
      </c>
      <c r="G297" s="1">
        <v>77</v>
      </c>
      <c r="H297" s="1">
        <v>75</v>
      </c>
      <c r="I297">
        <f t="shared" si="8"/>
        <v>225</v>
      </c>
    </row>
    <row r="298" spans="1:9" ht="13.2" x14ac:dyDescent="0.25">
      <c r="A298" s="1" t="s">
        <v>19</v>
      </c>
      <c r="B298" s="1" t="s">
        <v>13</v>
      </c>
      <c r="C298" s="1" t="s">
        <v>16</v>
      </c>
      <c r="D298" s="1" t="s">
        <v>11</v>
      </c>
      <c r="E298" s="1" t="s">
        <v>12</v>
      </c>
      <c r="F298" s="1">
        <v>87</v>
      </c>
      <c r="G298" s="1">
        <v>76</v>
      </c>
      <c r="H298" s="1">
        <v>75</v>
      </c>
      <c r="I298">
        <f t="shared" si="8"/>
        <v>238</v>
      </c>
    </row>
    <row r="299" spans="1:9" ht="13.2" x14ac:dyDescent="0.25">
      <c r="A299" s="1" t="s">
        <v>8</v>
      </c>
      <c r="B299" s="1" t="s">
        <v>13</v>
      </c>
      <c r="C299" s="1" t="s">
        <v>16</v>
      </c>
      <c r="D299" s="1" t="s">
        <v>11</v>
      </c>
      <c r="E299" s="1" t="s">
        <v>12</v>
      </c>
      <c r="F299" s="1">
        <v>55</v>
      </c>
      <c r="G299" s="1">
        <v>69</v>
      </c>
      <c r="H299" s="1">
        <v>70</v>
      </c>
      <c r="I299">
        <f t="shared" si="8"/>
        <v>194</v>
      </c>
    </row>
    <row r="300" spans="1:9" ht="13.2" x14ac:dyDescent="0.25">
      <c r="A300" s="1" t="s">
        <v>19</v>
      </c>
      <c r="B300" s="1" t="s">
        <v>13</v>
      </c>
      <c r="C300" s="1" t="s">
        <v>10</v>
      </c>
      <c r="D300" s="1" t="s">
        <v>23</v>
      </c>
      <c r="E300" s="1" t="s">
        <v>17</v>
      </c>
      <c r="F300" s="1">
        <v>57</v>
      </c>
      <c r="G300" s="1">
        <v>64</v>
      </c>
      <c r="H300" s="1">
        <v>57</v>
      </c>
      <c r="I300">
        <f t="shared" si="8"/>
        <v>178</v>
      </c>
    </row>
    <row r="301" spans="1:9" ht="13.2" x14ac:dyDescent="0.25">
      <c r="A301" s="1" t="s">
        <v>8</v>
      </c>
      <c r="B301" s="1" t="s">
        <v>9</v>
      </c>
      <c r="C301" s="1" t="s">
        <v>16</v>
      </c>
      <c r="D301" s="1" t="s">
        <v>11</v>
      </c>
      <c r="E301" s="1" t="s">
        <v>12</v>
      </c>
      <c r="F301" s="1">
        <v>61</v>
      </c>
      <c r="G301" s="1">
        <v>69</v>
      </c>
      <c r="H301" s="1">
        <v>70</v>
      </c>
      <c r="I301">
        <f t="shared" si="8"/>
        <v>200</v>
      </c>
    </row>
    <row r="302" spans="1:9" ht="13.2" x14ac:dyDescent="0.25">
      <c r="A302" s="1" t="s">
        <v>19</v>
      </c>
      <c r="B302" s="1" t="s">
        <v>18</v>
      </c>
      <c r="C302" s="1" t="s">
        <v>10</v>
      </c>
      <c r="D302" s="1" t="s">
        <v>11</v>
      </c>
      <c r="E302" s="1" t="s">
        <v>17</v>
      </c>
      <c r="F302" s="1">
        <v>81</v>
      </c>
      <c r="G302" s="1">
        <v>83</v>
      </c>
      <c r="H302" s="1">
        <v>75</v>
      </c>
      <c r="I302">
        <f t="shared" si="8"/>
        <v>239</v>
      </c>
    </row>
    <row r="303" spans="1:9" ht="13.2" x14ac:dyDescent="0.25">
      <c r="A303" s="1" t="s">
        <v>19</v>
      </c>
      <c r="B303" s="1" t="s">
        <v>15</v>
      </c>
      <c r="C303" s="1" t="s">
        <v>14</v>
      </c>
      <c r="D303" s="1" t="s">
        <v>11</v>
      </c>
      <c r="E303" s="1" t="s">
        <v>12</v>
      </c>
      <c r="F303" s="1">
        <v>67</v>
      </c>
      <c r="G303" s="1">
        <v>68</v>
      </c>
      <c r="H303" s="1">
        <v>57</v>
      </c>
      <c r="I303">
        <f t="shared" si="8"/>
        <v>192</v>
      </c>
    </row>
    <row r="304" spans="1:9" ht="13.2" x14ac:dyDescent="0.25">
      <c r="A304" s="1" t="s">
        <v>8</v>
      </c>
      <c r="B304" s="1" t="s">
        <v>13</v>
      </c>
      <c r="C304" s="1" t="s">
        <v>16</v>
      </c>
      <c r="D304" s="1" t="s">
        <v>23</v>
      </c>
      <c r="E304" s="1" t="s">
        <v>17</v>
      </c>
      <c r="F304" s="1">
        <v>63</v>
      </c>
      <c r="G304" s="1">
        <v>66</v>
      </c>
      <c r="H304" s="1">
        <v>66</v>
      </c>
      <c r="I304">
        <f t="shared" si="8"/>
        <v>195</v>
      </c>
    </row>
    <row r="305" spans="1:9" ht="13.2" x14ac:dyDescent="0.25">
      <c r="A305" s="1" t="s">
        <v>19</v>
      </c>
      <c r="B305" s="1" t="s">
        <v>18</v>
      </c>
      <c r="C305" s="1" t="s">
        <v>16</v>
      </c>
      <c r="D305" s="1" t="s">
        <v>11</v>
      </c>
      <c r="E305" s="1" t="s">
        <v>17</v>
      </c>
      <c r="F305" s="1">
        <v>72</v>
      </c>
      <c r="G305" s="1">
        <v>83</v>
      </c>
      <c r="H305" s="1">
        <v>82</v>
      </c>
      <c r="I305">
        <f t="shared" si="8"/>
        <v>237</v>
      </c>
    </row>
    <row r="306" spans="1:9" ht="13.2" x14ac:dyDescent="0.25">
      <c r="A306" s="1" t="s">
        <v>19</v>
      </c>
      <c r="B306" s="1" t="s">
        <v>18</v>
      </c>
      <c r="C306" s="1" t="s">
        <v>22</v>
      </c>
      <c r="D306" s="1" t="s">
        <v>11</v>
      </c>
      <c r="E306" s="1" t="s">
        <v>12</v>
      </c>
      <c r="F306" s="1">
        <v>68</v>
      </c>
      <c r="G306" s="1">
        <v>65</v>
      </c>
      <c r="H306" s="1">
        <v>61</v>
      </c>
      <c r="I306">
        <f t="shared" si="8"/>
        <v>194</v>
      </c>
    </row>
    <row r="307" spans="1:9" ht="13.2" x14ac:dyDescent="0.25">
      <c r="A307" s="1" t="s">
        <v>19</v>
      </c>
      <c r="B307" s="1" t="s">
        <v>18</v>
      </c>
      <c r="C307" s="1" t="s">
        <v>10</v>
      </c>
      <c r="D307" s="1" t="s">
        <v>11</v>
      </c>
      <c r="E307" s="1" t="s">
        <v>12</v>
      </c>
      <c r="F307" s="1">
        <v>54</v>
      </c>
      <c r="G307" s="1">
        <v>35</v>
      </c>
      <c r="H307" s="1">
        <v>36</v>
      </c>
      <c r="I307">
        <f t="shared" si="8"/>
        <v>125</v>
      </c>
    </row>
    <row r="308" spans="1:9" ht="13.2" x14ac:dyDescent="0.25">
      <c r="A308" s="1" t="s">
        <v>19</v>
      </c>
      <c r="B308" s="1" t="s">
        <v>18</v>
      </c>
      <c r="C308" s="1" t="s">
        <v>22</v>
      </c>
      <c r="D308" s="1" t="s">
        <v>11</v>
      </c>
      <c r="E308" s="1" t="s">
        <v>17</v>
      </c>
      <c r="F308" s="1">
        <v>75</v>
      </c>
      <c r="G308" s="1">
        <v>71</v>
      </c>
      <c r="H308" s="1">
        <v>69</v>
      </c>
      <c r="I308">
        <f t="shared" si="8"/>
        <v>215</v>
      </c>
    </row>
    <row r="309" spans="1:9" ht="13.2" x14ac:dyDescent="0.25">
      <c r="A309" s="1" t="s">
        <v>19</v>
      </c>
      <c r="B309" s="1" t="s">
        <v>13</v>
      </c>
      <c r="C309" s="1" t="s">
        <v>14</v>
      </c>
      <c r="D309" s="1" t="s">
        <v>11</v>
      </c>
      <c r="E309" s="1" t="s">
        <v>12</v>
      </c>
      <c r="F309" s="1">
        <v>74</v>
      </c>
      <c r="G309" s="1">
        <v>77</v>
      </c>
      <c r="H309" s="1">
        <v>71</v>
      </c>
      <c r="I309">
        <f t="shared" si="8"/>
        <v>222</v>
      </c>
    </row>
    <row r="310" spans="1:9" ht="13.2" x14ac:dyDescent="0.25">
      <c r="A310" s="1" t="s">
        <v>8</v>
      </c>
      <c r="B310" s="1" t="s">
        <v>18</v>
      </c>
      <c r="C310" s="1" t="s">
        <v>14</v>
      </c>
      <c r="D310" s="1" t="s">
        <v>23</v>
      </c>
      <c r="E310" s="1" t="s">
        <v>12</v>
      </c>
      <c r="F310" s="1">
        <v>44</v>
      </c>
      <c r="G310" s="1">
        <v>62</v>
      </c>
      <c r="H310" s="1">
        <v>59</v>
      </c>
      <c r="I310">
        <f t="shared" si="8"/>
        <v>165</v>
      </c>
    </row>
    <row r="311" spans="1:9" ht="13.2" x14ac:dyDescent="0.25">
      <c r="A311" s="1" t="s">
        <v>8</v>
      </c>
      <c r="B311" s="1" t="s">
        <v>18</v>
      </c>
      <c r="C311" s="1" t="s">
        <v>14</v>
      </c>
      <c r="D311" s="1" t="s">
        <v>11</v>
      </c>
      <c r="E311" s="1" t="s">
        <v>12</v>
      </c>
      <c r="F311" s="1">
        <v>58</v>
      </c>
      <c r="G311" s="1">
        <v>82</v>
      </c>
      <c r="H311" s="1">
        <v>74</v>
      </c>
      <c r="I311">
        <f t="shared" si="8"/>
        <v>214</v>
      </c>
    </row>
    <row r="312" spans="1:9" ht="13.2" x14ac:dyDescent="0.25">
      <c r="A312" s="1" t="s">
        <v>19</v>
      </c>
      <c r="B312" s="1" t="s">
        <v>18</v>
      </c>
      <c r="C312" s="1" t="s">
        <v>14</v>
      </c>
      <c r="D312" s="1" t="s">
        <v>23</v>
      </c>
      <c r="E312" s="1" t="s">
        <v>17</v>
      </c>
      <c r="F312" s="1">
        <v>48</v>
      </c>
      <c r="G312" s="1">
        <v>42</v>
      </c>
      <c r="H312" s="1">
        <v>42</v>
      </c>
      <c r="I312">
        <f t="shared" si="8"/>
        <v>132</v>
      </c>
    </row>
    <row r="313" spans="1:9" ht="13.2" x14ac:dyDescent="0.25">
      <c r="A313" s="1" t="s">
        <v>19</v>
      </c>
      <c r="B313" s="1" t="s">
        <v>18</v>
      </c>
      <c r="C313" s="1" t="s">
        <v>10</v>
      </c>
      <c r="D313" s="1" t="s">
        <v>11</v>
      </c>
      <c r="E313" s="1" t="s">
        <v>17</v>
      </c>
      <c r="F313" s="1">
        <v>71</v>
      </c>
      <c r="G313" s="1">
        <v>62</v>
      </c>
      <c r="H313" s="1">
        <v>64</v>
      </c>
      <c r="I313">
        <f t="shared" si="8"/>
        <v>197</v>
      </c>
    </row>
    <row r="314" spans="1:9" ht="13.2" x14ac:dyDescent="0.25">
      <c r="A314" s="1" t="s">
        <v>8</v>
      </c>
      <c r="B314" s="1" t="s">
        <v>15</v>
      </c>
      <c r="C314" s="1" t="s">
        <v>14</v>
      </c>
      <c r="D314" s="1" t="s">
        <v>23</v>
      </c>
      <c r="E314" s="1" t="s">
        <v>12</v>
      </c>
      <c r="F314" s="1">
        <v>45</v>
      </c>
      <c r="G314" s="1">
        <v>44</v>
      </c>
      <c r="H314" s="1">
        <v>47</v>
      </c>
      <c r="I314">
        <f t="shared" si="8"/>
        <v>136</v>
      </c>
    </row>
    <row r="315" spans="1:9" ht="13.2" x14ac:dyDescent="0.25">
      <c r="A315" s="1" t="s">
        <v>8</v>
      </c>
      <c r="B315" s="1" t="s">
        <v>18</v>
      </c>
      <c r="C315" s="1" t="s">
        <v>14</v>
      </c>
      <c r="D315" s="1" t="s">
        <v>23</v>
      </c>
      <c r="E315" s="1" t="s">
        <v>12</v>
      </c>
      <c r="F315" s="1">
        <v>62</v>
      </c>
      <c r="G315" s="1">
        <v>73</v>
      </c>
      <c r="H315" s="1">
        <v>74</v>
      </c>
      <c r="I315">
        <f t="shared" si="8"/>
        <v>209</v>
      </c>
    </row>
    <row r="316" spans="1:9" ht="13.2" x14ac:dyDescent="0.25">
      <c r="A316" s="1" t="s">
        <v>8</v>
      </c>
      <c r="B316" s="1" t="s">
        <v>21</v>
      </c>
      <c r="C316" s="1" t="s">
        <v>22</v>
      </c>
      <c r="D316" s="1" t="s">
        <v>11</v>
      </c>
      <c r="E316" s="1" t="s">
        <v>17</v>
      </c>
      <c r="F316" s="1">
        <v>67</v>
      </c>
      <c r="G316" s="1">
        <v>70</v>
      </c>
      <c r="H316" s="1">
        <v>70</v>
      </c>
      <c r="I316">
        <f t="shared" si="8"/>
        <v>207</v>
      </c>
    </row>
    <row r="317" spans="1:9" ht="13.2" x14ac:dyDescent="0.25">
      <c r="A317" s="1" t="s">
        <v>19</v>
      </c>
      <c r="B317" s="1" t="s">
        <v>15</v>
      </c>
      <c r="C317" s="1" t="s">
        <v>10</v>
      </c>
      <c r="D317" s="1" t="s">
        <v>11</v>
      </c>
      <c r="E317" s="1" t="s">
        <v>17</v>
      </c>
      <c r="F317" s="1">
        <v>65</v>
      </c>
      <c r="G317" s="1">
        <v>66</v>
      </c>
      <c r="H317" s="1">
        <v>64</v>
      </c>
      <c r="I317">
        <f t="shared" si="8"/>
        <v>195</v>
      </c>
    </row>
    <row r="318" spans="1:9" ht="13.2" x14ac:dyDescent="0.25">
      <c r="A318" s="1" t="s">
        <v>8</v>
      </c>
      <c r="B318" s="1" t="s">
        <v>18</v>
      </c>
      <c r="C318" s="1" t="s">
        <v>14</v>
      </c>
      <c r="D318" s="1" t="s">
        <v>11</v>
      </c>
      <c r="E318" s="1" t="s">
        <v>12</v>
      </c>
      <c r="F318" s="1">
        <v>77</v>
      </c>
      <c r="G318" s="1">
        <v>73</v>
      </c>
      <c r="H318" s="1">
        <v>76</v>
      </c>
      <c r="I318">
        <f t="shared" si="8"/>
        <v>226</v>
      </c>
    </row>
    <row r="319" spans="1:9" ht="13.2" x14ac:dyDescent="0.25">
      <c r="A319" s="1" t="s">
        <v>8</v>
      </c>
      <c r="B319" s="1" t="s">
        <v>21</v>
      </c>
      <c r="C319" s="1" t="s">
        <v>20</v>
      </c>
      <c r="D319" s="1" t="s">
        <v>23</v>
      </c>
      <c r="E319" s="1" t="s">
        <v>12</v>
      </c>
      <c r="F319" s="1">
        <v>87</v>
      </c>
      <c r="G319" s="1">
        <v>89</v>
      </c>
      <c r="H319" s="1">
        <v>88</v>
      </c>
      <c r="I319">
        <f t="shared" si="8"/>
        <v>264</v>
      </c>
    </row>
    <row r="320" spans="1:9" ht="13.2" x14ac:dyDescent="0.25">
      <c r="A320" s="1" t="s">
        <v>8</v>
      </c>
      <c r="B320" s="1" t="s">
        <v>9</v>
      </c>
      <c r="C320" s="1" t="s">
        <v>16</v>
      </c>
      <c r="D320" s="1" t="s">
        <v>11</v>
      </c>
      <c r="E320" s="1" t="s">
        <v>12</v>
      </c>
      <c r="F320" s="1">
        <v>74</v>
      </c>
      <c r="G320" s="1">
        <v>80</v>
      </c>
      <c r="H320" s="1">
        <v>80</v>
      </c>
      <c r="I320">
        <f t="shared" si="8"/>
        <v>234</v>
      </c>
    </row>
    <row r="321" spans="1:9" ht="13.2" x14ac:dyDescent="0.25">
      <c r="A321" s="1" t="s">
        <v>19</v>
      </c>
      <c r="B321" s="1" t="s">
        <v>18</v>
      </c>
      <c r="C321" s="1" t="s">
        <v>16</v>
      </c>
      <c r="D321" s="1" t="s">
        <v>23</v>
      </c>
      <c r="E321" s="1" t="s">
        <v>17</v>
      </c>
      <c r="F321" s="1">
        <v>82</v>
      </c>
      <c r="G321" s="1">
        <v>82</v>
      </c>
      <c r="H321" s="1">
        <v>77</v>
      </c>
      <c r="I321">
        <f t="shared" si="8"/>
        <v>241</v>
      </c>
    </row>
    <row r="322" spans="1:9" ht="13.2" x14ac:dyDescent="0.25">
      <c r="A322" s="1" t="s">
        <v>8</v>
      </c>
      <c r="B322" s="1" t="s">
        <v>13</v>
      </c>
      <c r="C322" s="1" t="s">
        <v>14</v>
      </c>
      <c r="D322" s="1" t="s">
        <v>11</v>
      </c>
      <c r="E322" s="1" t="s">
        <v>12</v>
      </c>
      <c r="F322" s="1">
        <v>85</v>
      </c>
      <c r="G322" s="1">
        <v>96</v>
      </c>
      <c r="H322" s="1">
        <v>97</v>
      </c>
      <c r="I322">
        <f t="shared" si="8"/>
        <v>278</v>
      </c>
    </row>
    <row r="323" spans="1:9" ht="13.2" x14ac:dyDescent="0.25">
      <c r="A323" s="1" t="s">
        <v>8</v>
      </c>
      <c r="B323" s="1" t="s">
        <v>15</v>
      </c>
      <c r="C323" s="1" t="s">
        <v>14</v>
      </c>
      <c r="D323" s="1" t="s">
        <v>11</v>
      </c>
      <c r="E323" s="1" t="s">
        <v>12</v>
      </c>
      <c r="F323" s="1">
        <v>82</v>
      </c>
      <c r="G323" s="1">
        <v>78</v>
      </c>
      <c r="H323" s="1">
        <v>79</v>
      </c>
      <c r="I323">
        <f t="shared" ref="I323:I386" si="9">SUM(F323:H323)</f>
        <v>239</v>
      </c>
    </row>
    <row r="324" spans="1:9" ht="13.2" x14ac:dyDescent="0.25">
      <c r="A324" s="1" t="s">
        <v>19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89</v>
      </c>
      <c r="G324" s="1">
        <v>82</v>
      </c>
      <c r="H324" s="1">
        <v>87</v>
      </c>
      <c r="I324">
        <f t="shared" si="9"/>
        <v>258</v>
      </c>
    </row>
    <row r="325" spans="1:9" ht="13.2" x14ac:dyDescent="0.25">
      <c r="A325" s="1" t="s">
        <v>8</v>
      </c>
      <c r="B325" s="1" t="s">
        <v>18</v>
      </c>
      <c r="C325" s="1" t="s">
        <v>10</v>
      </c>
      <c r="D325" s="1" t="s">
        <v>23</v>
      </c>
      <c r="E325" s="1" t="s">
        <v>17</v>
      </c>
      <c r="F325" s="1">
        <v>63</v>
      </c>
      <c r="G325" s="1">
        <v>80</v>
      </c>
      <c r="H325" s="1">
        <v>85</v>
      </c>
      <c r="I325">
        <f t="shared" si="9"/>
        <v>228</v>
      </c>
    </row>
    <row r="326" spans="1:9" ht="13.2" x14ac:dyDescent="0.25">
      <c r="A326" s="1" t="s">
        <v>8</v>
      </c>
      <c r="B326" s="1" t="s">
        <v>9</v>
      </c>
      <c r="C326" s="1" t="s">
        <v>16</v>
      </c>
      <c r="D326" s="1" t="s">
        <v>11</v>
      </c>
      <c r="E326" s="1" t="s">
        <v>17</v>
      </c>
      <c r="F326" s="1">
        <v>93</v>
      </c>
      <c r="G326" s="1">
        <v>100</v>
      </c>
      <c r="H326" s="1">
        <v>100</v>
      </c>
      <c r="I326">
        <f t="shared" si="9"/>
        <v>293</v>
      </c>
    </row>
    <row r="327" spans="1:9" ht="13.2" x14ac:dyDescent="0.25">
      <c r="A327" s="1" t="s">
        <v>8</v>
      </c>
      <c r="B327" s="1" t="s">
        <v>9</v>
      </c>
      <c r="C327" s="1" t="s">
        <v>16</v>
      </c>
      <c r="D327" s="1" t="s">
        <v>23</v>
      </c>
      <c r="E327" s="1" t="s">
        <v>12</v>
      </c>
      <c r="F327" s="1">
        <v>34</v>
      </c>
      <c r="G327" s="1">
        <v>38</v>
      </c>
      <c r="H327" s="1">
        <v>44</v>
      </c>
      <c r="I327">
        <f t="shared" si="9"/>
        <v>116</v>
      </c>
    </row>
    <row r="328" spans="1:9" ht="13.2" x14ac:dyDescent="0.25">
      <c r="A328" s="1" t="s">
        <v>19</v>
      </c>
      <c r="B328" s="1" t="s">
        <v>21</v>
      </c>
      <c r="C328" s="1" t="s">
        <v>16</v>
      </c>
      <c r="D328" s="1" t="s">
        <v>11</v>
      </c>
      <c r="E328" s="1" t="s">
        <v>17</v>
      </c>
      <c r="F328" s="1">
        <v>95</v>
      </c>
      <c r="G328" s="1">
        <v>84</v>
      </c>
      <c r="H328" s="1">
        <v>82</v>
      </c>
      <c r="I328">
        <f t="shared" si="9"/>
        <v>261</v>
      </c>
    </row>
    <row r="329" spans="1:9" ht="13.2" x14ac:dyDescent="0.25">
      <c r="A329" s="1" t="s">
        <v>19</v>
      </c>
      <c r="B329" s="1" t="s">
        <v>18</v>
      </c>
      <c r="C329" s="1" t="s">
        <v>22</v>
      </c>
      <c r="D329" s="1" t="s">
        <v>11</v>
      </c>
      <c r="E329" s="1" t="s">
        <v>12</v>
      </c>
      <c r="F329" s="1">
        <v>47</v>
      </c>
      <c r="G329" s="1">
        <v>45</v>
      </c>
      <c r="H329" s="1">
        <v>47</v>
      </c>
      <c r="I329">
        <f t="shared" si="9"/>
        <v>139</v>
      </c>
    </row>
    <row r="330" spans="1:9" ht="13.2" x14ac:dyDescent="0.25">
      <c r="A330" s="1" t="s">
        <v>8</v>
      </c>
      <c r="B330" s="1" t="s">
        <v>18</v>
      </c>
      <c r="C330" s="1" t="s">
        <v>10</v>
      </c>
      <c r="D330" s="1" t="s">
        <v>11</v>
      </c>
      <c r="E330" s="1" t="s">
        <v>17</v>
      </c>
      <c r="F330" s="1">
        <v>80</v>
      </c>
      <c r="G330" s="1">
        <v>92</v>
      </c>
      <c r="H330" s="1">
        <v>86</v>
      </c>
      <c r="I330">
        <f t="shared" si="9"/>
        <v>258</v>
      </c>
    </row>
    <row r="331" spans="1:9" ht="13.2" x14ac:dyDescent="0.25">
      <c r="A331" s="1" t="s">
        <v>8</v>
      </c>
      <c r="B331" s="1" t="s">
        <v>13</v>
      </c>
      <c r="C331" s="1" t="s">
        <v>14</v>
      </c>
      <c r="D331" s="1" t="s">
        <v>23</v>
      </c>
      <c r="E331" s="1" t="s">
        <v>12</v>
      </c>
      <c r="F331" s="1">
        <v>48</v>
      </c>
      <c r="G331" s="1">
        <v>57</v>
      </c>
      <c r="H331" s="1">
        <v>55</v>
      </c>
      <c r="I331">
        <f t="shared" si="9"/>
        <v>160</v>
      </c>
    </row>
    <row r="332" spans="1:9" ht="13.2" x14ac:dyDescent="0.25">
      <c r="A332" s="1" t="s">
        <v>8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57</v>
      </c>
      <c r="G332" s="1">
        <v>65</v>
      </c>
      <c r="H332" s="1">
        <v>69</v>
      </c>
      <c r="I332">
        <f t="shared" si="9"/>
        <v>191</v>
      </c>
    </row>
    <row r="333" spans="1:9" ht="13.2" x14ac:dyDescent="0.25">
      <c r="A333" s="1" t="s">
        <v>8</v>
      </c>
      <c r="B333" s="1" t="s">
        <v>18</v>
      </c>
      <c r="C333" s="1" t="s">
        <v>10</v>
      </c>
      <c r="D333" s="1" t="s">
        <v>23</v>
      </c>
      <c r="E333" s="1" t="s">
        <v>17</v>
      </c>
      <c r="F333" s="1">
        <v>39</v>
      </c>
      <c r="G333" s="1">
        <v>51</v>
      </c>
      <c r="H333" s="1">
        <v>53</v>
      </c>
      <c r="I333">
        <f t="shared" si="9"/>
        <v>143</v>
      </c>
    </row>
    <row r="334" spans="1:9" ht="13.2" x14ac:dyDescent="0.25">
      <c r="A334" s="1" t="s">
        <v>19</v>
      </c>
      <c r="B334" s="1" t="s">
        <v>21</v>
      </c>
      <c r="C334" s="1" t="s">
        <v>22</v>
      </c>
      <c r="D334" s="1" t="s">
        <v>11</v>
      </c>
      <c r="E334" s="1" t="s">
        <v>17</v>
      </c>
      <c r="F334" s="1">
        <v>76</v>
      </c>
      <c r="G334" s="1">
        <v>66</v>
      </c>
      <c r="H334" s="1">
        <v>66</v>
      </c>
      <c r="I334">
        <f t="shared" si="9"/>
        <v>208</v>
      </c>
    </row>
    <row r="335" spans="1:9" ht="13.2" x14ac:dyDescent="0.25">
      <c r="A335" s="1" t="s">
        <v>8</v>
      </c>
      <c r="B335" s="1" t="s">
        <v>18</v>
      </c>
      <c r="C335" s="1" t="s">
        <v>24</v>
      </c>
      <c r="D335" s="1" t="s">
        <v>11</v>
      </c>
      <c r="E335" s="1" t="s">
        <v>12</v>
      </c>
      <c r="F335" s="1">
        <v>84</v>
      </c>
      <c r="G335" s="1">
        <v>94</v>
      </c>
      <c r="H335" s="1">
        <v>91</v>
      </c>
      <c r="I335">
        <f t="shared" si="9"/>
        <v>269</v>
      </c>
    </row>
    <row r="336" spans="1:9" ht="13.2" x14ac:dyDescent="0.25">
      <c r="A336" s="1" t="s">
        <v>8</v>
      </c>
      <c r="B336" s="1" t="s">
        <v>18</v>
      </c>
      <c r="C336" s="1" t="s">
        <v>14</v>
      </c>
      <c r="D336" s="1" t="s">
        <v>23</v>
      </c>
      <c r="E336" s="1" t="s">
        <v>12</v>
      </c>
      <c r="F336" s="1">
        <v>47</v>
      </c>
      <c r="G336" s="1">
        <v>64</v>
      </c>
      <c r="H336" s="1">
        <v>64</v>
      </c>
      <c r="I336">
        <f t="shared" si="9"/>
        <v>175</v>
      </c>
    </row>
    <row r="337" spans="1:9" ht="13.2" x14ac:dyDescent="0.25">
      <c r="A337" s="1" t="s">
        <v>19</v>
      </c>
      <c r="B337" s="1" t="s">
        <v>18</v>
      </c>
      <c r="C337" s="1" t="s">
        <v>16</v>
      </c>
      <c r="D337" s="1" t="s">
        <v>11</v>
      </c>
      <c r="E337" s="1" t="s">
        <v>12</v>
      </c>
      <c r="F337" s="1">
        <v>98</v>
      </c>
      <c r="G337" s="1">
        <v>90</v>
      </c>
      <c r="H337" s="1">
        <v>85</v>
      </c>
      <c r="I337">
        <f t="shared" si="9"/>
        <v>273</v>
      </c>
    </row>
    <row r="338" spans="1:9" ht="13.2" x14ac:dyDescent="0.25">
      <c r="A338" s="1" t="s">
        <v>8</v>
      </c>
      <c r="B338" s="1" t="s">
        <v>13</v>
      </c>
      <c r="C338" s="1" t="s">
        <v>16</v>
      </c>
      <c r="D338" s="1" t="s">
        <v>11</v>
      </c>
      <c r="E338" s="1" t="s">
        <v>12</v>
      </c>
      <c r="F338" s="1">
        <v>77</v>
      </c>
      <c r="G338" s="1">
        <v>79</v>
      </c>
      <c r="H338" s="1">
        <v>79</v>
      </c>
      <c r="I338">
        <f t="shared" si="9"/>
        <v>235</v>
      </c>
    </row>
    <row r="339" spans="1:9" ht="13.2" x14ac:dyDescent="0.25">
      <c r="A339" s="1" t="s">
        <v>19</v>
      </c>
      <c r="B339" s="1" t="s">
        <v>18</v>
      </c>
      <c r="C339" s="1" t="s">
        <v>16</v>
      </c>
      <c r="D339" s="1" t="s">
        <v>11</v>
      </c>
      <c r="E339" s="1" t="s">
        <v>12</v>
      </c>
      <c r="F339" s="1">
        <v>63</v>
      </c>
      <c r="G339" s="1">
        <v>67</v>
      </c>
      <c r="H339" s="1">
        <v>57</v>
      </c>
      <c r="I339">
        <f t="shared" si="9"/>
        <v>187</v>
      </c>
    </row>
    <row r="340" spans="1:9" ht="13.2" x14ac:dyDescent="0.25">
      <c r="A340" s="1" t="s">
        <v>8</v>
      </c>
      <c r="B340" s="1" t="s">
        <v>18</v>
      </c>
      <c r="C340" s="1" t="s">
        <v>14</v>
      </c>
      <c r="D340" s="1" t="s">
        <v>11</v>
      </c>
      <c r="E340" s="1" t="s">
        <v>17</v>
      </c>
      <c r="F340" s="1">
        <v>69</v>
      </c>
      <c r="G340" s="1">
        <v>83</v>
      </c>
      <c r="H340" s="1">
        <v>83</v>
      </c>
      <c r="I340">
        <f t="shared" si="9"/>
        <v>235</v>
      </c>
    </row>
    <row r="341" spans="1:9" ht="13.2" x14ac:dyDescent="0.25">
      <c r="A341" s="1" t="s">
        <v>19</v>
      </c>
      <c r="B341" s="1" t="s">
        <v>9</v>
      </c>
      <c r="C341" s="1" t="s">
        <v>24</v>
      </c>
      <c r="D341" s="1" t="s">
        <v>23</v>
      </c>
      <c r="E341" s="1" t="s">
        <v>12</v>
      </c>
      <c r="F341" s="1">
        <v>59</v>
      </c>
      <c r="G341" s="1">
        <v>61</v>
      </c>
      <c r="H341" s="1">
        <v>58</v>
      </c>
      <c r="I341">
        <f t="shared" si="9"/>
        <v>178</v>
      </c>
    </row>
    <row r="342" spans="1:9" ht="13.2" x14ac:dyDescent="0.25">
      <c r="A342" s="1" t="s">
        <v>8</v>
      </c>
      <c r="B342" s="1" t="s">
        <v>18</v>
      </c>
      <c r="C342" s="1" t="s">
        <v>14</v>
      </c>
      <c r="D342" s="1" t="s">
        <v>11</v>
      </c>
      <c r="E342" s="1" t="s">
        <v>12</v>
      </c>
      <c r="F342" s="1">
        <v>74</v>
      </c>
      <c r="G342" s="1">
        <v>90</v>
      </c>
      <c r="H342" s="1">
        <v>85</v>
      </c>
      <c r="I342">
        <f t="shared" si="9"/>
        <v>249</v>
      </c>
    </row>
    <row r="343" spans="1:9" ht="13.2" x14ac:dyDescent="0.25">
      <c r="A343" s="1" t="s">
        <v>19</v>
      </c>
      <c r="B343" s="1" t="s">
        <v>15</v>
      </c>
      <c r="C343" s="1" t="s">
        <v>22</v>
      </c>
      <c r="D343" s="1" t="s">
        <v>23</v>
      </c>
      <c r="E343" s="1" t="s">
        <v>12</v>
      </c>
      <c r="F343" s="1">
        <v>45</v>
      </c>
      <c r="G343" s="1">
        <v>47</v>
      </c>
      <c r="H343" s="1">
        <v>44</v>
      </c>
      <c r="I343">
        <f t="shared" si="9"/>
        <v>136</v>
      </c>
    </row>
    <row r="344" spans="1:9" ht="13.2" x14ac:dyDescent="0.25">
      <c r="A344" s="1" t="s">
        <v>19</v>
      </c>
      <c r="B344" s="1" t="s">
        <v>13</v>
      </c>
      <c r="C344" s="1" t="s">
        <v>14</v>
      </c>
      <c r="D344" s="1" t="s">
        <v>23</v>
      </c>
      <c r="E344" s="1" t="s">
        <v>12</v>
      </c>
      <c r="F344" s="1">
        <v>54</v>
      </c>
      <c r="G344" s="1">
        <v>56</v>
      </c>
      <c r="H344" s="1">
        <v>56</v>
      </c>
      <c r="I344">
        <f t="shared" si="9"/>
        <v>166</v>
      </c>
    </row>
    <row r="345" spans="1:9" ht="13.2" x14ac:dyDescent="0.25">
      <c r="A345" s="1" t="s">
        <v>8</v>
      </c>
      <c r="B345" s="1" t="s">
        <v>18</v>
      </c>
      <c r="C345" s="1" t="s">
        <v>22</v>
      </c>
      <c r="D345" s="1" t="s">
        <v>11</v>
      </c>
      <c r="E345" s="1" t="s">
        <v>17</v>
      </c>
      <c r="F345" s="1">
        <v>62</v>
      </c>
      <c r="G345" s="1">
        <v>69</v>
      </c>
      <c r="H345" s="1">
        <v>72</v>
      </c>
      <c r="I345">
        <f t="shared" si="9"/>
        <v>203</v>
      </c>
    </row>
    <row r="346" spans="1:9" ht="13.2" x14ac:dyDescent="0.25">
      <c r="A346" s="1" t="s">
        <v>8</v>
      </c>
      <c r="B346" s="1" t="s">
        <v>9</v>
      </c>
      <c r="C346" s="1" t="s">
        <v>20</v>
      </c>
      <c r="D346" s="1" t="s">
        <v>11</v>
      </c>
      <c r="E346" s="1" t="s">
        <v>12</v>
      </c>
      <c r="F346" s="1">
        <v>60</v>
      </c>
      <c r="G346" s="1">
        <v>50</v>
      </c>
      <c r="H346" s="1">
        <v>56</v>
      </c>
      <c r="I346">
        <f t="shared" si="9"/>
        <v>166</v>
      </c>
    </row>
    <row r="347" spans="1:9" ht="13.2" x14ac:dyDescent="0.25">
      <c r="A347" s="1" t="s">
        <v>8</v>
      </c>
      <c r="B347" s="1" t="s">
        <v>13</v>
      </c>
      <c r="C347" s="1" t="s">
        <v>24</v>
      </c>
      <c r="D347" s="1" t="s">
        <v>11</v>
      </c>
      <c r="E347" s="1" t="s">
        <v>12</v>
      </c>
      <c r="F347" s="1">
        <v>63</v>
      </c>
      <c r="G347" s="1">
        <v>80</v>
      </c>
      <c r="H347" s="1">
        <v>80</v>
      </c>
      <c r="I347">
        <f t="shared" si="9"/>
        <v>223</v>
      </c>
    </row>
    <row r="348" spans="1:9" ht="13.2" x14ac:dyDescent="0.25">
      <c r="A348" s="1" t="s">
        <v>19</v>
      </c>
      <c r="B348" s="1" t="s">
        <v>18</v>
      </c>
      <c r="C348" s="1" t="s">
        <v>22</v>
      </c>
      <c r="D348" s="1" t="s">
        <v>23</v>
      </c>
      <c r="E348" s="1" t="s">
        <v>17</v>
      </c>
      <c r="F348" s="1">
        <v>44</v>
      </c>
      <c r="G348" s="1">
        <v>39</v>
      </c>
      <c r="H348" s="1">
        <v>41</v>
      </c>
      <c r="I348">
        <f t="shared" si="9"/>
        <v>124</v>
      </c>
    </row>
    <row r="349" spans="1:9" ht="13.2" x14ac:dyDescent="0.25">
      <c r="A349" s="1" t="s">
        <v>8</v>
      </c>
      <c r="B349" s="1" t="s">
        <v>18</v>
      </c>
      <c r="C349" s="1" t="s">
        <v>14</v>
      </c>
      <c r="D349" s="1" t="s">
        <v>11</v>
      </c>
      <c r="E349" s="1" t="s">
        <v>17</v>
      </c>
      <c r="F349" s="1">
        <v>96</v>
      </c>
      <c r="G349" s="1">
        <v>100</v>
      </c>
      <c r="H349" s="1">
        <v>100</v>
      </c>
      <c r="I349">
        <f t="shared" si="9"/>
        <v>296</v>
      </c>
    </row>
    <row r="350" spans="1:9" ht="13.2" x14ac:dyDescent="0.25">
      <c r="A350" s="1" t="s">
        <v>8</v>
      </c>
      <c r="B350" s="1" t="s">
        <v>21</v>
      </c>
      <c r="C350" s="1" t="s">
        <v>10</v>
      </c>
      <c r="D350" s="1" t="s">
        <v>23</v>
      </c>
      <c r="E350" s="1" t="s">
        <v>17</v>
      </c>
      <c r="F350" s="1">
        <v>73</v>
      </c>
      <c r="G350" s="1">
        <v>82</v>
      </c>
      <c r="H350" s="1">
        <v>89</v>
      </c>
      <c r="I350">
        <f t="shared" si="9"/>
        <v>244</v>
      </c>
    </row>
    <row r="351" spans="1:9" ht="13.2" x14ac:dyDescent="0.25">
      <c r="A351" s="1" t="s">
        <v>8</v>
      </c>
      <c r="B351" s="1" t="s">
        <v>13</v>
      </c>
      <c r="C351" s="1" t="s">
        <v>20</v>
      </c>
      <c r="D351" s="1" t="s">
        <v>23</v>
      </c>
      <c r="E351" s="1" t="s">
        <v>12</v>
      </c>
      <c r="F351" s="1">
        <v>65</v>
      </c>
      <c r="G351" s="1">
        <v>87</v>
      </c>
      <c r="H351" s="1">
        <v>84</v>
      </c>
      <c r="I351">
        <f t="shared" si="9"/>
        <v>236</v>
      </c>
    </row>
    <row r="352" spans="1:9" ht="13.2" x14ac:dyDescent="0.25">
      <c r="A352" s="1" t="s">
        <v>19</v>
      </c>
      <c r="B352" s="1" t="s">
        <v>9</v>
      </c>
      <c r="C352" s="1" t="s">
        <v>20</v>
      </c>
      <c r="D352" s="1" t="s">
        <v>23</v>
      </c>
      <c r="E352" s="1" t="s">
        <v>12</v>
      </c>
      <c r="F352" s="1">
        <v>56</v>
      </c>
      <c r="G352" s="1">
        <v>62</v>
      </c>
      <c r="H352" s="1">
        <v>58</v>
      </c>
      <c r="I352">
        <f t="shared" si="9"/>
        <v>176</v>
      </c>
    </row>
    <row r="353" spans="1:9" ht="13.2" x14ac:dyDescent="0.25">
      <c r="A353" s="1" t="s">
        <v>19</v>
      </c>
      <c r="B353" s="1" t="s">
        <v>9</v>
      </c>
      <c r="C353" s="1" t="s">
        <v>24</v>
      </c>
      <c r="D353" s="1" t="s">
        <v>11</v>
      </c>
      <c r="E353" s="1" t="s">
        <v>17</v>
      </c>
      <c r="F353" s="1">
        <v>92</v>
      </c>
      <c r="G353" s="1">
        <v>81</v>
      </c>
      <c r="H353" s="1">
        <v>91</v>
      </c>
      <c r="I353">
        <f t="shared" si="9"/>
        <v>264</v>
      </c>
    </row>
    <row r="354" spans="1:9" ht="13.2" x14ac:dyDescent="0.25">
      <c r="A354" s="1" t="s">
        <v>8</v>
      </c>
      <c r="B354" s="1" t="s">
        <v>18</v>
      </c>
      <c r="C354" s="1" t="s">
        <v>16</v>
      </c>
      <c r="D354" s="1" t="s">
        <v>23</v>
      </c>
      <c r="E354" s="1" t="s">
        <v>17</v>
      </c>
      <c r="F354" s="1">
        <v>50</v>
      </c>
      <c r="G354" s="1">
        <v>68</v>
      </c>
      <c r="H354" s="1">
        <v>74</v>
      </c>
      <c r="I354">
        <f t="shared" si="9"/>
        <v>192</v>
      </c>
    </row>
    <row r="355" spans="1:9" ht="13.2" x14ac:dyDescent="0.25">
      <c r="A355" s="1" t="s">
        <v>8</v>
      </c>
      <c r="B355" s="1" t="s">
        <v>13</v>
      </c>
      <c r="C355" s="1" t="s">
        <v>20</v>
      </c>
      <c r="D355" s="1" t="s">
        <v>11</v>
      </c>
      <c r="E355" s="1" t="s">
        <v>17</v>
      </c>
      <c r="F355" s="1">
        <v>75</v>
      </c>
      <c r="G355" s="1">
        <v>76</v>
      </c>
      <c r="H355" s="1">
        <v>83</v>
      </c>
      <c r="I355">
        <f t="shared" si="9"/>
        <v>234</v>
      </c>
    </row>
    <row r="356" spans="1:9" ht="13.2" x14ac:dyDescent="0.25">
      <c r="A356" s="1" t="s">
        <v>8</v>
      </c>
      <c r="B356" s="1" t="s">
        <v>21</v>
      </c>
      <c r="C356" s="1" t="s">
        <v>14</v>
      </c>
      <c r="D356" s="1" t="s">
        <v>11</v>
      </c>
      <c r="E356" s="1" t="s">
        <v>17</v>
      </c>
      <c r="F356" s="1">
        <v>82</v>
      </c>
      <c r="G356" s="1">
        <v>88</v>
      </c>
      <c r="H356" s="1">
        <v>92</v>
      </c>
      <c r="I356">
        <f t="shared" si="9"/>
        <v>262</v>
      </c>
    </row>
    <row r="357" spans="1:9" ht="13.2" x14ac:dyDescent="0.25">
      <c r="A357" s="1" t="s">
        <v>8</v>
      </c>
      <c r="B357" s="1" t="s">
        <v>9</v>
      </c>
      <c r="C357" s="1" t="s">
        <v>22</v>
      </c>
      <c r="D357" s="1" t="s">
        <v>23</v>
      </c>
      <c r="E357" s="1" t="s">
        <v>12</v>
      </c>
      <c r="F357" s="1">
        <v>58</v>
      </c>
      <c r="G357" s="1">
        <v>76</v>
      </c>
      <c r="H357" s="1">
        <v>68</v>
      </c>
      <c r="I357">
        <f t="shared" si="9"/>
        <v>202</v>
      </c>
    </row>
    <row r="358" spans="1:9" ht="13.2" x14ac:dyDescent="0.25">
      <c r="A358" s="1" t="s">
        <v>8</v>
      </c>
      <c r="B358" s="1" t="s">
        <v>18</v>
      </c>
      <c r="C358" s="1" t="s">
        <v>10</v>
      </c>
      <c r="D358" s="1" t="s">
        <v>23</v>
      </c>
      <c r="E358" s="1" t="s">
        <v>17</v>
      </c>
      <c r="F358" s="1">
        <v>42</v>
      </c>
      <c r="G358" s="1">
        <v>53</v>
      </c>
      <c r="H358" s="1">
        <v>62</v>
      </c>
      <c r="I358">
        <f t="shared" si="9"/>
        <v>157</v>
      </c>
    </row>
    <row r="359" spans="1:9" ht="13.2" x14ac:dyDescent="0.25">
      <c r="A359" s="1" t="s">
        <v>19</v>
      </c>
      <c r="B359" s="1" t="s">
        <v>9</v>
      </c>
      <c r="C359" s="1" t="s">
        <v>16</v>
      </c>
      <c r="D359" s="1" t="s">
        <v>11</v>
      </c>
      <c r="E359" s="1" t="s">
        <v>12</v>
      </c>
      <c r="F359" s="1">
        <v>80</v>
      </c>
      <c r="G359" s="1">
        <v>72</v>
      </c>
      <c r="H359" s="1">
        <v>64</v>
      </c>
      <c r="I359">
        <f t="shared" si="9"/>
        <v>216</v>
      </c>
    </row>
    <row r="360" spans="1:9" ht="13.2" x14ac:dyDescent="0.25">
      <c r="A360" s="1" t="s">
        <v>19</v>
      </c>
      <c r="B360" s="1" t="s">
        <v>18</v>
      </c>
      <c r="C360" s="1" t="s">
        <v>20</v>
      </c>
      <c r="D360" s="1" t="s">
        <v>23</v>
      </c>
      <c r="E360" s="1" t="s">
        <v>12</v>
      </c>
      <c r="F360" s="1">
        <v>62</v>
      </c>
      <c r="G360" s="1">
        <v>58</v>
      </c>
      <c r="H360" s="1">
        <v>52</v>
      </c>
      <c r="I360">
        <f t="shared" si="9"/>
        <v>172</v>
      </c>
    </row>
    <row r="361" spans="1:9" ht="13.2" x14ac:dyDescent="0.25">
      <c r="A361" s="1" t="s">
        <v>8</v>
      </c>
      <c r="B361" s="1" t="s">
        <v>15</v>
      </c>
      <c r="C361" s="1" t="s">
        <v>10</v>
      </c>
      <c r="D361" s="1" t="s">
        <v>11</v>
      </c>
      <c r="E361" s="1" t="s">
        <v>12</v>
      </c>
      <c r="F361" s="1">
        <v>76</v>
      </c>
      <c r="G361" s="1">
        <v>78</v>
      </c>
      <c r="H361" s="1">
        <v>77</v>
      </c>
      <c r="I361">
        <f t="shared" si="9"/>
        <v>231</v>
      </c>
    </row>
    <row r="362" spans="1:9" ht="13.2" x14ac:dyDescent="0.25">
      <c r="A362" s="1" t="s">
        <v>19</v>
      </c>
      <c r="B362" s="1" t="s">
        <v>21</v>
      </c>
      <c r="C362" s="1" t="s">
        <v>16</v>
      </c>
      <c r="D362" s="1" t="s">
        <v>11</v>
      </c>
      <c r="E362" s="1" t="s">
        <v>17</v>
      </c>
      <c r="F362" s="1">
        <v>90</v>
      </c>
      <c r="G362" s="1">
        <v>80</v>
      </c>
      <c r="H362" s="1">
        <v>81</v>
      </c>
      <c r="I362">
        <f t="shared" si="9"/>
        <v>251</v>
      </c>
    </row>
    <row r="363" spans="1:9" ht="13.2" x14ac:dyDescent="0.25">
      <c r="A363" s="1" t="s">
        <v>8</v>
      </c>
      <c r="B363" s="1" t="s">
        <v>21</v>
      </c>
      <c r="C363" s="1" t="s">
        <v>10</v>
      </c>
      <c r="D363" s="1" t="s">
        <v>23</v>
      </c>
      <c r="E363" s="1" t="s">
        <v>17</v>
      </c>
      <c r="F363" s="1">
        <v>65</v>
      </c>
      <c r="G363" s="1">
        <v>70</v>
      </c>
      <c r="H363" s="1">
        <v>74</v>
      </c>
      <c r="I363">
        <f t="shared" si="9"/>
        <v>209</v>
      </c>
    </row>
    <row r="364" spans="1:9" ht="13.2" x14ac:dyDescent="0.25">
      <c r="A364" s="1" t="s">
        <v>8</v>
      </c>
      <c r="B364" s="1" t="s">
        <v>9</v>
      </c>
      <c r="C364" s="1" t="s">
        <v>10</v>
      </c>
      <c r="D364" s="1" t="s">
        <v>11</v>
      </c>
      <c r="E364" s="1" t="s">
        <v>12</v>
      </c>
      <c r="F364" s="1">
        <v>43</v>
      </c>
      <c r="G364" s="1">
        <v>51</v>
      </c>
      <c r="H364" s="1">
        <v>42</v>
      </c>
      <c r="I364">
        <f t="shared" si="9"/>
        <v>136</v>
      </c>
    </row>
    <row r="365" spans="1:9" ht="13.2" x14ac:dyDescent="0.25">
      <c r="A365" s="1" t="s">
        <v>19</v>
      </c>
      <c r="B365" s="1" t="s">
        <v>18</v>
      </c>
      <c r="C365" s="1" t="s">
        <v>24</v>
      </c>
      <c r="D365" s="1" t="s">
        <v>11</v>
      </c>
      <c r="E365" s="1" t="s">
        <v>17</v>
      </c>
      <c r="F365" s="1">
        <v>100</v>
      </c>
      <c r="G365" s="1">
        <v>88</v>
      </c>
      <c r="H365" s="1">
        <v>92</v>
      </c>
      <c r="I365">
        <f t="shared" si="9"/>
        <v>280</v>
      </c>
    </row>
    <row r="366" spans="1:9" ht="13.2" x14ac:dyDescent="0.25">
      <c r="A366" s="1" t="s">
        <v>19</v>
      </c>
      <c r="B366" s="1" t="s">
        <v>18</v>
      </c>
      <c r="C366" s="1" t="s">
        <v>22</v>
      </c>
      <c r="D366" s="1" t="s">
        <v>11</v>
      </c>
      <c r="E366" s="1" t="s">
        <v>17</v>
      </c>
      <c r="F366" s="1">
        <v>84</v>
      </c>
      <c r="G366" s="1">
        <v>69</v>
      </c>
      <c r="H366" s="1">
        <v>74</v>
      </c>
      <c r="I366">
        <f t="shared" si="9"/>
        <v>227</v>
      </c>
    </row>
    <row r="367" spans="1:9" ht="13.2" x14ac:dyDescent="0.25">
      <c r="A367" s="1" t="s">
        <v>8</v>
      </c>
      <c r="B367" s="1" t="s">
        <v>21</v>
      </c>
      <c r="C367" s="1" t="s">
        <v>16</v>
      </c>
      <c r="D367" s="1" t="s">
        <v>11</v>
      </c>
      <c r="E367" s="1" t="s">
        <v>12</v>
      </c>
      <c r="F367" s="1">
        <v>94</v>
      </c>
      <c r="G367" s="1">
        <v>97</v>
      </c>
      <c r="H367" s="1">
        <v>97</v>
      </c>
      <c r="I367">
        <f t="shared" si="9"/>
        <v>288</v>
      </c>
    </row>
    <row r="368" spans="1:9" ht="13.2" x14ac:dyDescent="0.25">
      <c r="A368" s="1" t="s">
        <v>8</v>
      </c>
      <c r="B368" s="1" t="s">
        <v>21</v>
      </c>
      <c r="C368" s="1" t="s">
        <v>16</v>
      </c>
      <c r="D368" s="1" t="s">
        <v>11</v>
      </c>
      <c r="E368" s="1" t="s">
        <v>12</v>
      </c>
      <c r="F368" s="1">
        <v>88</v>
      </c>
      <c r="G368" s="1">
        <v>89</v>
      </c>
      <c r="H368" s="1">
        <v>86</v>
      </c>
      <c r="I368">
        <f t="shared" si="9"/>
        <v>263</v>
      </c>
    </row>
    <row r="369" spans="1:9" ht="13.2" x14ac:dyDescent="0.25">
      <c r="A369" s="1" t="s">
        <v>19</v>
      </c>
      <c r="B369" s="1" t="s">
        <v>18</v>
      </c>
      <c r="C369" s="1" t="s">
        <v>16</v>
      </c>
      <c r="D369" s="1" t="s">
        <v>11</v>
      </c>
      <c r="E369" s="1" t="s">
        <v>12</v>
      </c>
      <c r="F369" s="1">
        <v>61</v>
      </c>
      <c r="G369" s="1">
        <v>54</v>
      </c>
      <c r="H369" s="1">
        <v>58</v>
      </c>
      <c r="I369">
        <f t="shared" si="9"/>
        <v>173</v>
      </c>
    </row>
    <row r="370" spans="1:9" ht="13.2" x14ac:dyDescent="0.25">
      <c r="A370" s="1" t="s">
        <v>19</v>
      </c>
      <c r="B370" s="1" t="s">
        <v>18</v>
      </c>
      <c r="C370" s="1" t="s">
        <v>22</v>
      </c>
      <c r="D370" s="1" t="s">
        <v>11</v>
      </c>
      <c r="E370" s="1" t="s">
        <v>12</v>
      </c>
      <c r="F370" s="1">
        <v>59</v>
      </c>
      <c r="G370" s="1">
        <v>61</v>
      </c>
      <c r="H370" s="1">
        <v>58</v>
      </c>
      <c r="I370">
        <f t="shared" si="9"/>
        <v>178</v>
      </c>
    </row>
    <row r="371" spans="1:9" ht="13.2" x14ac:dyDescent="0.25">
      <c r="A371" s="1" t="s">
        <v>19</v>
      </c>
      <c r="B371" s="1" t="s">
        <v>13</v>
      </c>
      <c r="C371" s="1" t="s">
        <v>10</v>
      </c>
      <c r="D371" s="1" t="s">
        <v>11</v>
      </c>
      <c r="E371" s="1" t="s">
        <v>17</v>
      </c>
      <c r="F371" s="1">
        <v>45</v>
      </c>
      <c r="G371" s="1">
        <v>49</v>
      </c>
      <c r="H371" s="1">
        <v>47</v>
      </c>
      <c r="I371">
        <f t="shared" si="9"/>
        <v>141</v>
      </c>
    </row>
    <row r="372" spans="1:9" ht="13.2" x14ac:dyDescent="0.25">
      <c r="A372" s="1" t="s">
        <v>19</v>
      </c>
      <c r="B372" s="1" t="s">
        <v>18</v>
      </c>
      <c r="C372" s="1" t="s">
        <v>16</v>
      </c>
      <c r="D372" s="1" t="s">
        <v>23</v>
      </c>
      <c r="E372" s="1" t="s">
        <v>12</v>
      </c>
      <c r="F372" s="1">
        <v>28</v>
      </c>
      <c r="G372" s="1">
        <v>32</v>
      </c>
      <c r="H372" s="1">
        <v>27</v>
      </c>
      <c r="I372">
        <f t="shared" si="9"/>
        <v>87</v>
      </c>
    </row>
    <row r="373" spans="1:9" ht="13.2" x14ac:dyDescent="0.25">
      <c r="A373" s="1" t="s">
        <v>19</v>
      </c>
      <c r="B373" s="1" t="s">
        <v>15</v>
      </c>
      <c r="C373" s="1" t="s">
        <v>22</v>
      </c>
      <c r="D373" s="1" t="s">
        <v>23</v>
      </c>
      <c r="E373" s="1" t="s">
        <v>17</v>
      </c>
      <c r="F373" s="1">
        <v>46</v>
      </c>
      <c r="G373" s="1">
        <v>48</v>
      </c>
      <c r="H373" s="1">
        <v>50</v>
      </c>
      <c r="I373">
        <f t="shared" si="9"/>
        <v>144</v>
      </c>
    </row>
    <row r="374" spans="1:9" ht="13.2" x14ac:dyDescent="0.25">
      <c r="A374" s="1" t="s">
        <v>19</v>
      </c>
      <c r="B374" s="1" t="s">
        <v>18</v>
      </c>
      <c r="C374" s="1" t="s">
        <v>16</v>
      </c>
      <c r="D374" s="1" t="s">
        <v>23</v>
      </c>
      <c r="E374" s="1" t="s">
        <v>17</v>
      </c>
      <c r="F374" s="1">
        <v>66</v>
      </c>
      <c r="G374" s="1">
        <v>62</v>
      </c>
      <c r="H374" s="1">
        <v>57</v>
      </c>
      <c r="I374">
        <f t="shared" si="9"/>
        <v>185</v>
      </c>
    </row>
    <row r="375" spans="1:9" ht="13.2" x14ac:dyDescent="0.25">
      <c r="A375" s="1" t="s">
        <v>8</v>
      </c>
      <c r="B375" s="1" t="s">
        <v>18</v>
      </c>
      <c r="C375" s="1" t="s">
        <v>14</v>
      </c>
      <c r="D375" s="1" t="s">
        <v>11</v>
      </c>
      <c r="E375" s="1" t="s">
        <v>12</v>
      </c>
      <c r="F375" s="1">
        <v>34</v>
      </c>
      <c r="G375" s="1">
        <v>43</v>
      </c>
      <c r="H375" s="1">
        <v>44</v>
      </c>
      <c r="I375">
        <f t="shared" si="9"/>
        <v>121</v>
      </c>
    </row>
    <row r="376" spans="1:9" ht="13.2" x14ac:dyDescent="0.25">
      <c r="A376" s="1" t="s">
        <v>19</v>
      </c>
      <c r="B376" s="1" t="s">
        <v>18</v>
      </c>
      <c r="C376" s="1" t="s">
        <v>16</v>
      </c>
      <c r="D376" s="1" t="s">
        <v>11</v>
      </c>
      <c r="E376" s="1" t="s">
        <v>17</v>
      </c>
      <c r="F376" s="1">
        <v>94</v>
      </c>
      <c r="G376" s="1">
        <v>92</v>
      </c>
      <c r="H376" s="1">
        <v>87</v>
      </c>
      <c r="I376">
        <f t="shared" si="9"/>
        <v>273</v>
      </c>
    </row>
    <row r="377" spans="1:9" ht="13.2" x14ac:dyDescent="0.25">
      <c r="A377" s="1" t="s">
        <v>8</v>
      </c>
      <c r="B377" s="1" t="s">
        <v>18</v>
      </c>
      <c r="C377" s="1" t="s">
        <v>14</v>
      </c>
      <c r="D377" s="1" t="s">
        <v>11</v>
      </c>
      <c r="E377" s="1" t="s">
        <v>12</v>
      </c>
      <c r="F377" s="1">
        <v>55</v>
      </c>
      <c r="G377" s="1">
        <v>65</v>
      </c>
      <c r="H377" s="1">
        <v>68</v>
      </c>
      <c r="I377">
        <f t="shared" si="9"/>
        <v>188</v>
      </c>
    </row>
    <row r="378" spans="1:9" ht="13.2" x14ac:dyDescent="0.25">
      <c r="A378" s="1" t="s">
        <v>19</v>
      </c>
      <c r="B378" s="1" t="s">
        <v>18</v>
      </c>
      <c r="C378" s="1" t="s">
        <v>14</v>
      </c>
      <c r="D378" s="1" t="s">
        <v>11</v>
      </c>
      <c r="E378" s="1" t="s">
        <v>12</v>
      </c>
      <c r="F378" s="1">
        <v>90</v>
      </c>
      <c r="G378" s="1">
        <v>86</v>
      </c>
      <c r="H378" s="1">
        <v>81</v>
      </c>
      <c r="I378">
        <f t="shared" si="9"/>
        <v>257</v>
      </c>
    </row>
    <row r="379" spans="1:9" ht="13.2" x14ac:dyDescent="0.25">
      <c r="A379" s="1" t="s">
        <v>19</v>
      </c>
      <c r="B379" s="1" t="s">
        <v>21</v>
      </c>
      <c r="C379" s="1" t="s">
        <v>22</v>
      </c>
      <c r="D379" s="1" t="s">
        <v>11</v>
      </c>
      <c r="E379" s="1" t="s">
        <v>17</v>
      </c>
      <c r="F379" s="1">
        <v>80</v>
      </c>
      <c r="G379" s="1">
        <v>79</v>
      </c>
      <c r="H379" s="1">
        <v>79</v>
      </c>
      <c r="I379">
        <f t="shared" si="9"/>
        <v>238</v>
      </c>
    </row>
    <row r="380" spans="1:9" ht="13.2" x14ac:dyDescent="0.25">
      <c r="A380" s="1" t="s">
        <v>19</v>
      </c>
      <c r="B380" s="1" t="s">
        <v>18</v>
      </c>
      <c r="C380" s="1" t="s">
        <v>22</v>
      </c>
      <c r="D380" s="1" t="s">
        <v>11</v>
      </c>
      <c r="E380" s="1" t="s">
        <v>12</v>
      </c>
      <c r="F380" s="1">
        <v>78</v>
      </c>
      <c r="G380" s="1">
        <v>70</v>
      </c>
      <c r="H380" s="1">
        <v>71</v>
      </c>
      <c r="I380">
        <f t="shared" si="9"/>
        <v>219</v>
      </c>
    </row>
    <row r="381" spans="1:9" ht="13.2" x14ac:dyDescent="0.25">
      <c r="A381" s="1" t="s">
        <v>8</v>
      </c>
      <c r="B381" s="1" t="s">
        <v>18</v>
      </c>
      <c r="C381" s="1" t="s">
        <v>22</v>
      </c>
      <c r="D381" s="1" t="s">
        <v>23</v>
      </c>
      <c r="E381" s="1" t="s">
        <v>17</v>
      </c>
      <c r="F381" s="1">
        <v>46</v>
      </c>
      <c r="G381" s="1">
        <v>58</v>
      </c>
      <c r="H381" s="1">
        <v>59</v>
      </c>
      <c r="I381">
        <f t="shared" si="9"/>
        <v>163</v>
      </c>
    </row>
    <row r="382" spans="1:9" ht="13.2" x14ac:dyDescent="0.25">
      <c r="A382" s="1" t="s">
        <v>19</v>
      </c>
      <c r="B382" s="1" t="s">
        <v>13</v>
      </c>
      <c r="C382" s="1" t="s">
        <v>22</v>
      </c>
      <c r="D382" s="1" t="s">
        <v>11</v>
      </c>
      <c r="E382" s="1" t="s">
        <v>17</v>
      </c>
      <c r="F382" s="1">
        <v>75</v>
      </c>
      <c r="G382" s="1">
        <v>74</v>
      </c>
      <c r="H382" s="1">
        <v>77</v>
      </c>
      <c r="I382">
        <f t="shared" si="9"/>
        <v>226</v>
      </c>
    </row>
    <row r="383" spans="1:9" ht="13.2" x14ac:dyDescent="0.25">
      <c r="A383" s="1" t="s">
        <v>8</v>
      </c>
      <c r="B383" s="1" t="s">
        <v>18</v>
      </c>
      <c r="C383" s="1" t="s">
        <v>22</v>
      </c>
      <c r="D383" s="1" t="s">
        <v>11</v>
      </c>
      <c r="E383" s="1" t="s">
        <v>17</v>
      </c>
      <c r="F383" s="1">
        <v>85</v>
      </c>
      <c r="G383" s="1">
        <v>84</v>
      </c>
      <c r="H383" s="1">
        <v>89</v>
      </c>
      <c r="I383">
        <f t="shared" si="9"/>
        <v>258</v>
      </c>
    </row>
    <row r="384" spans="1:9" ht="13.2" x14ac:dyDescent="0.25">
      <c r="A384" s="1" t="s">
        <v>19</v>
      </c>
      <c r="B384" s="1" t="s">
        <v>21</v>
      </c>
      <c r="C384" s="1" t="s">
        <v>10</v>
      </c>
      <c r="D384" s="1" t="s">
        <v>23</v>
      </c>
      <c r="E384" s="1" t="s">
        <v>12</v>
      </c>
      <c r="F384" s="1">
        <v>60</v>
      </c>
      <c r="G384" s="1">
        <v>52</v>
      </c>
      <c r="H384" s="1">
        <v>51</v>
      </c>
      <c r="I384">
        <f t="shared" si="9"/>
        <v>163</v>
      </c>
    </row>
    <row r="385" spans="1:9" ht="13.2" x14ac:dyDescent="0.25">
      <c r="A385" s="1" t="s">
        <v>8</v>
      </c>
      <c r="B385" s="1" t="s">
        <v>9</v>
      </c>
      <c r="C385" s="1" t="s">
        <v>22</v>
      </c>
      <c r="D385" s="1" t="s">
        <v>23</v>
      </c>
      <c r="E385" s="1" t="s">
        <v>12</v>
      </c>
      <c r="F385" s="1">
        <v>67</v>
      </c>
      <c r="G385" s="1">
        <v>79</v>
      </c>
      <c r="H385" s="1">
        <v>78</v>
      </c>
      <c r="I385">
        <f t="shared" si="9"/>
        <v>224</v>
      </c>
    </row>
    <row r="386" spans="1:9" ht="13.2" x14ac:dyDescent="0.25">
      <c r="A386" s="1" t="s">
        <v>19</v>
      </c>
      <c r="B386" s="1" t="s">
        <v>9</v>
      </c>
      <c r="C386" s="1" t="s">
        <v>20</v>
      </c>
      <c r="D386" s="1" t="s">
        <v>11</v>
      </c>
      <c r="E386" s="1" t="s">
        <v>12</v>
      </c>
      <c r="F386" s="1">
        <v>54</v>
      </c>
      <c r="G386" s="1">
        <v>33</v>
      </c>
      <c r="H386" s="1">
        <v>39</v>
      </c>
      <c r="I386">
        <f t="shared" si="9"/>
        <v>126</v>
      </c>
    </row>
    <row r="387" spans="1:9" ht="13.2" x14ac:dyDescent="0.25">
      <c r="A387" s="1" t="s">
        <v>19</v>
      </c>
      <c r="B387" s="1" t="s">
        <v>13</v>
      </c>
      <c r="C387" s="1" t="s">
        <v>22</v>
      </c>
      <c r="D387" s="1" t="s">
        <v>23</v>
      </c>
      <c r="E387" s="1" t="s">
        <v>12</v>
      </c>
      <c r="F387" s="1">
        <v>57</v>
      </c>
      <c r="G387" s="1">
        <v>61</v>
      </c>
      <c r="H387" s="1">
        <v>56</v>
      </c>
      <c r="I387">
        <f t="shared" ref="I387:I450" si="10">SUM(F387:H387)</f>
        <v>174</v>
      </c>
    </row>
    <row r="388" spans="1:9" ht="13.2" x14ac:dyDescent="0.25">
      <c r="A388" s="1" t="s">
        <v>19</v>
      </c>
      <c r="B388" s="1" t="s">
        <v>9</v>
      </c>
      <c r="C388" s="1" t="s">
        <v>20</v>
      </c>
      <c r="D388" s="1" t="s">
        <v>11</v>
      </c>
      <c r="E388" s="1" t="s">
        <v>12</v>
      </c>
      <c r="F388" s="1">
        <v>77</v>
      </c>
      <c r="G388" s="1">
        <v>77</v>
      </c>
      <c r="H388" s="1">
        <v>76</v>
      </c>
      <c r="I388">
        <f t="shared" si="10"/>
        <v>230</v>
      </c>
    </row>
    <row r="389" spans="1:9" ht="13.2" x14ac:dyDescent="0.25">
      <c r="A389" s="1" t="s">
        <v>19</v>
      </c>
      <c r="B389" s="1" t="s">
        <v>13</v>
      </c>
      <c r="C389" s="1" t="s">
        <v>10</v>
      </c>
      <c r="D389" s="1" t="s">
        <v>11</v>
      </c>
      <c r="E389" s="1" t="s">
        <v>12</v>
      </c>
      <c r="F389" s="1">
        <v>84</v>
      </c>
      <c r="G389" s="1">
        <v>89</v>
      </c>
      <c r="H389" s="1">
        <v>79</v>
      </c>
      <c r="I389">
        <f t="shared" si="10"/>
        <v>252</v>
      </c>
    </row>
    <row r="390" spans="1:9" ht="13.2" x14ac:dyDescent="0.25">
      <c r="A390" s="1" t="s">
        <v>19</v>
      </c>
      <c r="B390" s="1" t="s">
        <v>18</v>
      </c>
      <c r="C390" s="1" t="s">
        <v>22</v>
      </c>
      <c r="D390" s="1" t="s">
        <v>11</v>
      </c>
      <c r="E390" s="1" t="s">
        <v>12</v>
      </c>
      <c r="F390" s="1">
        <v>44</v>
      </c>
      <c r="G390" s="1">
        <v>34</v>
      </c>
      <c r="H390" s="1">
        <v>31</v>
      </c>
      <c r="I390">
        <f t="shared" si="10"/>
        <v>109</v>
      </c>
    </row>
    <row r="391" spans="1:9" ht="13.2" x14ac:dyDescent="0.25">
      <c r="A391" s="1" t="s">
        <v>8</v>
      </c>
      <c r="B391" s="1" t="s">
        <v>15</v>
      </c>
      <c r="C391" s="1" t="s">
        <v>10</v>
      </c>
      <c r="D391" s="1" t="s">
        <v>11</v>
      </c>
      <c r="E391" s="1" t="s">
        <v>17</v>
      </c>
      <c r="F391" s="1">
        <v>61</v>
      </c>
      <c r="G391" s="1">
        <v>76</v>
      </c>
      <c r="H391" s="1">
        <v>76</v>
      </c>
      <c r="I391">
        <f t="shared" si="10"/>
        <v>213</v>
      </c>
    </row>
    <row r="392" spans="1:9" ht="13.2" x14ac:dyDescent="0.25">
      <c r="A392" s="1" t="s">
        <v>8</v>
      </c>
      <c r="B392" s="1" t="s">
        <v>15</v>
      </c>
      <c r="C392" s="1" t="s">
        <v>14</v>
      </c>
      <c r="D392" s="1" t="s">
        <v>23</v>
      </c>
      <c r="E392" s="1" t="s">
        <v>12</v>
      </c>
      <c r="F392" s="1">
        <v>35</v>
      </c>
      <c r="G392" s="1">
        <v>51</v>
      </c>
      <c r="H392" s="1">
        <v>47</v>
      </c>
      <c r="I392">
        <f t="shared" si="10"/>
        <v>133</v>
      </c>
    </row>
    <row r="393" spans="1:9" ht="13.2" x14ac:dyDescent="0.25">
      <c r="A393" s="1" t="s">
        <v>8</v>
      </c>
      <c r="B393" s="1" t="s">
        <v>13</v>
      </c>
      <c r="C393" s="1" t="s">
        <v>10</v>
      </c>
      <c r="D393" s="1" t="s">
        <v>11</v>
      </c>
      <c r="E393" s="1" t="s">
        <v>12</v>
      </c>
      <c r="F393" s="1">
        <v>69</v>
      </c>
      <c r="G393" s="1">
        <v>84</v>
      </c>
      <c r="H393" s="1">
        <v>78</v>
      </c>
      <c r="I393">
        <f t="shared" si="10"/>
        <v>231</v>
      </c>
    </row>
    <row r="394" spans="1:9" ht="13.2" x14ac:dyDescent="0.25">
      <c r="A394" s="1" t="s">
        <v>19</v>
      </c>
      <c r="B394" s="1" t="s">
        <v>9</v>
      </c>
      <c r="C394" s="1" t="s">
        <v>14</v>
      </c>
      <c r="D394" s="1" t="s">
        <v>11</v>
      </c>
      <c r="E394" s="1" t="s">
        <v>17</v>
      </c>
      <c r="F394" s="1">
        <v>77</v>
      </c>
      <c r="G394" s="1">
        <v>65</v>
      </c>
      <c r="H394" s="1">
        <v>71</v>
      </c>
      <c r="I394">
        <f t="shared" si="10"/>
        <v>213</v>
      </c>
    </row>
    <row r="395" spans="1:9" ht="13.2" x14ac:dyDescent="0.25">
      <c r="A395" s="1" t="s">
        <v>8</v>
      </c>
      <c r="B395" s="1" t="s">
        <v>18</v>
      </c>
      <c r="C395" s="1" t="s">
        <v>22</v>
      </c>
      <c r="D395" s="1" t="s">
        <v>23</v>
      </c>
      <c r="E395" s="1" t="s">
        <v>17</v>
      </c>
      <c r="F395" s="1">
        <v>43</v>
      </c>
      <c r="G395" s="1">
        <v>62</v>
      </c>
      <c r="H395" s="1">
        <v>55</v>
      </c>
      <c r="I395">
        <f t="shared" si="10"/>
        <v>160</v>
      </c>
    </row>
    <row r="396" spans="1:9" ht="13.2" x14ac:dyDescent="0.25">
      <c r="A396" s="1" t="s">
        <v>19</v>
      </c>
      <c r="B396" s="1" t="s">
        <v>13</v>
      </c>
      <c r="C396" s="1" t="s">
        <v>16</v>
      </c>
      <c r="D396" s="1" t="s">
        <v>11</v>
      </c>
      <c r="E396" s="1" t="s">
        <v>12</v>
      </c>
      <c r="F396" s="1">
        <v>58</v>
      </c>
      <c r="G396" s="1">
        <v>60</v>
      </c>
      <c r="H396" s="1">
        <v>57</v>
      </c>
      <c r="I396">
        <f t="shared" si="10"/>
        <v>175</v>
      </c>
    </row>
    <row r="397" spans="1:9" ht="13.2" x14ac:dyDescent="0.25">
      <c r="A397" s="1" t="s">
        <v>19</v>
      </c>
      <c r="B397" s="1" t="s">
        <v>9</v>
      </c>
      <c r="C397" s="1" t="s">
        <v>14</v>
      </c>
      <c r="D397" s="1" t="s">
        <v>11</v>
      </c>
      <c r="E397" s="1" t="s">
        <v>17</v>
      </c>
      <c r="F397" s="1">
        <v>65</v>
      </c>
      <c r="G397" s="1">
        <v>67</v>
      </c>
      <c r="H397" s="1">
        <v>68</v>
      </c>
      <c r="I397">
        <f t="shared" si="10"/>
        <v>200</v>
      </c>
    </row>
    <row r="398" spans="1:9" ht="13.2" x14ac:dyDescent="0.25">
      <c r="A398" s="1" t="s">
        <v>8</v>
      </c>
      <c r="B398" s="1" t="s">
        <v>15</v>
      </c>
      <c r="C398" s="1" t="s">
        <v>20</v>
      </c>
      <c r="D398" s="1" t="s">
        <v>23</v>
      </c>
      <c r="E398" s="1" t="s">
        <v>17</v>
      </c>
      <c r="F398" s="1">
        <v>44</v>
      </c>
      <c r="G398" s="1">
        <v>62</v>
      </c>
      <c r="H398" s="1">
        <v>62</v>
      </c>
      <c r="I398">
        <f t="shared" si="10"/>
        <v>168</v>
      </c>
    </row>
    <row r="399" spans="1:9" ht="13.2" x14ac:dyDescent="0.25">
      <c r="A399" s="1" t="s">
        <v>8</v>
      </c>
      <c r="B399" s="1" t="s">
        <v>21</v>
      </c>
      <c r="C399" s="1" t="s">
        <v>10</v>
      </c>
      <c r="D399" s="1" t="s">
        <v>11</v>
      </c>
      <c r="E399" s="1" t="s">
        <v>12</v>
      </c>
      <c r="F399" s="1">
        <v>80</v>
      </c>
      <c r="G399" s="1">
        <v>86</v>
      </c>
      <c r="H399" s="1">
        <v>82</v>
      </c>
      <c r="I399">
        <f t="shared" si="10"/>
        <v>248</v>
      </c>
    </row>
    <row r="400" spans="1:9" ht="13.2" x14ac:dyDescent="0.25">
      <c r="A400" s="1" t="s">
        <v>19</v>
      </c>
      <c r="B400" s="1" t="s">
        <v>18</v>
      </c>
      <c r="C400" s="1" t="s">
        <v>10</v>
      </c>
      <c r="D400" s="1" t="s">
        <v>11</v>
      </c>
      <c r="E400" s="1" t="s">
        <v>12</v>
      </c>
      <c r="F400" s="1">
        <v>70</v>
      </c>
      <c r="G400" s="1">
        <v>67</v>
      </c>
      <c r="H400" s="1">
        <v>65</v>
      </c>
      <c r="I400">
        <f t="shared" si="10"/>
        <v>202</v>
      </c>
    </row>
    <row r="401" spans="1:9" ht="13.2" x14ac:dyDescent="0.25">
      <c r="A401" s="1" t="s">
        <v>19</v>
      </c>
      <c r="B401" s="1" t="s">
        <v>9</v>
      </c>
      <c r="C401" s="1" t="s">
        <v>20</v>
      </c>
      <c r="D401" s="1" t="s">
        <v>23</v>
      </c>
      <c r="E401" s="1" t="s">
        <v>17</v>
      </c>
      <c r="F401" s="1">
        <v>58</v>
      </c>
      <c r="G401" s="1">
        <v>56</v>
      </c>
      <c r="H401" s="1">
        <v>58</v>
      </c>
      <c r="I401">
        <f t="shared" si="10"/>
        <v>172</v>
      </c>
    </row>
    <row r="402" spans="1:9" ht="13.2" x14ac:dyDescent="0.25">
      <c r="A402" s="1" t="s">
        <v>8</v>
      </c>
      <c r="B402" s="1" t="s">
        <v>21</v>
      </c>
      <c r="C402" s="1" t="s">
        <v>20</v>
      </c>
      <c r="D402" s="1" t="s">
        <v>11</v>
      </c>
      <c r="E402" s="1" t="s">
        <v>12</v>
      </c>
      <c r="F402" s="1">
        <v>98</v>
      </c>
      <c r="G402" s="1">
        <v>100</v>
      </c>
      <c r="H402" s="1">
        <v>95</v>
      </c>
      <c r="I402">
        <f t="shared" si="10"/>
        <v>293</v>
      </c>
    </row>
    <row r="403" spans="1:9" ht="13.2" x14ac:dyDescent="0.25">
      <c r="A403" s="1" t="s">
        <v>19</v>
      </c>
      <c r="B403" s="1" t="s">
        <v>13</v>
      </c>
      <c r="C403" s="1" t="s">
        <v>14</v>
      </c>
      <c r="D403" s="1" t="s">
        <v>11</v>
      </c>
      <c r="E403" s="1" t="s">
        <v>12</v>
      </c>
      <c r="F403" s="1">
        <v>41</v>
      </c>
      <c r="G403" s="1">
        <v>31</v>
      </c>
      <c r="H403" s="1">
        <v>27</v>
      </c>
      <c r="I403">
        <f t="shared" si="10"/>
        <v>99</v>
      </c>
    </row>
    <row r="404" spans="1:9" ht="13.2" x14ac:dyDescent="0.25">
      <c r="A404" s="1" t="s">
        <v>8</v>
      </c>
      <c r="B404" s="1" t="s">
        <v>18</v>
      </c>
      <c r="C404" s="1" t="s">
        <v>20</v>
      </c>
      <c r="D404" s="1" t="s">
        <v>11</v>
      </c>
      <c r="E404" s="1" t="s">
        <v>12</v>
      </c>
      <c r="F404" s="1">
        <v>69</v>
      </c>
      <c r="G404" s="1">
        <v>68</v>
      </c>
      <c r="H404" s="1">
        <v>67</v>
      </c>
      <c r="I404">
        <f t="shared" si="10"/>
        <v>204</v>
      </c>
    </row>
    <row r="405" spans="1:9" ht="13.2" x14ac:dyDescent="0.25">
      <c r="A405" s="1" t="s">
        <v>8</v>
      </c>
      <c r="B405" s="1" t="s">
        <v>18</v>
      </c>
      <c r="C405" s="1" t="s">
        <v>22</v>
      </c>
      <c r="D405" s="1" t="s">
        <v>23</v>
      </c>
      <c r="E405" s="1" t="s">
        <v>17</v>
      </c>
      <c r="F405" s="1">
        <v>69</v>
      </c>
      <c r="G405" s="1">
        <v>79</v>
      </c>
      <c r="H405" s="1">
        <v>79</v>
      </c>
      <c r="I405">
        <f t="shared" si="10"/>
        <v>227</v>
      </c>
    </row>
    <row r="406" spans="1:9" ht="13.2" x14ac:dyDescent="0.25">
      <c r="A406" s="1" t="s">
        <v>19</v>
      </c>
      <c r="B406" s="1" t="s">
        <v>9</v>
      </c>
      <c r="C406" s="1" t="s">
        <v>16</v>
      </c>
      <c r="D406" s="1" t="s">
        <v>23</v>
      </c>
      <c r="E406" s="1" t="s">
        <v>12</v>
      </c>
      <c r="F406" s="1">
        <v>85</v>
      </c>
      <c r="G406" s="1">
        <v>68</v>
      </c>
      <c r="H406" s="1">
        <v>69</v>
      </c>
      <c r="I406">
        <f t="shared" si="10"/>
        <v>222</v>
      </c>
    </row>
    <row r="407" spans="1:9" ht="13.2" x14ac:dyDescent="0.25">
      <c r="A407" s="1" t="s">
        <v>8</v>
      </c>
      <c r="B407" s="1" t="s">
        <v>18</v>
      </c>
      <c r="C407" s="1" t="s">
        <v>22</v>
      </c>
      <c r="D407" s="1" t="s">
        <v>11</v>
      </c>
      <c r="E407" s="1" t="s">
        <v>12</v>
      </c>
      <c r="F407" s="1">
        <v>79</v>
      </c>
      <c r="G407" s="1">
        <v>97</v>
      </c>
      <c r="H407" s="1">
        <v>90</v>
      </c>
      <c r="I407">
        <f t="shared" si="10"/>
        <v>266</v>
      </c>
    </row>
    <row r="408" spans="1:9" ht="13.2" x14ac:dyDescent="0.25">
      <c r="A408" s="1" t="s">
        <v>8</v>
      </c>
      <c r="B408" s="1" t="s">
        <v>13</v>
      </c>
      <c r="C408" s="1" t="s">
        <v>16</v>
      </c>
      <c r="D408" s="1" t="s">
        <v>11</v>
      </c>
      <c r="E408" s="1" t="s">
        <v>17</v>
      </c>
      <c r="F408" s="1">
        <v>67</v>
      </c>
      <c r="G408" s="1">
        <v>66</v>
      </c>
      <c r="H408" s="1">
        <v>74</v>
      </c>
      <c r="I408">
        <f t="shared" si="10"/>
        <v>207</v>
      </c>
    </row>
    <row r="409" spans="1:9" ht="13.2" x14ac:dyDescent="0.25">
      <c r="A409" s="1" t="s">
        <v>19</v>
      </c>
      <c r="B409" s="1" t="s">
        <v>13</v>
      </c>
      <c r="C409" s="1" t="s">
        <v>10</v>
      </c>
      <c r="D409" s="1" t="s">
        <v>23</v>
      </c>
      <c r="E409" s="1" t="s">
        <v>12</v>
      </c>
      <c r="F409" s="1">
        <v>40</v>
      </c>
      <c r="G409" s="1">
        <v>48</v>
      </c>
      <c r="H409" s="1">
        <v>45</v>
      </c>
      <c r="I409">
        <f t="shared" si="10"/>
        <v>133</v>
      </c>
    </row>
    <row r="410" spans="1:9" ht="13.2" x14ac:dyDescent="0.25">
      <c r="A410" s="1" t="s">
        <v>8</v>
      </c>
      <c r="B410" s="1" t="s">
        <v>13</v>
      </c>
      <c r="C410" s="1" t="s">
        <v>16</v>
      </c>
      <c r="D410" s="1" t="s">
        <v>11</v>
      </c>
      <c r="E410" s="1" t="s">
        <v>12</v>
      </c>
      <c r="F410" s="1">
        <v>45</v>
      </c>
      <c r="G410" s="1">
        <v>53</v>
      </c>
      <c r="H410" s="1">
        <v>56</v>
      </c>
      <c r="I410">
        <f t="shared" si="10"/>
        <v>154</v>
      </c>
    </row>
    <row r="411" spans="1:9" ht="13.2" x14ac:dyDescent="0.25">
      <c r="A411" s="1" t="s">
        <v>19</v>
      </c>
      <c r="B411" s="1" t="s">
        <v>15</v>
      </c>
      <c r="C411" s="1" t="s">
        <v>16</v>
      </c>
      <c r="D411" s="1" t="s">
        <v>11</v>
      </c>
      <c r="E411" s="1" t="s">
        <v>17</v>
      </c>
      <c r="F411" s="1">
        <v>45</v>
      </c>
      <c r="G411" s="1">
        <v>51</v>
      </c>
      <c r="H411" s="1">
        <v>39</v>
      </c>
      <c r="I411">
        <f t="shared" si="10"/>
        <v>135</v>
      </c>
    </row>
    <row r="412" spans="1:9" ht="13.2" x14ac:dyDescent="0.25">
      <c r="A412" s="1" t="s">
        <v>19</v>
      </c>
      <c r="B412" s="1" t="s">
        <v>18</v>
      </c>
      <c r="C412" s="1" t="s">
        <v>16</v>
      </c>
      <c r="D412" s="1" t="s">
        <v>23</v>
      </c>
      <c r="E412" s="1" t="s">
        <v>12</v>
      </c>
      <c r="F412" s="1">
        <v>39</v>
      </c>
      <c r="G412" s="1">
        <v>58</v>
      </c>
      <c r="H412" s="1">
        <v>47</v>
      </c>
      <c r="I412">
        <f t="shared" si="10"/>
        <v>144</v>
      </c>
    </row>
    <row r="413" spans="1:9" ht="13.2" x14ac:dyDescent="0.25">
      <c r="A413" s="1" t="s">
        <v>8</v>
      </c>
      <c r="B413" s="1" t="s">
        <v>13</v>
      </c>
      <c r="C413" s="1" t="s">
        <v>10</v>
      </c>
      <c r="D413" s="1" t="s">
        <v>23</v>
      </c>
      <c r="E413" s="1" t="s">
        <v>12</v>
      </c>
      <c r="F413" s="1">
        <v>55</v>
      </c>
      <c r="G413" s="1">
        <v>65</v>
      </c>
      <c r="H413" s="1">
        <v>58</v>
      </c>
      <c r="I413">
        <f t="shared" si="10"/>
        <v>178</v>
      </c>
    </row>
    <row r="414" spans="1:9" ht="13.2" x14ac:dyDescent="0.25">
      <c r="A414" s="1" t="s">
        <v>8</v>
      </c>
      <c r="B414" s="1" t="s">
        <v>21</v>
      </c>
      <c r="C414" s="1" t="s">
        <v>14</v>
      </c>
      <c r="D414" s="1" t="s">
        <v>11</v>
      </c>
      <c r="E414" s="1" t="s">
        <v>17</v>
      </c>
      <c r="F414" s="1">
        <v>64</v>
      </c>
      <c r="G414" s="1">
        <v>59</v>
      </c>
      <c r="H414" s="1">
        <v>63</v>
      </c>
      <c r="I414">
        <f t="shared" si="10"/>
        <v>186</v>
      </c>
    </row>
    <row r="415" spans="1:9" ht="13.2" x14ac:dyDescent="0.25">
      <c r="A415" s="1" t="s">
        <v>8</v>
      </c>
      <c r="B415" s="1" t="s">
        <v>18</v>
      </c>
      <c r="C415" s="1" t="s">
        <v>10</v>
      </c>
      <c r="D415" s="1" t="s">
        <v>11</v>
      </c>
      <c r="E415" s="1" t="s">
        <v>17</v>
      </c>
      <c r="F415" s="1">
        <v>38</v>
      </c>
      <c r="G415" s="1">
        <v>53</v>
      </c>
      <c r="H415" s="1">
        <v>55</v>
      </c>
      <c r="I415">
        <f t="shared" si="10"/>
        <v>146</v>
      </c>
    </row>
    <row r="416" spans="1:9" ht="13.2" x14ac:dyDescent="0.25">
      <c r="A416" s="1" t="s">
        <v>19</v>
      </c>
      <c r="B416" s="1" t="s">
        <v>13</v>
      </c>
      <c r="C416" s="1" t="s">
        <v>14</v>
      </c>
      <c r="D416" s="1" t="s">
        <v>23</v>
      </c>
      <c r="E416" s="1" t="s">
        <v>12</v>
      </c>
      <c r="F416" s="1">
        <v>59</v>
      </c>
      <c r="G416" s="1">
        <v>51</v>
      </c>
      <c r="H416" s="1">
        <v>53</v>
      </c>
      <c r="I416">
        <f t="shared" si="10"/>
        <v>163</v>
      </c>
    </row>
    <row r="417" spans="1:9" ht="13.2" x14ac:dyDescent="0.25">
      <c r="A417" s="1" t="s">
        <v>19</v>
      </c>
      <c r="B417" s="1" t="s">
        <v>13</v>
      </c>
      <c r="C417" s="1" t="s">
        <v>22</v>
      </c>
      <c r="D417" s="1" t="s">
        <v>11</v>
      </c>
      <c r="E417" s="1" t="s">
        <v>12</v>
      </c>
      <c r="F417" s="1">
        <v>92</v>
      </c>
      <c r="G417" s="1">
        <v>80</v>
      </c>
      <c r="H417" s="1">
        <v>78</v>
      </c>
      <c r="I417">
        <f t="shared" si="10"/>
        <v>250</v>
      </c>
    </row>
    <row r="418" spans="1:9" ht="13.2" x14ac:dyDescent="0.25">
      <c r="A418" s="1" t="s">
        <v>8</v>
      </c>
      <c r="B418" s="1" t="s">
        <v>13</v>
      </c>
      <c r="C418" s="1" t="s">
        <v>20</v>
      </c>
      <c r="D418" s="1" t="s">
        <v>23</v>
      </c>
      <c r="E418" s="1" t="s">
        <v>12</v>
      </c>
      <c r="F418" s="1">
        <v>46</v>
      </c>
      <c r="G418" s="1">
        <v>68</v>
      </c>
      <c r="H418" s="1">
        <v>67</v>
      </c>
      <c r="I418">
        <f t="shared" si="10"/>
        <v>181</v>
      </c>
    </row>
    <row r="419" spans="1:9" ht="13.2" x14ac:dyDescent="0.25">
      <c r="A419" s="1" t="s">
        <v>19</v>
      </c>
      <c r="B419" s="1" t="s">
        <v>13</v>
      </c>
      <c r="C419" s="1" t="s">
        <v>24</v>
      </c>
      <c r="D419" s="1" t="s">
        <v>23</v>
      </c>
      <c r="E419" s="1" t="s">
        <v>17</v>
      </c>
      <c r="F419" s="1">
        <v>78</v>
      </c>
      <c r="G419" s="1">
        <v>81</v>
      </c>
      <c r="H419" s="1">
        <v>77</v>
      </c>
      <c r="I419">
        <f t="shared" si="10"/>
        <v>236</v>
      </c>
    </row>
    <row r="420" spans="1:9" ht="13.2" x14ac:dyDescent="0.25">
      <c r="A420" s="1" t="s">
        <v>19</v>
      </c>
      <c r="B420" s="1" t="s">
        <v>15</v>
      </c>
      <c r="C420" s="1" t="s">
        <v>22</v>
      </c>
      <c r="D420" s="1" t="s">
        <v>11</v>
      </c>
      <c r="E420" s="1" t="s">
        <v>12</v>
      </c>
      <c r="F420" s="1">
        <v>63</v>
      </c>
      <c r="G420" s="1">
        <v>53</v>
      </c>
      <c r="H420" s="1">
        <v>48</v>
      </c>
      <c r="I420">
        <f t="shared" si="10"/>
        <v>164</v>
      </c>
    </row>
    <row r="421" spans="1:9" ht="13.2" x14ac:dyDescent="0.25">
      <c r="A421" s="1" t="s">
        <v>8</v>
      </c>
      <c r="B421" s="1" t="s">
        <v>18</v>
      </c>
      <c r="C421" s="1" t="s">
        <v>24</v>
      </c>
      <c r="D421" s="1" t="s">
        <v>11</v>
      </c>
      <c r="E421" s="1" t="s">
        <v>12</v>
      </c>
      <c r="F421" s="1">
        <v>52</v>
      </c>
      <c r="G421" s="1">
        <v>64</v>
      </c>
      <c r="H421" s="1">
        <v>69</v>
      </c>
      <c r="I421">
        <f t="shared" si="10"/>
        <v>185</v>
      </c>
    </row>
    <row r="422" spans="1:9" ht="13.2" x14ac:dyDescent="0.25">
      <c r="A422" s="1" t="s">
        <v>19</v>
      </c>
      <c r="B422" s="1" t="s">
        <v>15</v>
      </c>
      <c r="C422" s="1" t="s">
        <v>10</v>
      </c>
      <c r="D422" s="1" t="s">
        <v>11</v>
      </c>
      <c r="E422" s="1" t="s">
        <v>17</v>
      </c>
      <c r="F422" s="1">
        <v>55</v>
      </c>
      <c r="G422" s="1">
        <v>51</v>
      </c>
      <c r="H422" s="1">
        <v>46</v>
      </c>
      <c r="I422">
        <f t="shared" si="10"/>
        <v>152</v>
      </c>
    </row>
    <row r="423" spans="1:9" ht="13.2" x14ac:dyDescent="0.25">
      <c r="A423" s="1" t="s">
        <v>8</v>
      </c>
      <c r="B423" s="1" t="s">
        <v>9</v>
      </c>
      <c r="C423" s="1" t="s">
        <v>14</v>
      </c>
      <c r="D423" s="1" t="s">
        <v>23</v>
      </c>
      <c r="E423" s="1" t="s">
        <v>12</v>
      </c>
      <c r="F423" s="1">
        <v>62</v>
      </c>
      <c r="G423" s="1">
        <v>82</v>
      </c>
      <c r="H423" s="1">
        <v>68</v>
      </c>
      <c r="I423">
        <f t="shared" si="10"/>
        <v>212</v>
      </c>
    </row>
    <row r="424" spans="1:9" ht="13.2" x14ac:dyDescent="0.25">
      <c r="A424" s="1" t="s">
        <v>19</v>
      </c>
      <c r="B424" s="1" t="s">
        <v>9</v>
      </c>
      <c r="C424" s="1" t="s">
        <v>10</v>
      </c>
      <c r="D424" s="1" t="s">
        <v>11</v>
      </c>
      <c r="E424" s="1" t="s">
        <v>12</v>
      </c>
      <c r="F424" s="1">
        <v>88</v>
      </c>
      <c r="G424" s="1">
        <v>77</v>
      </c>
      <c r="H424" s="1">
        <v>78</v>
      </c>
      <c r="I424">
        <f t="shared" si="10"/>
        <v>243</v>
      </c>
    </row>
    <row r="425" spans="1:9" ht="13.2" x14ac:dyDescent="0.25">
      <c r="A425" s="1" t="s">
        <v>19</v>
      </c>
      <c r="B425" s="1" t="s">
        <v>13</v>
      </c>
      <c r="C425" s="1" t="s">
        <v>14</v>
      </c>
      <c r="D425" s="1" t="s">
        <v>23</v>
      </c>
      <c r="E425" s="1" t="s">
        <v>17</v>
      </c>
      <c r="F425" s="1">
        <v>93</v>
      </c>
      <c r="G425" s="1">
        <v>87</v>
      </c>
      <c r="H425" s="1">
        <v>87</v>
      </c>
      <c r="I425">
        <f t="shared" si="10"/>
        <v>267</v>
      </c>
    </row>
    <row r="426" spans="1:9" ht="13.2" x14ac:dyDescent="0.25">
      <c r="A426" s="1" t="s">
        <v>19</v>
      </c>
      <c r="B426" s="1" t="s">
        <v>9</v>
      </c>
      <c r="C426" s="1" t="s">
        <v>20</v>
      </c>
      <c r="D426" s="1" t="s">
        <v>11</v>
      </c>
      <c r="E426" s="1" t="s">
        <v>12</v>
      </c>
      <c r="F426" s="1">
        <v>69</v>
      </c>
      <c r="G426" s="1">
        <v>66</v>
      </c>
      <c r="H426" s="1">
        <v>65</v>
      </c>
      <c r="I426">
        <f t="shared" si="10"/>
        <v>200</v>
      </c>
    </row>
    <row r="427" spans="1:9" ht="13.2" x14ac:dyDescent="0.25">
      <c r="A427" s="1" t="s">
        <v>8</v>
      </c>
      <c r="B427" s="1" t="s">
        <v>15</v>
      </c>
      <c r="C427" s="1" t="s">
        <v>16</v>
      </c>
      <c r="D427" s="1" t="s">
        <v>23</v>
      </c>
      <c r="E427" s="1" t="s">
        <v>17</v>
      </c>
      <c r="F427" s="1">
        <v>66</v>
      </c>
      <c r="G427" s="1">
        <v>77</v>
      </c>
      <c r="H427" s="1">
        <v>79</v>
      </c>
      <c r="I427">
        <f t="shared" si="10"/>
        <v>222</v>
      </c>
    </row>
    <row r="428" spans="1:9" ht="13.2" x14ac:dyDescent="0.25">
      <c r="A428" s="1" t="s">
        <v>19</v>
      </c>
      <c r="B428" s="1" t="s">
        <v>21</v>
      </c>
      <c r="C428" s="1" t="s">
        <v>22</v>
      </c>
      <c r="D428" s="1" t="s">
        <v>11</v>
      </c>
      <c r="E428" s="1" t="s">
        <v>17</v>
      </c>
      <c r="F428" s="1">
        <v>67</v>
      </c>
      <c r="G428" s="1">
        <v>64</v>
      </c>
      <c r="H428" s="1">
        <v>63</v>
      </c>
      <c r="I428">
        <f t="shared" si="10"/>
        <v>194</v>
      </c>
    </row>
    <row r="429" spans="1:9" ht="13.2" x14ac:dyDescent="0.25">
      <c r="A429" s="1" t="s">
        <v>8</v>
      </c>
      <c r="B429" s="1" t="s">
        <v>9</v>
      </c>
      <c r="C429" s="1" t="s">
        <v>24</v>
      </c>
      <c r="D429" s="1" t="s">
        <v>23</v>
      </c>
      <c r="E429" s="1" t="s">
        <v>12</v>
      </c>
      <c r="F429" s="1">
        <v>55</v>
      </c>
      <c r="G429" s="1">
        <v>65</v>
      </c>
      <c r="H429" s="1">
        <v>67</v>
      </c>
      <c r="I429">
        <f t="shared" si="10"/>
        <v>187</v>
      </c>
    </row>
    <row r="430" spans="1:9" ht="13.2" x14ac:dyDescent="0.25">
      <c r="A430" s="1" t="s">
        <v>8</v>
      </c>
      <c r="B430" s="1" t="s">
        <v>21</v>
      </c>
      <c r="C430" s="1" t="s">
        <v>10</v>
      </c>
      <c r="D430" s="1" t="s">
        <v>23</v>
      </c>
      <c r="E430" s="1" t="s">
        <v>12</v>
      </c>
      <c r="F430" s="1">
        <v>66</v>
      </c>
      <c r="G430" s="1">
        <v>73</v>
      </c>
      <c r="H430" s="1">
        <v>67</v>
      </c>
      <c r="I430">
        <f t="shared" si="10"/>
        <v>206</v>
      </c>
    </row>
    <row r="431" spans="1:9" ht="13.2" x14ac:dyDescent="0.25">
      <c r="A431" s="1" t="s">
        <v>8</v>
      </c>
      <c r="B431" s="1" t="s">
        <v>21</v>
      </c>
      <c r="C431" s="1" t="s">
        <v>22</v>
      </c>
      <c r="D431" s="1" t="s">
        <v>23</v>
      </c>
      <c r="E431" s="1" t="s">
        <v>12</v>
      </c>
      <c r="F431" s="1">
        <v>61</v>
      </c>
      <c r="G431" s="1">
        <v>71</v>
      </c>
      <c r="H431" s="1">
        <v>70</v>
      </c>
      <c r="I431">
        <f t="shared" si="10"/>
        <v>202</v>
      </c>
    </row>
    <row r="432" spans="1:9" ht="13.2" x14ac:dyDescent="0.25">
      <c r="A432" s="1" t="s">
        <v>8</v>
      </c>
      <c r="B432" s="1" t="s">
        <v>15</v>
      </c>
      <c r="C432" s="1" t="s">
        <v>14</v>
      </c>
      <c r="D432" s="1" t="s">
        <v>11</v>
      </c>
      <c r="E432" s="1" t="s">
        <v>12</v>
      </c>
      <c r="F432" s="1">
        <v>55</v>
      </c>
      <c r="G432" s="1">
        <v>55</v>
      </c>
      <c r="H432" s="1">
        <v>58</v>
      </c>
      <c r="I432">
        <f t="shared" si="10"/>
        <v>168</v>
      </c>
    </row>
    <row r="433" spans="1:9" ht="13.2" x14ac:dyDescent="0.25">
      <c r="A433" s="1" t="s">
        <v>8</v>
      </c>
      <c r="B433" s="1" t="s">
        <v>18</v>
      </c>
      <c r="C433" s="1" t="s">
        <v>14</v>
      </c>
      <c r="D433" s="1" t="s">
        <v>23</v>
      </c>
      <c r="E433" s="1" t="s">
        <v>12</v>
      </c>
      <c r="F433" s="1">
        <v>71</v>
      </c>
      <c r="G433" s="1">
        <v>90</v>
      </c>
      <c r="H433" s="1">
        <v>88</v>
      </c>
      <c r="I433">
        <f t="shared" si="10"/>
        <v>249</v>
      </c>
    </row>
    <row r="434" spans="1:9" ht="13.2" x14ac:dyDescent="0.25">
      <c r="A434" s="1" t="s">
        <v>8</v>
      </c>
      <c r="B434" s="1" t="s">
        <v>13</v>
      </c>
      <c r="C434" s="1" t="s">
        <v>16</v>
      </c>
      <c r="D434" s="1" t="s">
        <v>11</v>
      </c>
      <c r="E434" s="1" t="s">
        <v>12</v>
      </c>
      <c r="F434" s="1">
        <v>49</v>
      </c>
      <c r="G434" s="1">
        <v>55</v>
      </c>
      <c r="H434" s="1">
        <v>56</v>
      </c>
      <c r="I434">
        <f t="shared" si="10"/>
        <v>160</v>
      </c>
    </row>
    <row r="435" spans="1:9" ht="13.2" x14ac:dyDescent="0.25">
      <c r="A435" s="1" t="s">
        <v>8</v>
      </c>
      <c r="B435" s="1" t="s">
        <v>9</v>
      </c>
      <c r="C435" s="1" t="s">
        <v>10</v>
      </c>
      <c r="D435" s="1" t="s">
        <v>11</v>
      </c>
      <c r="E435" s="1" t="s">
        <v>12</v>
      </c>
      <c r="F435" s="1">
        <v>50</v>
      </c>
      <c r="G435" s="1">
        <v>53</v>
      </c>
      <c r="H435" s="1">
        <v>48</v>
      </c>
      <c r="I435">
        <f t="shared" si="10"/>
        <v>151</v>
      </c>
    </row>
    <row r="436" spans="1:9" ht="13.2" x14ac:dyDescent="0.25">
      <c r="A436" s="1" t="s">
        <v>19</v>
      </c>
      <c r="B436" s="1" t="s">
        <v>18</v>
      </c>
      <c r="C436" s="1" t="s">
        <v>22</v>
      </c>
      <c r="D436" s="1" t="s">
        <v>11</v>
      </c>
      <c r="E436" s="1" t="s">
        <v>17</v>
      </c>
      <c r="F436" s="1">
        <v>59</v>
      </c>
      <c r="G436" s="1">
        <v>54</v>
      </c>
      <c r="H436" s="1">
        <v>53</v>
      </c>
      <c r="I436">
        <f t="shared" si="10"/>
        <v>166</v>
      </c>
    </row>
    <row r="437" spans="1:9" ht="13.2" x14ac:dyDescent="0.25">
      <c r="A437" s="1" t="s">
        <v>8</v>
      </c>
      <c r="B437" s="1" t="s">
        <v>9</v>
      </c>
      <c r="C437" s="1" t="s">
        <v>22</v>
      </c>
      <c r="D437" s="1" t="s">
        <v>23</v>
      </c>
      <c r="E437" s="1" t="s">
        <v>12</v>
      </c>
      <c r="F437" s="1">
        <v>14</v>
      </c>
      <c r="G437" s="1">
        <v>37</v>
      </c>
      <c r="H437" s="1">
        <v>31</v>
      </c>
      <c r="I437">
        <f t="shared" si="10"/>
        <v>82</v>
      </c>
    </row>
    <row r="438" spans="1:9" ht="13.2" x14ac:dyDescent="0.25">
      <c r="A438" s="1" t="s">
        <v>19</v>
      </c>
      <c r="B438" s="1" t="s">
        <v>18</v>
      </c>
      <c r="C438" s="1" t="s">
        <v>22</v>
      </c>
      <c r="D438" s="1" t="s">
        <v>23</v>
      </c>
      <c r="E438" s="1" t="s">
        <v>12</v>
      </c>
      <c r="F438" s="1">
        <v>39</v>
      </c>
      <c r="G438" s="1">
        <v>42</v>
      </c>
      <c r="H438" s="1">
        <v>33</v>
      </c>
      <c r="I438">
        <f t="shared" si="10"/>
        <v>114</v>
      </c>
    </row>
    <row r="439" spans="1:9" ht="13.2" x14ac:dyDescent="0.25">
      <c r="A439" s="1" t="s">
        <v>8</v>
      </c>
      <c r="B439" s="1" t="s">
        <v>9</v>
      </c>
      <c r="C439" s="1" t="s">
        <v>10</v>
      </c>
      <c r="D439" s="1" t="s">
        <v>23</v>
      </c>
      <c r="E439" s="1" t="s">
        <v>17</v>
      </c>
      <c r="F439" s="1">
        <v>51</v>
      </c>
      <c r="G439" s="1">
        <v>68</v>
      </c>
      <c r="H439" s="1">
        <v>70</v>
      </c>
      <c r="I439">
        <f t="shared" si="10"/>
        <v>189</v>
      </c>
    </row>
    <row r="440" spans="1:9" ht="13.2" x14ac:dyDescent="0.25">
      <c r="A440" s="1" t="s">
        <v>8</v>
      </c>
      <c r="B440" s="1" t="s">
        <v>18</v>
      </c>
      <c r="C440" s="1" t="s">
        <v>16</v>
      </c>
      <c r="D440" s="1" t="s">
        <v>11</v>
      </c>
      <c r="E440" s="1" t="s">
        <v>12</v>
      </c>
      <c r="F440" s="1">
        <v>76</v>
      </c>
      <c r="G440" s="1">
        <v>82</v>
      </c>
      <c r="H440" s="1">
        <v>87</v>
      </c>
      <c r="I440">
        <f t="shared" si="10"/>
        <v>245</v>
      </c>
    </row>
    <row r="441" spans="1:9" ht="13.2" x14ac:dyDescent="0.25">
      <c r="A441" s="1" t="s">
        <v>19</v>
      </c>
      <c r="B441" s="1" t="s">
        <v>9</v>
      </c>
      <c r="C441" s="1" t="s">
        <v>16</v>
      </c>
      <c r="D441" s="1" t="s">
        <v>11</v>
      </c>
      <c r="E441" s="1" t="s">
        <v>12</v>
      </c>
      <c r="F441" s="1">
        <v>60</v>
      </c>
      <c r="G441" s="1">
        <v>49</v>
      </c>
      <c r="H441" s="1">
        <v>52</v>
      </c>
      <c r="I441">
        <f t="shared" si="10"/>
        <v>161</v>
      </c>
    </row>
    <row r="442" spans="1:9" ht="13.2" x14ac:dyDescent="0.25">
      <c r="A442" s="1" t="s">
        <v>8</v>
      </c>
      <c r="B442" s="1" t="s">
        <v>18</v>
      </c>
      <c r="C442" s="1" t="s">
        <v>10</v>
      </c>
      <c r="D442" s="1" t="s">
        <v>11</v>
      </c>
      <c r="E442" s="1" t="s">
        <v>12</v>
      </c>
      <c r="F442" s="1">
        <v>55</v>
      </c>
      <c r="G442" s="1">
        <v>69</v>
      </c>
      <c r="H442" s="1">
        <v>66</v>
      </c>
      <c r="I442">
        <f t="shared" si="10"/>
        <v>190</v>
      </c>
    </row>
    <row r="443" spans="1:9" ht="13.2" x14ac:dyDescent="0.25">
      <c r="A443" s="1" t="s">
        <v>8</v>
      </c>
      <c r="B443" s="1" t="s">
        <v>18</v>
      </c>
      <c r="C443" s="1" t="s">
        <v>24</v>
      </c>
      <c r="D443" s="1" t="s">
        <v>11</v>
      </c>
      <c r="E443" s="1" t="s">
        <v>12</v>
      </c>
      <c r="F443" s="1">
        <v>84</v>
      </c>
      <c r="G443" s="1">
        <v>86</v>
      </c>
      <c r="H443" s="1">
        <v>88</v>
      </c>
      <c r="I443">
        <f t="shared" si="10"/>
        <v>258</v>
      </c>
    </row>
    <row r="444" spans="1:9" ht="13.2" x14ac:dyDescent="0.25">
      <c r="A444" s="1" t="s">
        <v>19</v>
      </c>
      <c r="B444" s="1" t="s">
        <v>13</v>
      </c>
      <c r="C444" s="1" t="s">
        <v>14</v>
      </c>
      <c r="D444" s="1" t="s">
        <v>11</v>
      </c>
      <c r="E444" s="1" t="s">
        <v>12</v>
      </c>
      <c r="F444" s="1">
        <v>96</v>
      </c>
      <c r="G444" s="1">
        <v>91</v>
      </c>
      <c r="H444" s="1">
        <v>87</v>
      </c>
      <c r="I444">
        <f t="shared" si="10"/>
        <v>274</v>
      </c>
    </row>
    <row r="445" spans="1:9" ht="13.2" x14ac:dyDescent="0.25">
      <c r="A445" s="1" t="s">
        <v>8</v>
      </c>
      <c r="B445" s="1" t="s">
        <v>9</v>
      </c>
      <c r="C445" s="1" t="s">
        <v>22</v>
      </c>
      <c r="D445" s="1" t="s">
        <v>11</v>
      </c>
      <c r="E445" s="1" t="s">
        <v>12</v>
      </c>
      <c r="F445" s="1">
        <v>42</v>
      </c>
      <c r="G445" s="1">
        <v>43</v>
      </c>
      <c r="H445" s="1">
        <v>49</v>
      </c>
      <c r="I445">
        <f t="shared" si="10"/>
        <v>134</v>
      </c>
    </row>
    <row r="446" spans="1:9" ht="13.2" x14ac:dyDescent="0.25">
      <c r="A446" s="1" t="s">
        <v>8</v>
      </c>
      <c r="B446" s="1" t="s">
        <v>18</v>
      </c>
      <c r="C446" s="1" t="s">
        <v>22</v>
      </c>
      <c r="D446" s="1" t="s">
        <v>11</v>
      </c>
      <c r="E446" s="1" t="s">
        <v>17</v>
      </c>
      <c r="F446" s="1">
        <v>81</v>
      </c>
      <c r="G446" s="1">
        <v>85</v>
      </c>
      <c r="H446" s="1">
        <v>91</v>
      </c>
      <c r="I446">
        <f t="shared" si="10"/>
        <v>257</v>
      </c>
    </row>
    <row r="447" spans="1:9" ht="13.2" x14ac:dyDescent="0.25">
      <c r="A447" s="1" t="s">
        <v>19</v>
      </c>
      <c r="B447" s="1" t="s">
        <v>18</v>
      </c>
      <c r="C447" s="1" t="s">
        <v>20</v>
      </c>
      <c r="D447" s="1" t="s">
        <v>11</v>
      </c>
      <c r="E447" s="1" t="s">
        <v>12</v>
      </c>
      <c r="F447" s="1">
        <v>75</v>
      </c>
      <c r="G447" s="1">
        <v>77</v>
      </c>
      <c r="H447" s="1">
        <v>78</v>
      </c>
      <c r="I447">
        <f t="shared" si="10"/>
        <v>230</v>
      </c>
    </row>
    <row r="448" spans="1:9" ht="13.2" x14ac:dyDescent="0.25">
      <c r="A448" s="1" t="s">
        <v>19</v>
      </c>
      <c r="B448" s="1" t="s">
        <v>18</v>
      </c>
      <c r="C448" s="1" t="s">
        <v>14</v>
      </c>
      <c r="D448" s="1" t="s">
        <v>11</v>
      </c>
      <c r="E448" s="1" t="s">
        <v>17</v>
      </c>
      <c r="F448" s="1">
        <v>72</v>
      </c>
      <c r="G448" s="1">
        <v>73</v>
      </c>
      <c r="H448" s="1">
        <v>77</v>
      </c>
      <c r="I448">
        <f t="shared" si="10"/>
        <v>222</v>
      </c>
    </row>
    <row r="449" spans="1:9" ht="13.2" x14ac:dyDescent="0.25">
      <c r="A449" s="1" t="s">
        <v>8</v>
      </c>
      <c r="B449" s="1" t="s">
        <v>18</v>
      </c>
      <c r="C449" s="1" t="s">
        <v>10</v>
      </c>
      <c r="D449" s="1" t="s">
        <v>23</v>
      </c>
      <c r="E449" s="1" t="s">
        <v>17</v>
      </c>
      <c r="F449" s="1">
        <v>59</v>
      </c>
      <c r="G449" s="1">
        <v>65</v>
      </c>
      <c r="H449" s="1">
        <v>67</v>
      </c>
      <c r="I449">
        <f t="shared" si="10"/>
        <v>191</v>
      </c>
    </row>
    <row r="450" spans="1:9" ht="13.2" x14ac:dyDescent="0.25">
      <c r="A450" s="1" t="s">
        <v>8</v>
      </c>
      <c r="B450" s="1" t="s">
        <v>18</v>
      </c>
      <c r="C450" s="1" t="s">
        <v>14</v>
      </c>
      <c r="D450" s="1" t="s">
        <v>23</v>
      </c>
      <c r="E450" s="1" t="s">
        <v>17</v>
      </c>
      <c r="F450" s="1">
        <v>55</v>
      </c>
      <c r="G450" s="1">
        <v>66</v>
      </c>
      <c r="H450" s="1">
        <v>67</v>
      </c>
      <c r="I450">
        <f t="shared" si="10"/>
        <v>188</v>
      </c>
    </row>
    <row r="451" spans="1:9" ht="13.2" x14ac:dyDescent="0.25">
      <c r="A451" s="1" t="s">
        <v>19</v>
      </c>
      <c r="B451" s="1" t="s">
        <v>13</v>
      </c>
      <c r="C451" s="1" t="s">
        <v>14</v>
      </c>
      <c r="D451" s="1" t="s">
        <v>23</v>
      </c>
      <c r="E451" s="1" t="s">
        <v>12</v>
      </c>
      <c r="F451" s="1">
        <v>41</v>
      </c>
      <c r="G451" s="1">
        <v>43</v>
      </c>
      <c r="H451" s="1">
        <v>37</v>
      </c>
      <c r="I451">
        <f t="shared" ref="I451:I514" si="11">SUM(F451:H451)</f>
        <v>121</v>
      </c>
    </row>
    <row r="452" spans="1:9" ht="13.2" x14ac:dyDescent="0.25">
      <c r="A452" s="1" t="s">
        <v>8</v>
      </c>
      <c r="B452" s="1" t="s">
        <v>13</v>
      </c>
      <c r="C452" s="1" t="s">
        <v>16</v>
      </c>
      <c r="D452" s="1" t="s">
        <v>11</v>
      </c>
      <c r="E452" s="1" t="s">
        <v>17</v>
      </c>
      <c r="F452" s="1">
        <v>60</v>
      </c>
      <c r="G452" s="1">
        <v>66</v>
      </c>
      <c r="H452" s="1">
        <v>74</v>
      </c>
      <c r="I452">
        <f t="shared" si="11"/>
        <v>200</v>
      </c>
    </row>
    <row r="453" spans="1:9" ht="13.2" x14ac:dyDescent="0.25">
      <c r="A453" s="1" t="s">
        <v>8</v>
      </c>
      <c r="B453" s="1" t="s">
        <v>9</v>
      </c>
      <c r="C453" s="1" t="s">
        <v>24</v>
      </c>
      <c r="D453" s="1" t="s">
        <v>23</v>
      </c>
      <c r="E453" s="1" t="s">
        <v>17</v>
      </c>
      <c r="F453" s="1">
        <v>39</v>
      </c>
      <c r="G453" s="1">
        <v>55</v>
      </c>
      <c r="H453" s="1">
        <v>57</v>
      </c>
      <c r="I453">
        <f t="shared" si="11"/>
        <v>151</v>
      </c>
    </row>
    <row r="454" spans="1:9" ht="13.2" x14ac:dyDescent="0.25">
      <c r="A454" s="1" t="s">
        <v>8</v>
      </c>
      <c r="B454" s="1" t="s">
        <v>18</v>
      </c>
      <c r="C454" s="1" t="s">
        <v>10</v>
      </c>
      <c r="D454" s="1" t="s">
        <v>11</v>
      </c>
      <c r="E454" s="1" t="s">
        <v>17</v>
      </c>
      <c r="F454" s="1">
        <v>51</v>
      </c>
      <c r="G454" s="1">
        <v>51</v>
      </c>
      <c r="H454" s="1">
        <v>57</v>
      </c>
      <c r="I454">
        <f t="shared" si="11"/>
        <v>159</v>
      </c>
    </row>
    <row r="455" spans="1:9" ht="13.2" x14ac:dyDescent="0.25">
      <c r="A455" s="1" t="s">
        <v>8</v>
      </c>
      <c r="B455" s="1" t="s">
        <v>9</v>
      </c>
      <c r="C455" s="1" t="s">
        <v>22</v>
      </c>
      <c r="D455" s="1" t="s">
        <v>11</v>
      </c>
      <c r="E455" s="1" t="s">
        <v>12</v>
      </c>
      <c r="F455" s="1">
        <v>45</v>
      </c>
      <c r="G455" s="1">
        <v>52</v>
      </c>
      <c r="H455" s="1">
        <v>57</v>
      </c>
      <c r="I455">
        <f t="shared" si="11"/>
        <v>154</v>
      </c>
    </row>
    <row r="456" spans="1:9" ht="13.2" x14ac:dyDescent="0.25">
      <c r="A456" s="1" t="s">
        <v>8</v>
      </c>
      <c r="B456" s="1" t="s">
        <v>9</v>
      </c>
      <c r="C456" s="1" t="s">
        <v>22</v>
      </c>
      <c r="D456" s="1" t="s">
        <v>11</v>
      </c>
      <c r="E456" s="1" t="s">
        <v>12</v>
      </c>
      <c r="F456" s="1">
        <v>62</v>
      </c>
      <c r="G456" s="1">
        <v>59</v>
      </c>
      <c r="H456" s="1">
        <v>61</v>
      </c>
      <c r="I456">
        <f t="shared" si="11"/>
        <v>182</v>
      </c>
    </row>
    <row r="457" spans="1:9" ht="13.2" x14ac:dyDescent="0.25">
      <c r="A457" s="1" t="s">
        <v>8</v>
      </c>
      <c r="B457" s="1" t="s">
        <v>18</v>
      </c>
      <c r="C457" s="1" t="s">
        <v>22</v>
      </c>
      <c r="D457" s="1" t="s">
        <v>11</v>
      </c>
      <c r="E457" s="1" t="s">
        <v>12</v>
      </c>
      <c r="F457" s="1">
        <v>65</v>
      </c>
      <c r="G457" s="1">
        <v>73</v>
      </c>
      <c r="H457" s="1">
        <v>79</v>
      </c>
      <c r="I457">
        <f t="shared" si="11"/>
        <v>217</v>
      </c>
    </row>
    <row r="458" spans="1:9" ht="13.2" x14ac:dyDescent="0.25">
      <c r="A458" s="1" t="s">
        <v>8</v>
      </c>
      <c r="B458" s="1" t="s">
        <v>21</v>
      </c>
      <c r="C458" s="1" t="s">
        <v>14</v>
      </c>
      <c r="D458" s="1" t="s">
        <v>11</v>
      </c>
      <c r="E458" s="1" t="s">
        <v>12</v>
      </c>
      <c r="F458" s="1">
        <v>71</v>
      </c>
      <c r="G458" s="1">
        <v>70</v>
      </c>
      <c r="H458" s="1">
        <v>68</v>
      </c>
      <c r="I458">
        <f t="shared" si="11"/>
        <v>209</v>
      </c>
    </row>
    <row r="459" spans="1:9" ht="13.2" x14ac:dyDescent="0.25">
      <c r="A459" s="1" t="s">
        <v>8</v>
      </c>
      <c r="B459" s="1" t="s">
        <v>18</v>
      </c>
      <c r="C459" s="1" t="s">
        <v>20</v>
      </c>
      <c r="D459" s="1" t="s">
        <v>11</v>
      </c>
      <c r="E459" s="1" t="s">
        <v>12</v>
      </c>
      <c r="F459" s="1">
        <v>65</v>
      </c>
      <c r="G459" s="1">
        <v>69</v>
      </c>
      <c r="H459" s="1">
        <v>71</v>
      </c>
      <c r="I459">
        <f t="shared" si="11"/>
        <v>205</v>
      </c>
    </row>
    <row r="460" spans="1:9" ht="13.2" x14ac:dyDescent="0.25">
      <c r="A460" s="1" t="s">
        <v>8</v>
      </c>
      <c r="B460" s="1" t="s">
        <v>9</v>
      </c>
      <c r="C460" s="1" t="s">
        <v>14</v>
      </c>
      <c r="D460" s="1" t="s">
        <v>11</v>
      </c>
      <c r="E460" s="1" t="s">
        <v>17</v>
      </c>
      <c r="F460" s="1">
        <v>43</v>
      </c>
      <c r="G460" s="1">
        <v>52</v>
      </c>
      <c r="H460" s="1">
        <v>54</v>
      </c>
      <c r="I460">
        <f t="shared" si="11"/>
        <v>149</v>
      </c>
    </row>
    <row r="461" spans="1:9" ht="13.2" x14ac:dyDescent="0.25">
      <c r="A461" s="1" t="s">
        <v>8</v>
      </c>
      <c r="B461" s="1" t="s">
        <v>18</v>
      </c>
      <c r="C461" s="1" t="s">
        <v>16</v>
      </c>
      <c r="D461" s="1" t="s">
        <v>11</v>
      </c>
      <c r="E461" s="1" t="s">
        <v>17</v>
      </c>
      <c r="F461" s="1">
        <v>73</v>
      </c>
      <c r="G461" s="1">
        <v>84</v>
      </c>
      <c r="H461" s="1">
        <v>78</v>
      </c>
      <c r="I461">
        <f t="shared" si="11"/>
        <v>235</v>
      </c>
    </row>
    <row r="462" spans="1:9" ht="13.2" x14ac:dyDescent="0.25">
      <c r="A462" s="1" t="s">
        <v>8</v>
      </c>
      <c r="B462" s="1" t="s">
        <v>18</v>
      </c>
      <c r="C462" s="1" t="s">
        <v>22</v>
      </c>
      <c r="D462" s="1" t="s">
        <v>11</v>
      </c>
      <c r="E462" s="1" t="s">
        <v>12</v>
      </c>
      <c r="F462" s="1">
        <v>75</v>
      </c>
      <c r="G462" s="1">
        <v>88</v>
      </c>
      <c r="H462" s="1">
        <v>79</v>
      </c>
      <c r="I462">
        <f t="shared" si="11"/>
        <v>242</v>
      </c>
    </row>
    <row r="463" spans="1:9" ht="13.2" x14ac:dyDescent="0.25">
      <c r="A463" s="1" t="s">
        <v>8</v>
      </c>
      <c r="B463" s="1" t="s">
        <v>18</v>
      </c>
      <c r="C463" s="1" t="s">
        <v>10</v>
      </c>
      <c r="D463" s="1" t="s">
        <v>11</v>
      </c>
      <c r="E463" s="1" t="s">
        <v>12</v>
      </c>
      <c r="F463" s="1">
        <v>60</v>
      </c>
      <c r="G463" s="1">
        <v>77</v>
      </c>
      <c r="H463" s="1">
        <v>72</v>
      </c>
      <c r="I463">
        <f t="shared" si="11"/>
        <v>209</v>
      </c>
    </row>
    <row r="464" spans="1:9" ht="13.2" x14ac:dyDescent="0.25">
      <c r="A464" s="1" t="s">
        <v>19</v>
      </c>
      <c r="B464" s="1" t="s">
        <v>9</v>
      </c>
      <c r="C464" s="1" t="s">
        <v>10</v>
      </c>
      <c r="D464" s="1" t="s">
        <v>11</v>
      </c>
      <c r="E464" s="1" t="s">
        <v>12</v>
      </c>
      <c r="F464" s="1">
        <v>59</v>
      </c>
      <c r="G464" s="1">
        <v>45</v>
      </c>
      <c r="H464" s="1">
        <v>44</v>
      </c>
      <c r="I464">
        <f t="shared" si="11"/>
        <v>148</v>
      </c>
    </row>
    <row r="465" spans="1:9" ht="13.2" x14ac:dyDescent="0.25">
      <c r="A465" s="1" t="s">
        <v>8</v>
      </c>
      <c r="B465" s="1" t="s">
        <v>18</v>
      </c>
      <c r="C465" s="1" t="s">
        <v>14</v>
      </c>
      <c r="D465" s="1" t="s">
        <v>11</v>
      </c>
      <c r="E465" s="1" t="s">
        <v>12</v>
      </c>
      <c r="F465" s="1">
        <v>60</v>
      </c>
      <c r="G465" s="1">
        <v>75</v>
      </c>
      <c r="H465" s="1">
        <v>71</v>
      </c>
      <c r="I465">
        <f t="shared" si="11"/>
        <v>206</v>
      </c>
    </row>
    <row r="466" spans="1:9" ht="13.2" x14ac:dyDescent="0.25">
      <c r="A466" s="1" t="s">
        <v>8</v>
      </c>
      <c r="B466" s="1" t="s">
        <v>9</v>
      </c>
      <c r="C466" s="1" t="s">
        <v>16</v>
      </c>
      <c r="D466" s="1" t="s">
        <v>11</v>
      </c>
      <c r="E466" s="1" t="s">
        <v>12</v>
      </c>
      <c r="F466" s="1">
        <v>77</v>
      </c>
      <c r="G466" s="1">
        <v>87</v>
      </c>
      <c r="H466" s="1">
        <v>84</v>
      </c>
      <c r="I466">
        <f t="shared" si="11"/>
        <v>248</v>
      </c>
    </row>
    <row r="467" spans="1:9" ht="13.2" x14ac:dyDescent="0.25">
      <c r="A467" s="1" t="s">
        <v>19</v>
      </c>
      <c r="B467" s="1" t="s">
        <v>18</v>
      </c>
      <c r="C467" s="1" t="s">
        <v>16</v>
      </c>
      <c r="D467" s="1" t="s">
        <v>11</v>
      </c>
      <c r="E467" s="1" t="s">
        <v>12</v>
      </c>
      <c r="F467" s="1">
        <v>84</v>
      </c>
      <c r="G467" s="1">
        <v>79</v>
      </c>
      <c r="H467" s="1">
        <v>76</v>
      </c>
      <c r="I467">
        <f t="shared" si="11"/>
        <v>239</v>
      </c>
    </row>
    <row r="468" spans="1:9" ht="13.2" x14ac:dyDescent="0.25">
      <c r="A468" s="1" t="s">
        <v>8</v>
      </c>
      <c r="B468" s="1" t="s">
        <v>9</v>
      </c>
      <c r="C468" s="1" t="s">
        <v>10</v>
      </c>
      <c r="D468" s="1" t="s">
        <v>11</v>
      </c>
      <c r="E468" s="1" t="s">
        <v>17</v>
      </c>
      <c r="F468" s="1">
        <v>57</v>
      </c>
      <c r="G468" s="1">
        <v>66</v>
      </c>
      <c r="H468" s="1">
        <v>74</v>
      </c>
      <c r="I468">
        <f t="shared" si="11"/>
        <v>197</v>
      </c>
    </row>
    <row r="469" spans="1:9" ht="13.2" x14ac:dyDescent="0.25">
      <c r="A469" s="1" t="s">
        <v>8</v>
      </c>
      <c r="B469" s="1" t="s">
        <v>9</v>
      </c>
      <c r="C469" s="1" t="s">
        <v>16</v>
      </c>
      <c r="D469" s="1" t="s">
        <v>11</v>
      </c>
      <c r="E469" s="1" t="s">
        <v>12</v>
      </c>
      <c r="F469" s="1">
        <v>84</v>
      </c>
      <c r="G469" s="1">
        <v>92</v>
      </c>
      <c r="H469" s="1">
        <v>93</v>
      </c>
      <c r="I469">
        <f t="shared" si="11"/>
        <v>269</v>
      </c>
    </row>
    <row r="470" spans="1:9" ht="13.2" x14ac:dyDescent="0.25">
      <c r="A470" s="1" t="s">
        <v>19</v>
      </c>
      <c r="B470" s="1" t="s">
        <v>21</v>
      </c>
      <c r="C470" s="1" t="s">
        <v>10</v>
      </c>
      <c r="D470" s="1" t="s">
        <v>11</v>
      </c>
      <c r="E470" s="1" t="s">
        <v>12</v>
      </c>
      <c r="F470" s="1">
        <v>60</v>
      </c>
      <c r="G470" s="1">
        <v>51</v>
      </c>
      <c r="H470" s="1">
        <v>46</v>
      </c>
      <c r="I470">
        <f t="shared" si="11"/>
        <v>157</v>
      </c>
    </row>
    <row r="471" spans="1:9" ht="13.2" x14ac:dyDescent="0.25">
      <c r="A471" s="1" t="s">
        <v>8</v>
      </c>
      <c r="B471" s="1" t="s">
        <v>18</v>
      </c>
      <c r="C471" s="1" t="s">
        <v>20</v>
      </c>
      <c r="D471" s="1" t="s">
        <v>11</v>
      </c>
      <c r="E471" s="1" t="s">
        <v>12</v>
      </c>
      <c r="F471" s="1">
        <v>75</v>
      </c>
      <c r="G471" s="1">
        <v>86</v>
      </c>
      <c r="H471" s="1">
        <v>87</v>
      </c>
      <c r="I471">
        <f t="shared" si="11"/>
        <v>248</v>
      </c>
    </row>
    <row r="472" spans="1:9" ht="13.2" x14ac:dyDescent="0.25">
      <c r="A472" s="1" t="s">
        <v>8</v>
      </c>
      <c r="B472" s="1" t="s">
        <v>9</v>
      </c>
      <c r="C472" s="1" t="s">
        <v>14</v>
      </c>
      <c r="D472" s="1" t="s">
        <v>11</v>
      </c>
      <c r="E472" s="1" t="s">
        <v>17</v>
      </c>
      <c r="F472" s="1">
        <v>60</v>
      </c>
      <c r="G472" s="1">
        <v>62</v>
      </c>
      <c r="H472" s="1">
        <v>72</v>
      </c>
      <c r="I472">
        <f t="shared" si="11"/>
        <v>194</v>
      </c>
    </row>
    <row r="473" spans="1:9" ht="13.2" x14ac:dyDescent="0.25">
      <c r="A473" s="1" t="s">
        <v>8</v>
      </c>
      <c r="B473" s="1" t="s">
        <v>9</v>
      </c>
      <c r="C473" s="1" t="s">
        <v>20</v>
      </c>
      <c r="D473" s="1" t="s">
        <v>11</v>
      </c>
      <c r="E473" s="1" t="s">
        <v>17</v>
      </c>
      <c r="F473" s="1">
        <v>72</v>
      </c>
      <c r="G473" s="1">
        <v>71</v>
      </c>
      <c r="H473" s="1">
        <v>73</v>
      </c>
      <c r="I473">
        <f t="shared" si="11"/>
        <v>216</v>
      </c>
    </row>
    <row r="474" spans="1:9" ht="13.2" x14ac:dyDescent="0.25">
      <c r="A474" s="1" t="s">
        <v>19</v>
      </c>
      <c r="B474" s="1" t="s">
        <v>18</v>
      </c>
      <c r="C474" s="1" t="s">
        <v>16</v>
      </c>
      <c r="D474" s="1" t="s">
        <v>11</v>
      </c>
      <c r="E474" s="1" t="s">
        <v>12</v>
      </c>
      <c r="F474" s="1">
        <v>54</v>
      </c>
      <c r="G474" s="1">
        <v>64</v>
      </c>
      <c r="H474" s="1">
        <v>64</v>
      </c>
      <c r="I474">
        <f t="shared" si="11"/>
        <v>182</v>
      </c>
    </row>
    <row r="475" spans="1:9" ht="13.2" x14ac:dyDescent="0.25">
      <c r="A475" s="1" t="s">
        <v>19</v>
      </c>
      <c r="B475" s="1" t="s">
        <v>18</v>
      </c>
      <c r="C475" s="1" t="s">
        <v>16</v>
      </c>
      <c r="D475" s="1" t="s">
        <v>11</v>
      </c>
      <c r="E475" s="1" t="s">
        <v>12</v>
      </c>
      <c r="F475" s="1">
        <v>80</v>
      </c>
      <c r="G475" s="1">
        <v>77</v>
      </c>
      <c r="H475" s="1">
        <v>67</v>
      </c>
      <c r="I475">
        <f t="shared" si="11"/>
        <v>224</v>
      </c>
    </row>
    <row r="476" spans="1:9" ht="13.2" x14ac:dyDescent="0.25">
      <c r="A476" s="1" t="s">
        <v>19</v>
      </c>
      <c r="B476" s="1" t="s">
        <v>15</v>
      </c>
      <c r="C476" s="1" t="s">
        <v>10</v>
      </c>
      <c r="D476" s="1" t="s">
        <v>23</v>
      </c>
      <c r="E476" s="1" t="s">
        <v>12</v>
      </c>
      <c r="F476" s="1">
        <v>72</v>
      </c>
      <c r="G476" s="1">
        <v>69</v>
      </c>
      <c r="H476" s="1">
        <v>68</v>
      </c>
      <c r="I476">
        <f t="shared" si="11"/>
        <v>209</v>
      </c>
    </row>
    <row r="477" spans="1:9" ht="13.2" x14ac:dyDescent="0.25">
      <c r="A477" s="1" t="s">
        <v>19</v>
      </c>
      <c r="B477" s="1" t="s">
        <v>18</v>
      </c>
      <c r="C477" s="1" t="s">
        <v>22</v>
      </c>
      <c r="D477" s="1" t="s">
        <v>23</v>
      </c>
      <c r="E477" s="1" t="s">
        <v>17</v>
      </c>
      <c r="F477" s="1">
        <v>60</v>
      </c>
      <c r="G477" s="1">
        <v>71</v>
      </c>
      <c r="H477" s="1">
        <v>67</v>
      </c>
      <c r="I477">
        <f t="shared" si="11"/>
        <v>198</v>
      </c>
    </row>
    <row r="478" spans="1:9" ht="13.2" x14ac:dyDescent="0.25">
      <c r="A478" s="1" t="s">
        <v>8</v>
      </c>
      <c r="B478" s="1" t="s">
        <v>13</v>
      </c>
      <c r="C478" s="1" t="s">
        <v>10</v>
      </c>
      <c r="D478" s="1" t="s">
        <v>11</v>
      </c>
      <c r="E478" s="1" t="s">
        <v>17</v>
      </c>
      <c r="F478" s="1">
        <v>76</v>
      </c>
      <c r="G478" s="1">
        <v>83</v>
      </c>
      <c r="H478" s="1">
        <v>80</v>
      </c>
      <c r="I478">
        <f t="shared" si="11"/>
        <v>239</v>
      </c>
    </row>
    <row r="479" spans="1:9" ht="13.2" x14ac:dyDescent="0.25">
      <c r="A479" s="1" t="s">
        <v>8</v>
      </c>
      <c r="B479" s="1" t="s">
        <v>21</v>
      </c>
      <c r="C479" s="1" t="s">
        <v>22</v>
      </c>
      <c r="D479" s="1" t="s">
        <v>23</v>
      </c>
      <c r="E479" s="1" t="s">
        <v>12</v>
      </c>
      <c r="F479" s="1">
        <v>78</v>
      </c>
      <c r="G479" s="1">
        <v>87</v>
      </c>
      <c r="H479" s="1">
        <v>82</v>
      </c>
      <c r="I479">
        <f t="shared" si="11"/>
        <v>247</v>
      </c>
    </row>
    <row r="480" spans="1:9" ht="13.2" x14ac:dyDescent="0.25">
      <c r="A480" s="1" t="s">
        <v>19</v>
      </c>
      <c r="B480" s="1" t="s">
        <v>21</v>
      </c>
      <c r="C480" s="1" t="s">
        <v>22</v>
      </c>
      <c r="D480" s="1" t="s">
        <v>23</v>
      </c>
      <c r="E480" s="1" t="s">
        <v>12</v>
      </c>
      <c r="F480" s="1">
        <v>77</v>
      </c>
      <c r="G480" s="1">
        <v>74</v>
      </c>
      <c r="H480" s="1">
        <v>67</v>
      </c>
      <c r="I480">
        <f t="shared" si="11"/>
        <v>218</v>
      </c>
    </row>
    <row r="481" spans="1:9" ht="13.2" x14ac:dyDescent="0.25">
      <c r="A481" s="1" t="s">
        <v>8</v>
      </c>
      <c r="B481" s="1" t="s">
        <v>13</v>
      </c>
      <c r="C481" s="1" t="s">
        <v>16</v>
      </c>
      <c r="D481" s="1" t="s">
        <v>23</v>
      </c>
      <c r="E481" s="1" t="s">
        <v>17</v>
      </c>
      <c r="F481" s="1">
        <v>52</v>
      </c>
      <c r="G481" s="1">
        <v>64</v>
      </c>
      <c r="H481" s="1">
        <v>69</v>
      </c>
      <c r="I481">
        <f t="shared" si="11"/>
        <v>185</v>
      </c>
    </row>
    <row r="482" spans="1:9" ht="13.2" x14ac:dyDescent="0.25">
      <c r="A482" s="1" t="s">
        <v>19</v>
      </c>
      <c r="B482" s="1" t="s">
        <v>13</v>
      </c>
      <c r="C482" s="1" t="s">
        <v>10</v>
      </c>
      <c r="D482" s="1" t="s">
        <v>23</v>
      </c>
      <c r="E482" s="1" t="s">
        <v>17</v>
      </c>
      <c r="F482" s="1">
        <v>59</v>
      </c>
      <c r="G482" s="1">
        <v>77</v>
      </c>
      <c r="H482" s="1">
        <v>76</v>
      </c>
      <c r="I482">
        <f t="shared" si="11"/>
        <v>212</v>
      </c>
    </row>
    <row r="483" spans="1:9" ht="13.2" x14ac:dyDescent="0.25">
      <c r="A483" s="1" t="s">
        <v>19</v>
      </c>
      <c r="B483" s="1" t="s">
        <v>13</v>
      </c>
      <c r="C483" s="1" t="s">
        <v>10</v>
      </c>
      <c r="D483" s="1" t="s">
        <v>23</v>
      </c>
      <c r="E483" s="1" t="s">
        <v>17</v>
      </c>
      <c r="F483" s="1">
        <v>75</v>
      </c>
      <c r="G483" s="1">
        <v>73</v>
      </c>
      <c r="H483" s="1">
        <v>76</v>
      </c>
      <c r="I483">
        <f t="shared" si="11"/>
        <v>224</v>
      </c>
    </row>
    <row r="484" spans="1:9" ht="13.2" x14ac:dyDescent="0.25">
      <c r="A484" s="1" t="s">
        <v>8</v>
      </c>
      <c r="B484" s="1" t="s">
        <v>18</v>
      </c>
      <c r="C484" s="1" t="s">
        <v>14</v>
      </c>
      <c r="D484" s="1" t="s">
        <v>11</v>
      </c>
      <c r="E484" s="1" t="s">
        <v>17</v>
      </c>
      <c r="F484" s="1">
        <v>60</v>
      </c>
      <c r="G484" s="1">
        <v>56</v>
      </c>
      <c r="H484" s="1">
        <v>58</v>
      </c>
      <c r="I484">
        <f t="shared" si="11"/>
        <v>174</v>
      </c>
    </row>
    <row r="485" spans="1:9" ht="13.2" x14ac:dyDescent="0.25">
      <c r="A485" s="1" t="s">
        <v>19</v>
      </c>
      <c r="B485" s="1" t="s">
        <v>18</v>
      </c>
      <c r="C485" s="1" t="s">
        <v>10</v>
      </c>
      <c r="D485" s="1" t="s">
        <v>23</v>
      </c>
      <c r="E485" s="1" t="s">
        <v>17</v>
      </c>
      <c r="F485" s="1">
        <v>47</v>
      </c>
      <c r="G485" s="1">
        <v>49</v>
      </c>
      <c r="H485" s="1">
        <v>48</v>
      </c>
      <c r="I485">
        <f t="shared" si="11"/>
        <v>144</v>
      </c>
    </row>
    <row r="486" spans="1:9" ht="13.2" x14ac:dyDescent="0.25">
      <c r="A486" s="1" t="s">
        <v>19</v>
      </c>
      <c r="B486" s="1" t="s">
        <v>18</v>
      </c>
      <c r="C486" s="1" t="s">
        <v>16</v>
      </c>
      <c r="D486" s="1" t="s">
        <v>23</v>
      </c>
      <c r="E486" s="1" t="s">
        <v>17</v>
      </c>
      <c r="F486" s="1">
        <v>58</v>
      </c>
      <c r="G486" s="1">
        <v>59</v>
      </c>
      <c r="H486" s="1">
        <v>60</v>
      </c>
      <c r="I486">
        <f t="shared" si="11"/>
        <v>177</v>
      </c>
    </row>
    <row r="487" spans="1:9" ht="13.2" x14ac:dyDescent="0.25">
      <c r="A487" s="1" t="s">
        <v>8</v>
      </c>
      <c r="B487" s="1" t="s">
        <v>18</v>
      </c>
      <c r="C487" s="1" t="s">
        <v>14</v>
      </c>
      <c r="D487" s="1" t="s">
        <v>23</v>
      </c>
      <c r="E487" s="1" t="s">
        <v>12</v>
      </c>
      <c r="F487" s="1">
        <v>54</v>
      </c>
      <c r="G487" s="1">
        <v>68</v>
      </c>
      <c r="H487" s="1">
        <v>55</v>
      </c>
      <c r="I487">
        <f t="shared" si="11"/>
        <v>177</v>
      </c>
    </row>
    <row r="488" spans="1:9" ht="13.2" x14ac:dyDescent="0.25">
      <c r="A488" s="1" t="s">
        <v>19</v>
      </c>
      <c r="B488" s="1" t="s">
        <v>21</v>
      </c>
      <c r="C488" s="1" t="s">
        <v>10</v>
      </c>
      <c r="D488" s="1" t="s">
        <v>11</v>
      </c>
      <c r="E488" s="1" t="s">
        <v>12</v>
      </c>
      <c r="F488" s="1">
        <v>74</v>
      </c>
      <c r="G488" s="1">
        <v>72</v>
      </c>
      <c r="H488" s="1">
        <v>64</v>
      </c>
      <c r="I488">
        <f t="shared" si="11"/>
        <v>210</v>
      </c>
    </row>
    <row r="489" spans="1:9" ht="13.2" x14ac:dyDescent="0.25">
      <c r="A489" s="1" t="s">
        <v>19</v>
      </c>
      <c r="B489" s="1" t="s">
        <v>13</v>
      </c>
      <c r="C489" s="1" t="s">
        <v>10</v>
      </c>
      <c r="D489" s="1" t="s">
        <v>11</v>
      </c>
      <c r="E489" s="1" t="s">
        <v>12</v>
      </c>
      <c r="F489" s="1">
        <v>70</v>
      </c>
      <c r="G489" s="1">
        <v>76</v>
      </c>
      <c r="H489" s="1">
        <v>66</v>
      </c>
      <c r="I489">
        <f t="shared" si="11"/>
        <v>212</v>
      </c>
    </row>
    <row r="490" spans="1:9" ht="13.2" x14ac:dyDescent="0.25">
      <c r="A490" s="1" t="s">
        <v>8</v>
      </c>
      <c r="B490" s="1" t="s">
        <v>9</v>
      </c>
      <c r="C490" s="1" t="s">
        <v>20</v>
      </c>
      <c r="D490" s="1" t="s">
        <v>11</v>
      </c>
      <c r="E490" s="1" t="s">
        <v>17</v>
      </c>
      <c r="F490" s="1">
        <v>99</v>
      </c>
      <c r="G490" s="1">
        <v>100</v>
      </c>
      <c r="H490" s="1">
        <v>100</v>
      </c>
      <c r="I490">
        <f t="shared" si="11"/>
        <v>299</v>
      </c>
    </row>
    <row r="491" spans="1:9" ht="13.2" x14ac:dyDescent="0.25">
      <c r="A491" s="1" t="s">
        <v>8</v>
      </c>
      <c r="B491" s="1" t="s">
        <v>18</v>
      </c>
      <c r="C491" s="1" t="s">
        <v>14</v>
      </c>
      <c r="D491" s="1" t="s">
        <v>23</v>
      </c>
      <c r="E491" s="1" t="s">
        <v>12</v>
      </c>
      <c r="F491" s="1">
        <v>74</v>
      </c>
      <c r="G491" s="1">
        <v>85</v>
      </c>
      <c r="H491" s="1">
        <v>81</v>
      </c>
      <c r="I491">
        <f t="shared" si="11"/>
        <v>240</v>
      </c>
    </row>
    <row r="492" spans="1:9" ht="13.2" x14ac:dyDescent="0.25">
      <c r="A492" s="1" t="s">
        <v>8</v>
      </c>
      <c r="B492" s="1" t="s">
        <v>9</v>
      </c>
      <c r="C492" s="1" t="s">
        <v>10</v>
      </c>
      <c r="D492" s="1" t="s">
        <v>11</v>
      </c>
      <c r="E492" s="1" t="s">
        <v>12</v>
      </c>
      <c r="F492" s="1">
        <v>83</v>
      </c>
      <c r="G492" s="1">
        <v>90</v>
      </c>
      <c r="H492" s="1">
        <v>88</v>
      </c>
      <c r="I492">
        <f t="shared" si="11"/>
        <v>261</v>
      </c>
    </row>
    <row r="493" spans="1:9" ht="13.2" x14ac:dyDescent="0.25">
      <c r="A493" s="1" t="s">
        <v>8</v>
      </c>
      <c r="B493" s="1" t="s">
        <v>18</v>
      </c>
      <c r="C493" s="1" t="s">
        <v>16</v>
      </c>
      <c r="D493" s="1" t="s">
        <v>23</v>
      </c>
      <c r="E493" s="1" t="s">
        <v>12</v>
      </c>
      <c r="F493" s="1">
        <v>39</v>
      </c>
      <c r="G493" s="1">
        <v>57</v>
      </c>
      <c r="H493" s="1">
        <v>48</v>
      </c>
      <c r="I493">
        <f t="shared" si="11"/>
        <v>144</v>
      </c>
    </row>
    <row r="494" spans="1:9" ht="13.2" x14ac:dyDescent="0.25">
      <c r="A494" s="1" t="s">
        <v>8</v>
      </c>
      <c r="B494" s="1" t="s">
        <v>21</v>
      </c>
      <c r="C494" s="1" t="s">
        <v>10</v>
      </c>
      <c r="D494" s="1" t="s">
        <v>11</v>
      </c>
      <c r="E494" s="1" t="s">
        <v>17</v>
      </c>
      <c r="F494" s="1">
        <v>85</v>
      </c>
      <c r="G494" s="1">
        <v>89</v>
      </c>
      <c r="H494" s="1">
        <v>92</v>
      </c>
      <c r="I494">
        <f t="shared" si="11"/>
        <v>266</v>
      </c>
    </row>
    <row r="495" spans="1:9" ht="13.2" x14ac:dyDescent="0.25">
      <c r="A495" s="1" t="s">
        <v>8</v>
      </c>
      <c r="B495" s="1" t="s">
        <v>13</v>
      </c>
      <c r="C495" s="1" t="s">
        <v>14</v>
      </c>
      <c r="D495" s="1" t="s">
        <v>23</v>
      </c>
      <c r="E495" s="1" t="s">
        <v>12</v>
      </c>
      <c r="F495" s="1">
        <v>74</v>
      </c>
      <c r="G495" s="1">
        <v>77</v>
      </c>
      <c r="H495" s="1">
        <v>75</v>
      </c>
      <c r="I495">
        <f t="shared" si="11"/>
        <v>226</v>
      </c>
    </row>
    <row r="496" spans="1:9" ht="13.2" x14ac:dyDescent="0.25">
      <c r="A496" s="1" t="s">
        <v>19</v>
      </c>
      <c r="B496" s="1" t="s">
        <v>18</v>
      </c>
      <c r="C496" s="1" t="s">
        <v>10</v>
      </c>
      <c r="D496" s="1" t="s">
        <v>11</v>
      </c>
      <c r="E496" s="1" t="s">
        <v>12</v>
      </c>
      <c r="F496" s="1">
        <v>76</v>
      </c>
      <c r="G496" s="1">
        <v>71</v>
      </c>
      <c r="H496" s="1">
        <v>65</v>
      </c>
      <c r="I496">
        <f t="shared" si="11"/>
        <v>212</v>
      </c>
    </row>
    <row r="497" spans="1:9" ht="13.2" x14ac:dyDescent="0.25">
      <c r="A497" s="1" t="s">
        <v>8</v>
      </c>
      <c r="B497" s="1" t="s">
        <v>9</v>
      </c>
      <c r="C497" s="1" t="s">
        <v>16</v>
      </c>
      <c r="D497" s="1" t="s">
        <v>11</v>
      </c>
      <c r="E497" s="1" t="s">
        <v>12</v>
      </c>
      <c r="F497" s="1">
        <v>57</v>
      </c>
      <c r="G497" s="1">
        <v>59</v>
      </c>
      <c r="H497" s="1">
        <v>67</v>
      </c>
      <c r="I497">
        <f t="shared" si="11"/>
        <v>183</v>
      </c>
    </row>
    <row r="498" spans="1:9" ht="13.2" x14ac:dyDescent="0.25">
      <c r="A498" s="1" t="s">
        <v>19</v>
      </c>
      <c r="B498" s="1" t="s">
        <v>18</v>
      </c>
      <c r="C498" s="1" t="s">
        <v>22</v>
      </c>
      <c r="D498" s="1" t="s">
        <v>23</v>
      </c>
      <c r="E498" s="1" t="s">
        <v>17</v>
      </c>
      <c r="F498" s="1">
        <v>51</v>
      </c>
      <c r="G498" s="1">
        <v>56</v>
      </c>
      <c r="H498" s="1">
        <v>62</v>
      </c>
      <c r="I498">
        <f t="shared" si="11"/>
        <v>169</v>
      </c>
    </row>
    <row r="499" spans="1:9" ht="13.2" x14ac:dyDescent="0.25">
      <c r="A499" s="1" t="s">
        <v>19</v>
      </c>
      <c r="B499" s="1" t="s">
        <v>18</v>
      </c>
      <c r="C499" s="1" t="s">
        <v>22</v>
      </c>
      <c r="D499" s="1" t="s">
        <v>11</v>
      </c>
      <c r="E499" s="1" t="s">
        <v>12</v>
      </c>
      <c r="F499" s="1">
        <v>57</v>
      </c>
      <c r="G499" s="1">
        <v>49</v>
      </c>
      <c r="H499" s="1">
        <v>50</v>
      </c>
      <c r="I499">
        <f t="shared" si="11"/>
        <v>156</v>
      </c>
    </row>
    <row r="500" spans="1:9" ht="13.2" x14ac:dyDescent="0.25">
      <c r="A500" s="1" t="s">
        <v>19</v>
      </c>
      <c r="B500" s="1" t="s">
        <v>18</v>
      </c>
      <c r="C500" s="1" t="s">
        <v>16</v>
      </c>
      <c r="D500" s="1" t="s">
        <v>23</v>
      </c>
      <c r="E500" s="1" t="s">
        <v>12</v>
      </c>
      <c r="F500" s="1">
        <v>57</v>
      </c>
      <c r="G500" s="1">
        <v>54</v>
      </c>
      <c r="H500" s="1">
        <v>55</v>
      </c>
      <c r="I500">
        <f t="shared" si="11"/>
        <v>166</v>
      </c>
    </row>
    <row r="501" spans="1:9" ht="13.2" x14ac:dyDescent="0.25">
      <c r="A501" s="1" t="s">
        <v>19</v>
      </c>
      <c r="B501" s="1" t="s">
        <v>13</v>
      </c>
      <c r="C501" s="1" t="s">
        <v>16</v>
      </c>
      <c r="D501" s="1" t="s">
        <v>23</v>
      </c>
      <c r="E501" s="1" t="s">
        <v>17</v>
      </c>
      <c r="F501" s="1">
        <v>56</v>
      </c>
      <c r="G501" s="1">
        <v>60</v>
      </c>
      <c r="H501" s="1">
        <v>58</v>
      </c>
      <c r="I501">
        <f t="shared" si="11"/>
        <v>174</v>
      </c>
    </row>
    <row r="502" spans="1:9" ht="13.2" hidden="1" x14ac:dyDescent="0.25">
      <c r="A502" s="1" t="s">
        <v>8</v>
      </c>
      <c r="B502" s="1" t="s">
        <v>9</v>
      </c>
      <c r="C502" s="1" t="s">
        <v>10</v>
      </c>
      <c r="D502" s="1" t="s">
        <v>11</v>
      </c>
      <c r="E502" s="1" t="s">
        <v>17</v>
      </c>
      <c r="F502" s="1">
        <v>71</v>
      </c>
      <c r="G502" s="1">
        <v>80</v>
      </c>
      <c r="H502" s="1">
        <v>69</v>
      </c>
      <c r="I502">
        <f t="shared" si="11"/>
        <v>220</v>
      </c>
    </row>
    <row r="503" spans="1:9" ht="13.2" hidden="1" x14ac:dyDescent="0.25">
      <c r="A503" s="1" t="s">
        <v>19</v>
      </c>
      <c r="B503" s="1" t="s">
        <v>13</v>
      </c>
      <c r="C503" s="1" t="s">
        <v>16</v>
      </c>
      <c r="D503" s="1" t="s">
        <v>11</v>
      </c>
      <c r="E503" s="1" t="s">
        <v>12</v>
      </c>
      <c r="F503" s="1">
        <v>59</v>
      </c>
      <c r="G503" s="1">
        <v>52</v>
      </c>
      <c r="H503" s="1">
        <v>43</v>
      </c>
      <c r="I503">
        <f t="shared" si="11"/>
        <v>154</v>
      </c>
    </row>
    <row r="504" spans="1:9" ht="13.2" hidden="1" x14ac:dyDescent="0.25">
      <c r="A504" s="1" t="s">
        <v>19</v>
      </c>
      <c r="B504" s="1" t="s">
        <v>18</v>
      </c>
      <c r="C504" s="1" t="s">
        <v>10</v>
      </c>
      <c r="D504" s="1" t="s">
        <v>11</v>
      </c>
      <c r="E504" s="1" t="s">
        <v>12</v>
      </c>
      <c r="F504" s="1">
        <v>87</v>
      </c>
      <c r="G504" s="1">
        <v>83</v>
      </c>
      <c r="H504" s="1">
        <v>74</v>
      </c>
      <c r="I504">
        <f t="shared" si="11"/>
        <v>244</v>
      </c>
    </row>
    <row r="505" spans="1:9" ht="13.2" hidden="1" x14ac:dyDescent="0.25">
      <c r="A505" s="1" t="s">
        <v>8</v>
      </c>
      <c r="B505" s="1" t="s">
        <v>13</v>
      </c>
      <c r="C505" s="1" t="s">
        <v>14</v>
      </c>
      <c r="D505" s="1" t="s">
        <v>11</v>
      </c>
      <c r="E505" s="1" t="s">
        <v>12</v>
      </c>
      <c r="F505" s="1">
        <v>64</v>
      </c>
      <c r="G505" s="1">
        <v>66</v>
      </c>
      <c r="H505" s="1">
        <v>74</v>
      </c>
      <c r="I505">
        <f t="shared" si="11"/>
        <v>204</v>
      </c>
    </row>
    <row r="506" spans="1:9" ht="13.2" hidden="1" x14ac:dyDescent="0.25">
      <c r="A506" s="1" t="s">
        <v>8</v>
      </c>
      <c r="B506" s="1" t="s">
        <v>9</v>
      </c>
      <c r="C506" s="1" t="s">
        <v>14</v>
      </c>
      <c r="D506" s="1" t="s">
        <v>11</v>
      </c>
      <c r="E506" s="1" t="s">
        <v>12</v>
      </c>
      <c r="F506" s="1">
        <v>54</v>
      </c>
      <c r="G506" s="1">
        <v>63</v>
      </c>
      <c r="H506" s="1">
        <v>64</v>
      </c>
      <c r="I506">
        <f t="shared" si="11"/>
        <v>181</v>
      </c>
    </row>
    <row r="507" spans="1:9" ht="13.2" hidden="1" x14ac:dyDescent="0.25">
      <c r="A507" s="1" t="s">
        <v>8</v>
      </c>
      <c r="B507" s="1" t="s">
        <v>18</v>
      </c>
      <c r="C507" s="1" t="s">
        <v>16</v>
      </c>
      <c r="D507" s="1" t="s">
        <v>11</v>
      </c>
      <c r="E507" s="1" t="s">
        <v>12</v>
      </c>
      <c r="F507" s="1">
        <v>68</v>
      </c>
      <c r="G507" s="1">
        <v>77</v>
      </c>
      <c r="H507" s="1">
        <v>73</v>
      </c>
      <c r="I507">
        <f t="shared" si="11"/>
        <v>218</v>
      </c>
    </row>
    <row r="508" spans="1:9" ht="13.2" hidden="1" x14ac:dyDescent="0.25">
      <c r="A508" s="1" t="s">
        <v>19</v>
      </c>
      <c r="B508" s="1" t="s">
        <v>9</v>
      </c>
      <c r="C508" s="1" t="s">
        <v>22</v>
      </c>
      <c r="D508" s="1" t="s">
        <v>11</v>
      </c>
      <c r="E508" s="1" t="s">
        <v>12</v>
      </c>
      <c r="F508" s="1">
        <v>30</v>
      </c>
      <c r="G508" s="1">
        <v>50</v>
      </c>
      <c r="H508" s="1">
        <v>38</v>
      </c>
      <c r="I508">
        <f t="shared" si="11"/>
        <v>118</v>
      </c>
    </row>
    <row r="509" spans="1:9" ht="13.2" hidden="1" x14ac:dyDescent="0.25">
      <c r="A509" s="1" t="s">
        <v>8</v>
      </c>
      <c r="B509" s="1" t="s">
        <v>13</v>
      </c>
      <c r="C509" s="1" t="s">
        <v>14</v>
      </c>
      <c r="D509" s="1" t="s">
        <v>11</v>
      </c>
      <c r="E509" s="1" t="s">
        <v>17</v>
      </c>
      <c r="F509" s="1">
        <v>70</v>
      </c>
      <c r="G509" s="1">
        <v>88</v>
      </c>
      <c r="H509" s="1">
        <v>97</v>
      </c>
      <c r="I509">
        <f t="shared" si="11"/>
        <v>255</v>
      </c>
    </row>
    <row r="510" spans="1:9" ht="13.2" hidden="1" x14ac:dyDescent="0.25">
      <c r="A510" s="1" t="s">
        <v>19</v>
      </c>
      <c r="B510" s="1" t="s">
        <v>18</v>
      </c>
      <c r="C510" s="1" t="s">
        <v>10</v>
      </c>
      <c r="D510" s="1" t="s">
        <v>11</v>
      </c>
      <c r="E510" s="1" t="s">
        <v>17</v>
      </c>
      <c r="F510" s="1">
        <v>88</v>
      </c>
      <c r="G510" s="1">
        <v>79</v>
      </c>
      <c r="H510" s="1">
        <v>86</v>
      </c>
      <c r="I510">
        <f t="shared" si="11"/>
        <v>253</v>
      </c>
    </row>
    <row r="511" spans="1:9" ht="13.2" hidden="1" x14ac:dyDescent="0.25">
      <c r="A511" s="1" t="s">
        <v>19</v>
      </c>
      <c r="B511" s="1" t="s">
        <v>18</v>
      </c>
      <c r="C511" s="1" t="s">
        <v>22</v>
      </c>
      <c r="D511" s="1" t="s">
        <v>11</v>
      </c>
      <c r="E511" s="1" t="s">
        <v>17</v>
      </c>
      <c r="F511" s="1">
        <v>56</v>
      </c>
      <c r="G511" s="1">
        <v>52</v>
      </c>
      <c r="H511" s="1">
        <v>52</v>
      </c>
      <c r="I511">
        <f t="shared" si="11"/>
        <v>160</v>
      </c>
    </row>
    <row r="512" spans="1:9" ht="13.2" hidden="1" x14ac:dyDescent="0.25">
      <c r="A512" s="1" t="s">
        <v>8</v>
      </c>
      <c r="B512" s="1" t="s">
        <v>18</v>
      </c>
      <c r="C512" s="1" t="s">
        <v>22</v>
      </c>
      <c r="D512" s="1" t="s">
        <v>11</v>
      </c>
      <c r="E512" s="1" t="s">
        <v>12</v>
      </c>
      <c r="F512" s="1">
        <v>64</v>
      </c>
      <c r="G512" s="1">
        <v>74</v>
      </c>
      <c r="H512" s="1">
        <v>70</v>
      </c>
      <c r="I512">
        <f t="shared" si="11"/>
        <v>208</v>
      </c>
    </row>
    <row r="513" spans="1:9" ht="13.2" hidden="1" x14ac:dyDescent="0.25">
      <c r="A513" s="1" t="s">
        <v>19</v>
      </c>
      <c r="B513" s="1" t="s">
        <v>15</v>
      </c>
      <c r="C513" s="1" t="s">
        <v>20</v>
      </c>
      <c r="D513" s="1" t="s">
        <v>23</v>
      </c>
      <c r="E513" s="1" t="s">
        <v>12</v>
      </c>
      <c r="F513" s="1">
        <v>76</v>
      </c>
      <c r="G513" s="1">
        <v>88</v>
      </c>
      <c r="H513" s="1">
        <v>79</v>
      </c>
      <c r="I513">
        <f t="shared" si="11"/>
        <v>243</v>
      </c>
    </row>
    <row r="514" spans="1:9" ht="13.2" hidden="1" x14ac:dyDescent="0.25">
      <c r="A514" s="1" t="s">
        <v>19</v>
      </c>
      <c r="B514" s="1" t="s">
        <v>13</v>
      </c>
      <c r="C514" s="1" t="s">
        <v>24</v>
      </c>
      <c r="D514" s="1" t="s">
        <v>11</v>
      </c>
      <c r="E514" s="1" t="s">
        <v>12</v>
      </c>
      <c r="F514" s="1">
        <v>78</v>
      </c>
      <c r="G514" s="1">
        <v>73</v>
      </c>
      <c r="H514" s="1">
        <v>72</v>
      </c>
      <c r="I514">
        <f t="shared" si="11"/>
        <v>223</v>
      </c>
    </row>
    <row r="515" spans="1:9" ht="13.2" hidden="1" x14ac:dyDescent="0.25">
      <c r="A515" s="1" t="s">
        <v>19</v>
      </c>
      <c r="B515" s="1" t="s">
        <v>18</v>
      </c>
      <c r="C515" s="1" t="s">
        <v>20</v>
      </c>
      <c r="D515" s="1" t="s">
        <v>11</v>
      </c>
      <c r="E515" s="1" t="s">
        <v>17</v>
      </c>
      <c r="F515" s="1">
        <v>90</v>
      </c>
      <c r="G515" s="1">
        <v>88</v>
      </c>
      <c r="H515" s="1">
        <v>91</v>
      </c>
      <c r="I515">
        <f t="shared" ref="I515:I578" si="12">SUM(F515:H515)</f>
        <v>269</v>
      </c>
    </row>
    <row r="516" spans="1:9" ht="13.2" hidden="1" x14ac:dyDescent="0.25">
      <c r="A516" s="1" t="s">
        <v>19</v>
      </c>
      <c r="B516" s="1" t="s">
        <v>9</v>
      </c>
      <c r="C516" s="1" t="s">
        <v>22</v>
      </c>
      <c r="D516" s="1" t="s">
        <v>11</v>
      </c>
      <c r="E516" s="1" t="s">
        <v>12</v>
      </c>
      <c r="F516" s="1">
        <v>82</v>
      </c>
      <c r="G516" s="1">
        <v>64</v>
      </c>
      <c r="H516" s="1">
        <v>65</v>
      </c>
      <c r="I516">
        <f t="shared" si="12"/>
        <v>211</v>
      </c>
    </row>
    <row r="517" spans="1:9" ht="13.2" hidden="1" x14ac:dyDescent="0.25">
      <c r="A517" s="1" t="s">
        <v>19</v>
      </c>
      <c r="B517" s="1" t="s">
        <v>21</v>
      </c>
      <c r="C517" s="1" t="s">
        <v>10</v>
      </c>
      <c r="D517" s="1" t="s">
        <v>11</v>
      </c>
      <c r="E517" s="1" t="s">
        <v>12</v>
      </c>
      <c r="F517" s="1">
        <v>62</v>
      </c>
      <c r="G517" s="1">
        <v>55</v>
      </c>
      <c r="H517" s="1">
        <v>51</v>
      </c>
      <c r="I517">
        <f t="shared" si="12"/>
        <v>168</v>
      </c>
    </row>
    <row r="518" spans="1:9" ht="13.2" hidden="1" x14ac:dyDescent="0.25">
      <c r="A518" s="1" t="s">
        <v>8</v>
      </c>
      <c r="B518" s="1" t="s">
        <v>9</v>
      </c>
      <c r="C518" s="1" t="s">
        <v>14</v>
      </c>
      <c r="D518" s="1" t="s">
        <v>23</v>
      </c>
      <c r="E518" s="1" t="s">
        <v>12</v>
      </c>
      <c r="F518" s="1">
        <v>62</v>
      </c>
      <c r="G518" s="1">
        <v>71</v>
      </c>
      <c r="H518" s="1">
        <v>70</v>
      </c>
      <c r="I518">
        <f t="shared" si="12"/>
        <v>203</v>
      </c>
    </row>
    <row r="519" spans="1:9" ht="13.2" hidden="1" x14ac:dyDescent="0.25">
      <c r="A519" s="1" t="s">
        <v>8</v>
      </c>
      <c r="B519" s="1" t="s">
        <v>9</v>
      </c>
      <c r="C519" s="1" t="s">
        <v>10</v>
      </c>
      <c r="D519" s="1" t="s">
        <v>11</v>
      </c>
      <c r="E519" s="1" t="s">
        <v>17</v>
      </c>
      <c r="F519" s="1">
        <v>79</v>
      </c>
      <c r="G519" s="1">
        <v>95</v>
      </c>
      <c r="H519" s="1">
        <v>85</v>
      </c>
      <c r="I519">
        <f t="shared" si="12"/>
        <v>259</v>
      </c>
    </row>
    <row r="520" spans="1:9" ht="13.2" hidden="1" x14ac:dyDescent="0.25">
      <c r="A520" s="1" t="s">
        <v>19</v>
      </c>
      <c r="B520" s="1" t="s">
        <v>18</v>
      </c>
      <c r="C520" s="1" t="s">
        <v>16</v>
      </c>
      <c r="D520" s="1" t="s">
        <v>23</v>
      </c>
      <c r="E520" s="1" t="s">
        <v>12</v>
      </c>
      <c r="F520" s="1">
        <v>64</v>
      </c>
      <c r="G520" s="1">
        <v>66</v>
      </c>
      <c r="H520" s="1">
        <v>57</v>
      </c>
      <c r="I520">
        <f t="shared" si="12"/>
        <v>187</v>
      </c>
    </row>
    <row r="521" spans="1:9" ht="13.2" hidden="1" x14ac:dyDescent="0.25">
      <c r="A521" s="1" t="s">
        <v>19</v>
      </c>
      <c r="B521" s="1" t="s">
        <v>18</v>
      </c>
      <c r="C521" s="1" t="s">
        <v>20</v>
      </c>
      <c r="D521" s="1" t="s">
        <v>11</v>
      </c>
      <c r="E521" s="1" t="s">
        <v>12</v>
      </c>
      <c r="F521" s="1">
        <v>75</v>
      </c>
      <c r="G521" s="1">
        <v>64</v>
      </c>
      <c r="H521" s="1">
        <v>68</v>
      </c>
      <c r="I521">
        <f t="shared" si="12"/>
        <v>207</v>
      </c>
    </row>
    <row r="522" spans="1:9" ht="13.2" hidden="1" x14ac:dyDescent="0.25">
      <c r="A522" s="1" t="s">
        <v>8</v>
      </c>
      <c r="B522" s="1" t="s">
        <v>13</v>
      </c>
      <c r="C522" s="1" t="s">
        <v>22</v>
      </c>
      <c r="D522" s="1" t="s">
        <v>23</v>
      </c>
      <c r="E522" s="1" t="s">
        <v>12</v>
      </c>
      <c r="F522" s="1">
        <v>59</v>
      </c>
      <c r="G522" s="1">
        <v>77</v>
      </c>
      <c r="H522" s="1">
        <v>73</v>
      </c>
      <c r="I522">
        <f t="shared" si="12"/>
        <v>209</v>
      </c>
    </row>
    <row r="523" spans="1:9" ht="13.2" hidden="1" x14ac:dyDescent="0.25">
      <c r="A523" s="1" t="s">
        <v>8</v>
      </c>
      <c r="B523" s="1" t="s">
        <v>15</v>
      </c>
      <c r="C523" s="1" t="s">
        <v>22</v>
      </c>
      <c r="D523" s="1" t="s">
        <v>11</v>
      </c>
      <c r="E523" s="1" t="s">
        <v>12</v>
      </c>
      <c r="F523" s="1">
        <v>63</v>
      </c>
      <c r="G523" s="1">
        <v>74</v>
      </c>
      <c r="H523" s="1">
        <v>68</v>
      </c>
      <c r="I523">
        <f t="shared" si="12"/>
        <v>205</v>
      </c>
    </row>
    <row r="524" spans="1:9" ht="13.2" hidden="1" x14ac:dyDescent="0.25">
      <c r="A524" s="1" t="s">
        <v>19</v>
      </c>
      <c r="B524" s="1" t="s">
        <v>13</v>
      </c>
      <c r="C524" s="1" t="s">
        <v>22</v>
      </c>
      <c r="D524" s="1" t="s">
        <v>11</v>
      </c>
      <c r="E524" s="1" t="s">
        <v>12</v>
      </c>
      <c r="F524" s="1">
        <v>84</v>
      </c>
      <c r="G524" s="1">
        <v>72</v>
      </c>
      <c r="H524" s="1">
        <v>74</v>
      </c>
      <c r="I524">
        <f t="shared" si="12"/>
        <v>230</v>
      </c>
    </row>
    <row r="525" spans="1:9" ht="13.2" hidden="1" x14ac:dyDescent="0.25">
      <c r="A525" s="1" t="s">
        <v>8</v>
      </c>
      <c r="B525" s="1" t="s">
        <v>13</v>
      </c>
      <c r="C525" s="1" t="s">
        <v>14</v>
      </c>
      <c r="D525" s="1" t="s">
        <v>11</v>
      </c>
      <c r="E525" s="1" t="s">
        <v>17</v>
      </c>
      <c r="F525" s="1">
        <v>64</v>
      </c>
      <c r="G525" s="1">
        <v>79</v>
      </c>
      <c r="H525" s="1">
        <v>81</v>
      </c>
      <c r="I525">
        <f t="shared" si="12"/>
        <v>224</v>
      </c>
    </row>
    <row r="526" spans="1:9" ht="13.2" hidden="1" x14ac:dyDescent="0.25">
      <c r="A526" s="1" t="s">
        <v>8</v>
      </c>
      <c r="B526" s="1" t="s">
        <v>15</v>
      </c>
      <c r="C526" s="1" t="s">
        <v>22</v>
      </c>
      <c r="D526" s="1" t="s">
        <v>11</v>
      </c>
      <c r="E526" s="1" t="s">
        <v>17</v>
      </c>
      <c r="F526" s="1">
        <v>81</v>
      </c>
      <c r="G526" s="1">
        <v>92</v>
      </c>
      <c r="H526" s="1">
        <v>89</v>
      </c>
      <c r="I526">
        <f t="shared" si="12"/>
        <v>262</v>
      </c>
    </row>
    <row r="527" spans="1:9" ht="13.2" hidden="1" x14ac:dyDescent="0.25">
      <c r="A527" s="1" t="s">
        <v>8</v>
      </c>
      <c r="B527" s="1" t="s">
        <v>9</v>
      </c>
      <c r="C527" s="1" t="s">
        <v>22</v>
      </c>
      <c r="D527" s="1" t="s">
        <v>11</v>
      </c>
      <c r="E527" s="1" t="s">
        <v>12</v>
      </c>
      <c r="F527" s="1">
        <v>71</v>
      </c>
      <c r="G527" s="1">
        <v>88</v>
      </c>
      <c r="H527" s="1">
        <v>78</v>
      </c>
      <c r="I527">
        <f t="shared" si="12"/>
        <v>237</v>
      </c>
    </row>
    <row r="528" spans="1:9" ht="13.2" hidden="1" x14ac:dyDescent="0.25">
      <c r="A528" s="1" t="s">
        <v>8</v>
      </c>
      <c r="B528" s="1" t="s">
        <v>18</v>
      </c>
      <c r="C528" s="1" t="s">
        <v>10</v>
      </c>
      <c r="D528" s="1" t="s">
        <v>11</v>
      </c>
      <c r="E528" s="1" t="s">
        <v>12</v>
      </c>
      <c r="F528" s="1">
        <v>63</v>
      </c>
      <c r="G528" s="1">
        <v>63</v>
      </c>
      <c r="H528" s="1">
        <v>63</v>
      </c>
      <c r="I528">
        <f t="shared" si="12"/>
        <v>189</v>
      </c>
    </row>
    <row r="529" spans="1:9" ht="13.2" hidden="1" x14ac:dyDescent="0.25">
      <c r="A529" s="1" t="s">
        <v>8</v>
      </c>
      <c r="B529" s="1" t="s">
        <v>18</v>
      </c>
      <c r="C529" s="1" t="s">
        <v>10</v>
      </c>
      <c r="D529" s="1" t="s">
        <v>23</v>
      </c>
      <c r="E529" s="1" t="s">
        <v>12</v>
      </c>
      <c r="F529" s="1">
        <v>51</v>
      </c>
      <c r="G529" s="1">
        <v>63</v>
      </c>
      <c r="H529" s="1">
        <v>58</v>
      </c>
      <c r="I529">
        <f t="shared" si="12"/>
        <v>172</v>
      </c>
    </row>
    <row r="530" spans="1:9" ht="13.2" hidden="1" x14ac:dyDescent="0.25">
      <c r="A530" s="1" t="s">
        <v>8</v>
      </c>
      <c r="B530" s="1" t="s">
        <v>9</v>
      </c>
      <c r="C530" s="1" t="s">
        <v>10</v>
      </c>
      <c r="D530" s="1" t="s">
        <v>23</v>
      </c>
      <c r="E530" s="1" t="s">
        <v>12</v>
      </c>
      <c r="F530" s="1">
        <v>49</v>
      </c>
      <c r="G530" s="1">
        <v>66</v>
      </c>
      <c r="H530" s="1">
        <v>62</v>
      </c>
      <c r="I530">
        <f t="shared" si="12"/>
        <v>177</v>
      </c>
    </row>
    <row r="531" spans="1:9" ht="13.2" hidden="1" x14ac:dyDescent="0.25">
      <c r="A531" s="1" t="s">
        <v>8</v>
      </c>
      <c r="B531" s="1" t="s">
        <v>15</v>
      </c>
      <c r="C531" s="1" t="s">
        <v>14</v>
      </c>
      <c r="D531" s="1" t="s">
        <v>23</v>
      </c>
      <c r="E531" s="1" t="s">
        <v>17</v>
      </c>
      <c r="F531" s="1">
        <v>62</v>
      </c>
      <c r="G531" s="1">
        <v>77</v>
      </c>
      <c r="H531" s="1">
        <v>80</v>
      </c>
      <c r="I531">
        <f t="shared" si="12"/>
        <v>219</v>
      </c>
    </row>
    <row r="532" spans="1:9" ht="13.2" hidden="1" x14ac:dyDescent="0.25">
      <c r="A532" s="1" t="s">
        <v>19</v>
      </c>
      <c r="B532" s="1" t="s">
        <v>18</v>
      </c>
      <c r="C532" s="1" t="s">
        <v>14</v>
      </c>
      <c r="D532" s="1" t="s">
        <v>23</v>
      </c>
      <c r="E532" s="1" t="s">
        <v>12</v>
      </c>
      <c r="F532" s="1">
        <v>58</v>
      </c>
      <c r="G532" s="1">
        <v>62</v>
      </c>
      <c r="H532" s="1">
        <v>61</v>
      </c>
      <c r="I532">
        <f t="shared" si="12"/>
        <v>181</v>
      </c>
    </row>
    <row r="533" spans="1:9" ht="13.2" hidden="1" x14ac:dyDescent="0.25">
      <c r="A533" s="1" t="s">
        <v>8</v>
      </c>
      <c r="B533" s="1" t="s">
        <v>21</v>
      </c>
      <c r="C533" s="1" t="s">
        <v>20</v>
      </c>
      <c r="D533" s="1" t="s">
        <v>11</v>
      </c>
      <c r="E533" s="1" t="s">
        <v>12</v>
      </c>
      <c r="F533" s="1">
        <v>89</v>
      </c>
      <c r="G533" s="1">
        <v>93</v>
      </c>
      <c r="H533" s="1">
        <v>98</v>
      </c>
      <c r="I533">
        <f t="shared" si="12"/>
        <v>280</v>
      </c>
    </row>
    <row r="534" spans="1:9" ht="13.2" hidden="1" x14ac:dyDescent="0.25">
      <c r="A534" s="1" t="s">
        <v>19</v>
      </c>
      <c r="B534" s="1" t="s">
        <v>21</v>
      </c>
      <c r="C534" s="1" t="s">
        <v>16</v>
      </c>
      <c r="D534" s="1" t="s">
        <v>11</v>
      </c>
      <c r="E534" s="1" t="s">
        <v>17</v>
      </c>
      <c r="F534" s="1">
        <v>95</v>
      </c>
      <c r="G534" s="1">
        <v>86</v>
      </c>
      <c r="H534" s="1">
        <v>91</v>
      </c>
      <c r="I534">
        <f t="shared" si="12"/>
        <v>272</v>
      </c>
    </row>
    <row r="535" spans="1:9" ht="13.2" hidden="1" x14ac:dyDescent="0.25">
      <c r="A535" s="1" t="s">
        <v>19</v>
      </c>
      <c r="B535" s="1" t="s">
        <v>18</v>
      </c>
      <c r="C535" s="1" t="s">
        <v>10</v>
      </c>
      <c r="D535" s="1" t="s">
        <v>23</v>
      </c>
      <c r="E535" s="1" t="s">
        <v>12</v>
      </c>
      <c r="F535" s="1">
        <v>55</v>
      </c>
      <c r="G535" s="1">
        <v>43</v>
      </c>
      <c r="H535" s="1">
        <v>45</v>
      </c>
      <c r="I535">
        <f t="shared" si="12"/>
        <v>143</v>
      </c>
    </row>
    <row r="536" spans="1:9" ht="13.2" hidden="1" x14ac:dyDescent="0.25">
      <c r="A536" s="1" t="s">
        <v>19</v>
      </c>
      <c r="B536" s="1" t="s">
        <v>15</v>
      </c>
      <c r="C536" s="1" t="s">
        <v>22</v>
      </c>
      <c r="D536" s="1" t="s">
        <v>23</v>
      </c>
      <c r="E536" s="1" t="s">
        <v>12</v>
      </c>
      <c r="F536" s="1">
        <v>24</v>
      </c>
      <c r="G536" s="1">
        <v>26</v>
      </c>
      <c r="H536" s="1">
        <v>18</v>
      </c>
      <c r="I536">
        <f t="shared" si="12"/>
        <v>68</v>
      </c>
    </row>
    <row r="537" spans="1:9" ht="13.2" hidden="1" x14ac:dyDescent="0.25">
      <c r="A537" s="1" t="s">
        <v>8</v>
      </c>
      <c r="B537" s="1" t="s">
        <v>15</v>
      </c>
      <c r="C537" s="1" t="s">
        <v>10</v>
      </c>
      <c r="D537" s="1" t="s">
        <v>11</v>
      </c>
      <c r="E537" s="1" t="s">
        <v>12</v>
      </c>
      <c r="F537" s="1">
        <v>62</v>
      </c>
      <c r="G537" s="1">
        <v>56</v>
      </c>
      <c r="H537" s="1">
        <v>55</v>
      </c>
      <c r="I537">
        <f t="shared" si="12"/>
        <v>173</v>
      </c>
    </row>
    <row r="538" spans="1:9" ht="13.2" hidden="1" x14ac:dyDescent="0.25">
      <c r="A538" s="1" t="s">
        <v>8</v>
      </c>
      <c r="B538" s="1" t="s">
        <v>13</v>
      </c>
      <c r="C538" s="1" t="s">
        <v>14</v>
      </c>
      <c r="D538" s="1" t="s">
        <v>11</v>
      </c>
      <c r="E538" s="1" t="s">
        <v>12</v>
      </c>
      <c r="F538" s="1">
        <v>85</v>
      </c>
      <c r="G538" s="1">
        <v>92</v>
      </c>
      <c r="H538" s="1">
        <v>92</v>
      </c>
      <c r="I538">
        <f t="shared" si="12"/>
        <v>269</v>
      </c>
    </row>
    <row r="539" spans="1:9" ht="13.2" hidden="1" x14ac:dyDescent="0.25">
      <c r="A539" s="1" t="s">
        <v>8</v>
      </c>
      <c r="B539" s="1" t="s">
        <v>13</v>
      </c>
      <c r="C539" s="1" t="s">
        <v>14</v>
      </c>
      <c r="D539" s="1" t="s">
        <v>11</v>
      </c>
      <c r="E539" s="1" t="s">
        <v>12</v>
      </c>
      <c r="F539" s="1">
        <v>71</v>
      </c>
      <c r="G539" s="1">
        <v>82</v>
      </c>
      <c r="H539" s="1">
        <v>81</v>
      </c>
      <c r="I539">
        <f t="shared" si="12"/>
        <v>234</v>
      </c>
    </row>
    <row r="540" spans="1:9" ht="13.2" hidden="1" x14ac:dyDescent="0.25">
      <c r="A540" s="1" t="s">
        <v>8</v>
      </c>
      <c r="B540" s="1" t="s">
        <v>18</v>
      </c>
      <c r="C540" s="1" t="s">
        <v>10</v>
      </c>
      <c r="D540" s="1" t="s">
        <v>23</v>
      </c>
      <c r="E540" s="1" t="s">
        <v>17</v>
      </c>
      <c r="F540" s="1">
        <v>81</v>
      </c>
      <c r="G540" s="1">
        <v>98</v>
      </c>
      <c r="H540" s="1">
        <v>91</v>
      </c>
      <c r="I540">
        <f t="shared" si="12"/>
        <v>270</v>
      </c>
    </row>
    <row r="541" spans="1:9" ht="13.2" hidden="1" x14ac:dyDescent="0.25">
      <c r="A541" s="1" t="s">
        <v>19</v>
      </c>
      <c r="B541" s="1" t="s">
        <v>21</v>
      </c>
      <c r="C541" s="1" t="s">
        <v>10</v>
      </c>
      <c r="D541" s="1" t="s">
        <v>11</v>
      </c>
      <c r="E541" s="1" t="s">
        <v>12</v>
      </c>
      <c r="F541" s="1">
        <v>69</v>
      </c>
      <c r="G541" s="1">
        <v>60</v>
      </c>
      <c r="H541" s="1">
        <v>61</v>
      </c>
      <c r="I541">
        <f t="shared" si="12"/>
        <v>190</v>
      </c>
    </row>
    <row r="542" spans="1:9" ht="13.2" hidden="1" x14ac:dyDescent="0.25">
      <c r="A542" s="1" t="s">
        <v>8</v>
      </c>
      <c r="B542" s="1" t="s">
        <v>13</v>
      </c>
      <c r="C542" s="1" t="s">
        <v>16</v>
      </c>
      <c r="D542" s="1" t="s">
        <v>23</v>
      </c>
      <c r="E542" s="1" t="s">
        <v>17</v>
      </c>
      <c r="F542" s="1">
        <v>71</v>
      </c>
      <c r="G542" s="1">
        <v>93</v>
      </c>
      <c r="H542" s="1">
        <v>91</v>
      </c>
      <c r="I542">
        <f t="shared" si="12"/>
        <v>255</v>
      </c>
    </row>
    <row r="543" spans="1:9" ht="13.2" hidden="1" x14ac:dyDescent="0.25">
      <c r="A543" s="1" t="s">
        <v>19</v>
      </c>
      <c r="B543" s="1" t="s">
        <v>13</v>
      </c>
      <c r="C543" s="1" t="s">
        <v>16</v>
      </c>
      <c r="D543" s="1" t="s">
        <v>11</v>
      </c>
      <c r="E543" s="1" t="s">
        <v>17</v>
      </c>
      <c r="F543" s="1">
        <v>78</v>
      </c>
      <c r="G543" s="1">
        <v>65</v>
      </c>
      <c r="H543" s="1">
        <v>65</v>
      </c>
      <c r="I543">
        <f t="shared" si="12"/>
        <v>208</v>
      </c>
    </row>
    <row r="544" spans="1:9" ht="13.2" hidden="1" x14ac:dyDescent="0.25">
      <c r="A544" s="1" t="s">
        <v>19</v>
      </c>
      <c r="B544" s="1" t="s">
        <v>18</v>
      </c>
      <c r="C544" s="1" t="s">
        <v>24</v>
      </c>
      <c r="D544" s="1" t="s">
        <v>11</v>
      </c>
      <c r="E544" s="1" t="s">
        <v>12</v>
      </c>
      <c r="F544" s="1">
        <v>73</v>
      </c>
      <c r="G544" s="1">
        <v>63</v>
      </c>
      <c r="H544" s="1">
        <v>59</v>
      </c>
      <c r="I544">
        <f t="shared" si="12"/>
        <v>195</v>
      </c>
    </row>
    <row r="545" spans="1:9" ht="13.2" hidden="1" x14ac:dyDescent="0.25">
      <c r="A545" s="1" t="s">
        <v>19</v>
      </c>
      <c r="B545" s="1" t="s">
        <v>9</v>
      </c>
      <c r="C545" s="1" t="s">
        <v>16</v>
      </c>
      <c r="D545" s="1" t="s">
        <v>11</v>
      </c>
      <c r="E545" s="1" t="s">
        <v>12</v>
      </c>
      <c r="F545" s="1">
        <v>66</v>
      </c>
      <c r="G545" s="1">
        <v>65</v>
      </c>
      <c r="H545" s="1">
        <v>64</v>
      </c>
      <c r="I545">
        <f t="shared" si="12"/>
        <v>195</v>
      </c>
    </row>
    <row r="546" spans="1:9" ht="13.2" hidden="1" x14ac:dyDescent="0.25">
      <c r="A546" s="1" t="s">
        <v>8</v>
      </c>
      <c r="B546" s="1" t="s">
        <v>15</v>
      </c>
      <c r="C546" s="1" t="s">
        <v>20</v>
      </c>
      <c r="D546" s="1" t="s">
        <v>11</v>
      </c>
      <c r="E546" s="1" t="s">
        <v>12</v>
      </c>
      <c r="F546" s="1">
        <v>59</v>
      </c>
      <c r="G546" s="1">
        <v>71</v>
      </c>
      <c r="H546" s="1">
        <v>76</v>
      </c>
      <c r="I546">
        <f t="shared" si="12"/>
        <v>206</v>
      </c>
    </row>
    <row r="547" spans="1:9" ht="13.2" hidden="1" x14ac:dyDescent="0.25">
      <c r="A547" s="1" t="s">
        <v>19</v>
      </c>
      <c r="B547" s="1" t="s">
        <v>18</v>
      </c>
      <c r="C547" s="1" t="s">
        <v>14</v>
      </c>
      <c r="D547" s="1" t="s">
        <v>23</v>
      </c>
      <c r="E547" s="1" t="s">
        <v>12</v>
      </c>
      <c r="F547" s="1">
        <v>53</v>
      </c>
      <c r="G547" s="1">
        <v>60</v>
      </c>
      <c r="H547" s="1">
        <v>59</v>
      </c>
      <c r="I547">
        <f t="shared" si="12"/>
        <v>172</v>
      </c>
    </row>
    <row r="548" spans="1:9" ht="13.2" hidden="1" x14ac:dyDescent="0.25">
      <c r="A548" s="1" t="s">
        <v>19</v>
      </c>
      <c r="B548" s="1" t="s">
        <v>9</v>
      </c>
      <c r="C548" s="1" t="s">
        <v>14</v>
      </c>
      <c r="D548" s="1" t="s">
        <v>11</v>
      </c>
      <c r="E548" s="1" t="s">
        <v>12</v>
      </c>
      <c r="F548" s="1">
        <v>66</v>
      </c>
      <c r="G548" s="1">
        <v>49</v>
      </c>
      <c r="H548" s="1">
        <v>51</v>
      </c>
      <c r="I548">
        <f t="shared" si="12"/>
        <v>166</v>
      </c>
    </row>
    <row r="549" spans="1:9" ht="13.2" hidden="1" x14ac:dyDescent="0.25">
      <c r="A549" s="1" t="s">
        <v>19</v>
      </c>
      <c r="B549" s="1" t="s">
        <v>15</v>
      </c>
      <c r="C549" s="1" t="s">
        <v>22</v>
      </c>
      <c r="D549" s="1" t="s">
        <v>11</v>
      </c>
      <c r="E549" s="1" t="s">
        <v>12</v>
      </c>
      <c r="F549" s="1">
        <v>68</v>
      </c>
      <c r="G549" s="1">
        <v>62</v>
      </c>
      <c r="H549" s="1">
        <v>58</v>
      </c>
      <c r="I549">
        <f t="shared" si="12"/>
        <v>188</v>
      </c>
    </row>
    <row r="550" spans="1:9" ht="13.2" hidden="1" x14ac:dyDescent="0.25">
      <c r="A550" s="1" t="s">
        <v>8</v>
      </c>
      <c r="B550" s="1" t="s">
        <v>18</v>
      </c>
      <c r="C550" s="1" t="s">
        <v>24</v>
      </c>
      <c r="D550" s="1" t="s">
        <v>11</v>
      </c>
      <c r="E550" s="1" t="s">
        <v>12</v>
      </c>
      <c r="F550" s="1">
        <v>81</v>
      </c>
      <c r="G550" s="1">
        <v>89</v>
      </c>
      <c r="H550" s="1">
        <v>88</v>
      </c>
      <c r="I550">
        <f t="shared" si="12"/>
        <v>258</v>
      </c>
    </row>
    <row r="551" spans="1:9" ht="13.2" hidden="1" x14ac:dyDescent="0.25">
      <c r="A551" s="1" t="s">
        <v>8</v>
      </c>
      <c r="B551" s="1" t="s">
        <v>15</v>
      </c>
      <c r="C551" s="1" t="s">
        <v>20</v>
      </c>
      <c r="D551" s="1" t="s">
        <v>23</v>
      </c>
      <c r="E551" s="1" t="s">
        <v>17</v>
      </c>
      <c r="F551" s="1">
        <v>68</v>
      </c>
      <c r="G551" s="1">
        <v>89</v>
      </c>
      <c r="H551" s="1">
        <v>88</v>
      </c>
      <c r="I551">
        <f t="shared" si="12"/>
        <v>245</v>
      </c>
    </row>
    <row r="552" spans="1:9" ht="13.2" hidden="1" x14ac:dyDescent="0.25">
      <c r="A552" s="1" t="s">
        <v>19</v>
      </c>
      <c r="B552" s="1" t="s">
        <v>9</v>
      </c>
      <c r="C552" s="1" t="s">
        <v>14</v>
      </c>
      <c r="D552" s="1" t="s">
        <v>11</v>
      </c>
      <c r="E552" s="1" t="s">
        <v>12</v>
      </c>
      <c r="F552" s="1">
        <v>65</v>
      </c>
      <c r="G552" s="1">
        <v>55</v>
      </c>
      <c r="H552" s="1">
        <v>58</v>
      </c>
      <c r="I552">
        <f t="shared" si="12"/>
        <v>178</v>
      </c>
    </row>
    <row r="553" spans="1:9" ht="13.2" hidden="1" x14ac:dyDescent="0.25">
      <c r="A553" s="1" t="s">
        <v>8</v>
      </c>
      <c r="B553" s="1" t="s">
        <v>15</v>
      </c>
      <c r="C553" s="1" t="s">
        <v>10</v>
      </c>
      <c r="D553" s="1" t="s">
        <v>11</v>
      </c>
      <c r="E553" s="1" t="s">
        <v>12</v>
      </c>
      <c r="F553" s="1">
        <v>67</v>
      </c>
      <c r="G553" s="1">
        <v>71</v>
      </c>
      <c r="H553" s="1">
        <v>69</v>
      </c>
      <c r="I553">
        <f t="shared" si="12"/>
        <v>207</v>
      </c>
    </row>
    <row r="554" spans="1:9" ht="13.2" hidden="1" x14ac:dyDescent="0.25">
      <c r="A554" s="1" t="s">
        <v>8</v>
      </c>
      <c r="B554" s="1" t="s">
        <v>9</v>
      </c>
      <c r="C554" s="1" t="s">
        <v>22</v>
      </c>
      <c r="D554" s="1" t="s">
        <v>23</v>
      </c>
      <c r="E554" s="1" t="s">
        <v>12</v>
      </c>
      <c r="F554" s="1">
        <v>52</v>
      </c>
      <c r="G554" s="1">
        <v>63</v>
      </c>
      <c r="H554" s="1">
        <v>60</v>
      </c>
      <c r="I554">
        <f t="shared" si="12"/>
        <v>175</v>
      </c>
    </row>
    <row r="555" spans="1:9" ht="13.2" hidden="1" x14ac:dyDescent="0.25">
      <c r="A555" s="1" t="s">
        <v>19</v>
      </c>
      <c r="B555" s="1" t="s">
        <v>13</v>
      </c>
      <c r="C555" s="1" t="s">
        <v>14</v>
      </c>
      <c r="D555" s="1" t="s">
        <v>11</v>
      </c>
      <c r="E555" s="1" t="s">
        <v>12</v>
      </c>
      <c r="F555" s="1">
        <v>65</v>
      </c>
      <c r="G555" s="1">
        <v>56</v>
      </c>
      <c r="H555" s="1">
        <v>54</v>
      </c>
      <c r="I555">
        <f t="shared" si="12"/>
        <v>175</v>
      </c>
    </row>
    <row r="556" spans="1:9" ht="13.2" hidden="1" x14ac:dyDescent="0.25">
      <c r="A556" s="1" t="s">
        <v>19</v>
      </c>
      <c r="B556" s="1" t="s">
        <v>18</v>
      </c>
      <c r="C556" s="1" t="s">
        <v>14</v>
      </c>
      <c r="D556" s="1" t="s">
        <v>11</v>
      </c>
      <c r="E556" s="1" t="s">
        <v>12</v>
      </c>
      <c r="F556" s="1">
        <v>75</v>
      </c>
      <c r="G556" s="1">
        <v>82</v>
      </c>
      <c r="H556" s="1">
        <v>75</v>
      </c>
      <c r="I556">
        <f t="shared" si="12"/>
        <v>232</v>
      </c>
    </row>
    <row r="557" spans="1:9" ht="13.2" hidden="1" x14ac:dyDescent="0.25">
      <c r="A557" s="1" t="s">
        <v>19</v>
      </c>
      <c r="B557" s="1" t="s">
        <v>18</v>
      </c>
      <c r="C557" s="1" t="s">
        <v>14</v>
      </c>
      <c r="D557" s="1" t="s">
        <v>23</v>
      </c>
      <c r="E557" s="1" t="s">
        <v>12</v>
      </c>
      <c r="F557" s="1">
        <v>68</v>
      </c>
      <c r="G557" s="1">
        <v>59</v>
      </c>
      <c r="H557" s="1">
        <v>54</v>
      </c>
      <c r="I557">
        <f t="shared" si="12"/>
        <v>181</v>
      </c>
    </row>
    <row r="558" spans="1:9" ht="13.2" hidden="1" x14ac:dyDescent="0.25">
      <c r="A558" s="1" t="s">
        <v>19</v>
      </c>
      <c r="B558" s="1" t="s">
        <v>18</v>
      </c>
      <c r="C558" s="1" t="s">
        <v>20</v>
      </c>
      <c r="D558" s="1" t="s">
        <v>11</v>
      </c>
      <c r="E558" s="1" t="s">
        <v>12</v>
      </c>
      <c r="F558" s="1">
        <v>62</v>
      </c>
      <c r="G558" s="1">
        <v>60</v>
      </c>
      <c r="H558" s="1">
        <v>58</v>
      </c>
      <c r="I558">
        <f t="shared" si="12"/>
        <v>180</v>
      </c>
    </row>
    <row r="559" spans="1:9" ht="13.2" hidden="1" x14ac:dyDescent="0.25">
      <c r="A559" s="1" t="s">
        <v>19</v>
      </c>
      <c r="B559" s="1" t="s">
        <v>9</v>
      </c>
      <c r="C559" s="1" t="s">
        <v>16</v>
      </c>
      <c r="D559" s="1" t="s">
        <v>11</v>
      </c>
      <c r="E559" s="1" t="s">
        <v>12</v>
      </c>
      <c r="F559" s="1">
        <v>67</v>
      </c>
      <c r="G559" s="1">
        <v>62</v>
      </c>
      <c r="H559" s="1">
        <v>61</v>
      </c>
      <c r="I559">
        <f t="shared" si="12"/>
        <v>190</v>
      </c>
    </row>
    <row r="560" spans="1:9" ht="13.2" hidden="1" x14ac:dyDescent="0.25">
      <c r="A560" s="1" t="s">
        <v>8</v>
      </c>
      <c r="B560" s="1" t="s">
        <v>9</v>
      </c>
      <c r="C560" s="1" t="s">
        <v>24</v>
      </c>
      <c r="D560" s="1" t="s">
        <v>11</v>
      </c>
      <c r="E560" s="1" t="s">
        <v>12</v>
      </c>
      <c r="F560" s="1">
        <v>80</v>
      </c>
      <c r="G560" s="1">
        <v>85</v>
      </c>
      <c r="H560" s="1">
        <v>83</v>
      </c>
      <c r="I560">
        <f t="shared" si="12"/>
        <v>248</v>
      </c>
    </row>
    <row r="561" spans="1:9" ht="13.2" hidden="1" x14ac:dyDescent="0.25">
      <c r="A561" s="1" t="s">
        <v>19</v>
      </c>
      <c r="B561" s="1" t="s">
        <v>18</v>
      </c>
      <c r="C561" s="1" t="s">
        <v>10</v>
      </c>
      <c r="D561" s="1" t="s">
        <v>23</v>
      </c>
      <c r="E561" s="1" t="s">
        <v>12</v>
      </c>
      <c r="F561" s="1">
        <v>37</v>
      </c>
      <c r="G561" s="1">
        <v>43</v>
      </c>
      <c r="H561" s="1">
        <v>33</v>
      </c>
      <c r="I561">
        <f t="shared" si="12"/>
        <v>113</v>
      </c>
    </row>
    <row r="562" spans="1:9" ht="13.2" hidden="1" x14ac:dyDescent="0.25">
      <c r="A562" s="1" t="s">
        <v>19</v>
      </c>
      <c r="B562" s="1" t="s">
        <v>15</v>
      </c>
      <c r="C562" s="1" t="s">
        <v>16</v>
      </c>
      <c r="D562" s="1" t="s">
        <v>23</v>
      </c>
      <c r="E562" s="1" t="s">
        <v>17</v>
      </c>
      <c r="F562" s="1">
        <v>87</v>
      </c>
      <c r="G562" s="1">
        <v>86</v>
      </c>
      <c r="H562" s="1">
        <v>80</v>
      </c>
      <c r="I562">
        <f t="shared" si="12"/>
        <v>253</v>
      </c>
    </row>
    <row r="563" spans="1:9" ht="13.2" hidden="1" x14ac:dyDescent="0.25">
      <c r="A563" s="1" t="s">
        <v>8</v>
      </c>
      <c r="B563" s="1" t="s">
        <v>13</v>
      </c>
      <c r="C563" s="1" t="s">
        <v>22</v>
      </c>
      <c r="D563" s="1" t="s">
        <v>23</v>
      </c>
      <c r="E563" s="1" t="s">
        <v>12</v>
      </c>
      <c r="F563" s="1">
        <v>30</v>
      </c>
      <c r="G563" s="1">
        <v>45</v>
      </c>
      <c r="H563" s="1">
        <v>39</v>
      </c>
      <c r="I563">
        <f t="shared" si="12"/>
        <v>114</v>
      </c>
    </row>
    <row r="564" spans="1:9" ht="13.2" hidden="1" x14ac:dyDescent="0.25">
      <c r="A564" s="1" t="s">
        <v>8</v>
      </c>
      <c r="B564" s="1" t="s">
        <v>9</v>
      </c>
      <c r="C564" s="1" t="s">
        <v>22</v>
      </c>
      <c r="D564" s="1" t="s">
        <v>11</v>
      </c>
      <c r="E564" s="1" t="s">
        <v>12</v>
      </c>
      <c r="F564" s="1">
        <v>56</v>
      </c>
      <c r="G564" s="1">
        <v>68</v>
      </c>
      <c r="H564" s="1">
        <v>65</v>
      </c>
      <c r="I564">
        <f t="shared" si="12"/>
        <v>189</v>
      </c>
    </row>
    <row r="565" spans="1:9" ht="13.2" hidden="1" x14ac:dyDescent="0.25">
      <c r="A565" s="1" t="s">
        <v>8</v>
      </c>
      <c r="B565" s="1" t="s">
        <v>9</v>
      </c>
      <c r="C565" s="1" t="s">
        <v>20</v>
      </c>
      <c r="D565" s="1" t="s">
        <v>11</v>
      </c>
      <c r="E565" s="1" t="s">
        <v>12</v>
      </c>
      <c r="F565" s="1">
        <v>94</v>
      </c>
      <c r="G565" s="1">
        <v>98</v>
      </c>
      <c r="H565" s="1">
        <v>97</v>
      </c>
      <c r="I565">
        <f t="shared" si="12"/>
        <v>289</v>
      </c>
    </row>
    <row r="566" spans="1:9" ht="13.2" hidden="1" x14ac:dyDescent="0.25">
      <c r="A566" s="1" t="s">
        <v>19</v>
      </c>
      <c r="B566" s="1" t="s">
        <v>9</v>
      </c>
      <c r="C566" s="1" t="s">
        <v>22</v>
      </c>
      <c r="D566" s="1" t="s">
        <v>23</v>
      </c>
      <c r="E566" s="1" t="s">
        <v>12</v>
      </c>
      <c r="F566" s="1">
        <v>39</v>
      </c>
      <c r="G566" s="1">
        <v>45</v>
      </c>
      <c r="H566" s="1">
        <v>40</v>
      </c>
      <c r="I566">
        <f t="shared" si="12"/>
        <v>124</v>
      </c>
    </row>
    <row r="567" spans="1:9" ht="13.2" hidden="1" x14ac:dyDescent="0.25">
      <c r="A567" s="1" t="s">
        <v>19</v>
      </c>
      <c r="B567" s="1" t="s">
        <v>9</v>
      </c>
      <c r="C567" s="1" t="s">
        <v>20</v>
      </c>
      <c r="D567" s="1" t="s">
        <v>11</v>
      </c>
      <c r="E567" s="1" t="s">
        <v>17</v>
      </c>
      <c r="F567" s="1">
        <v>61</v>
      </c>
      <c r="G567" s="1">
        <v>67</v>
      </c>
      <c r="H567" s="1">
        <v>68</v>
      </c>
      <c r="I567">
        <f t="shared" si="12"/>
        <v>196</v>
      </c>
    </row>
    <row r="568" spans="1:9" ht="13.2" hidden="1" x14ac:dyDescent="0.25">
      <c r="A568" s="1" t="s">
        <v>19</v>
      </c>
      <c r="B568" s="1" t="s">
        <v>9</v>
      </c>
      <c r="C568" s="1" t="s">
        <v>22</v>
      </c>
      <c r="D568" s="1" t="s">
        <v>23</v>
      </c>
      <c r="E568" s="1" t="s">
        <v>17</v>
      </c>
      <c r="F568" s="1">
        <v>34</v>
      </c>
      <c r="G568" s="1">
        <v>39</v>
      </c>
      <c r="H568" s="1">
        <v>34</v>
      </c>
      <c r="I568">
        <f t="shared" si="12"/>
        <v>107</v>
      </c>
    </row>
    <row r="569" spans="1:9" ht="13.2" hidden="1" x14ac:dyDescent="0.25">
      <c r="A569" s="1" t="s">
        <v>19</v>
      </c>
      <c r="B569" s="1" t="s">
        <v>9</v>
      </c>
      <c r="C569" s="1" t="s">
        <v>10</v>
      </c>
      <c r="D569" s="1" t="s">
        <v>11</v>
      </c>
      <c r="E569" s="1" t="s">
        <v>17</v>
      </c>
      <c r="F569" s="1">
        <v>76</v>
      </c>
      <c r="G569" s="1">
        <v>72</v>
      </c>
      <c r="H569" s="1">
        <v>71</v>
      </c>
      <c r="I569">
        <f t="shared" si="12"/>
        <v>219</v>
      </c>
    </row>
    <row r="570" spans="1:9" ht="13.2" hidden="1" x14ac:dyDescent="0.25">
      <c r="A570" s="1" t="s">
        <v>8</v>
      </c>
      <c r="B570" s="1" t="s">
        <v>15</v>
      </c>
      <c r="C570" s="1" t="s">
        <v>14</v>
      </c>
      <c r="D570" s="1" t="s">
        <v>11</v>
      </c>
      <c r="E570" s="1" t="s">
        <v>12</v>
      </c>
      <c r="F570" s="1">
        <v>65</v>
      </c>
      <c r="G570" s="1">
        <v>72</v>
      </c>
      <c r="H570" s="1">
        <v>72</v>
      </c>
      <c r="I570">
        <f t="shared" si="12"/>
        <v>209</v>
      </c>
    </row>
    <row r="571" spans="1:9" ht="13.2" hidden="1" x14ac:dyDescent="0.25">
      <c r="A571" s="1" t="s">
        <v>8</v>
      </c>
      <c r="B571" s="1" t="s">
        <v>13</v>
      </c>
      <c r="C571" s="1" t="s">
        <v>10</v>
      </c>
      <c r="D571" s="1" t="s">
        <v>23</v>
      </c>
      <c r="E571" s="1" t="s">
        <v>17</v>
      </c>
      <c r="F571" s="1">
        <v>49</v>
      </c>
      <c r="G571" s="1">
        <v>57</v>
      </c>
      <c r="H571" s="1">
        <v>67</v>
      </c>
      <c r="I571">
        <f t="shared" si="12"/>
        <v>173</v>
      </c>
    </row>
    <row r="572" spans="1:9" ht="13.2" hidden="1" x14ac:dyDescent="0.25">
      <c r="A572" s="1" t="s">
        <v>19</v>
      </c>
      <c r="B572" s="1" t="s">
        <v>13</v>
      </c>
      <c r="C572" s="1" t="s">
        <v>22</v>
      </c>
      <c r="D572" s="1" t="s">
        <v>11</v>
      </c>
      <c r="E572" s="1" t="s">
        <v>17</v>
      </c>
      <c r="F572" s="1">
        <v>60</v>
      </c>
      <c r="G572" s="1">
        <v>61</v>
      </c>
      <c r="H572" s="1">
        <v>63</v>
      </c>
      <c r="I572">
        <f t="shared" si="12"/>
        <v>184</v>
      </c>
    </row>
    <row r="573" spans="1:9" ht="13.2" hidden="1" x14ac:dyDescent="0.25">
      <c r="A573" s="1" t="s">
        <v>19</v>
      </c>
      <c r="B573" s="1" t="s">
        <v>21</v>
      </c>
      <c r="C573" s="1" t="s">
        <v>16</v>
      </c>
      <c r="D573" s="1" t="s">
        <v>11</v>
      </c>
      <c r="E573" s="1" t="s">
        <v>17</v>
      </c>
      <c r="F573" s="1">
        <v>100</v>
      </c>
      <c r="G573" s="1">
        <v>100</v>
      </c>
      <c r="H573" s="1">
        <v>94</v>
      </c>
      <c r="I573">
        <f t="shared" si="12"/>
        <v>294</v>
      </c>
    </row>
    <row r="574" spans="1:9" ht="13.2" hidden="1" x14ac:dyDescent="0.25">
      <c r="A574" s="1" t="s">
        <v>8</v>
      </c>
      <c r="B574" s="1" t="s">
        <v>21</v>
      </c>
      <c r="C574" s="1" t="s">
        <v>16</v>
      </c>
      <c r="D574" s="1" t="s">
        <v>11</v>
      </c>
      <c r="E574" s="1" t="s">
        <v>12</v>
      </c>
      <c r="F574" s="1">
        <v>80</v>
      </c>
      <c r="G574" s="1">
        <v>86</v>
      </c>
      <c r="H574" s="1">
        <v>86</v>
      </c>
      <c r="I574">
        <f t="shared" si="12"/>
        <v>252</v>
      </c>
    </row>
    <row r="575" spans="1:9" ht="13.2" hidden="1" x14ac:dyDescent="0.25">
      <c r="A575" s="1" t="s">
        <v>8</v>
      </c>
      <c r="B575" s="1" t="s">
        <v>9</v>
      </c>
      <c r="C575" s="1" t="s">
        <v>14</v>
      </c>
      <c r="D575" s="1" t="s">
        <v>23</v>
      </c>
      <c r="E575" s="1" t="s">
        <v>12</v>
      </c>
      <c r="F575" s="1">
        <v>37</v>
      </c>
      <c r="G575" s="1">
        <v>57</v>
      </c>
      <c r="H575" s="1">
        <v>56</v>
      </c>
      <c r="I575">
        <f t="shared" si="12"/>
        <v>150</v>
      </c>
    </row>
    <row r="576" spans="1:9" ht="13.2" hidden="1" x14ac:dyDescent="0.25">
      <c r="A576" s="1" t="s">
        <v>19</v>
      </c>
      <c r="B576" s="1" t="s">
        <v>9</v>
      </c>
      <c r="C576" s="1" t="s">
        <v>20</v>
      </c>
      <c r="D576" s="1" t="s">
        <v>11</v>
      </c>
      <c r="E576" s="1" t="s">
        <v>17</v>
      </c>
      <c r="F576" s="1">
        <v>78</v>
      </c>
      <c r="G576" s="1">
        <v>78</v>
      </c>
      <c r="H576" s="1">
        <v>82</v>
      </c>
      <c r="I576">
        <f t="shared" si="12"/>
        <v>238</v>
      </c>
    </row>
    <row r="577" spans="1:9" ht="13.2" hidden="1" x14ac:dyDescent="0.25">
      <c r="A577" s="1" t="s">
        <v>8</v>
      </c>
      <c r="B577" s="1" t="s">
        <v>21</v>
      </c>
      <c r="C577" s="1" t="s">
        <v>14</v>
      </c>
      <c r="D577" s="1" t="s">
        <v>23</v>
      </c>
      <c r="E577" s="1" t="s">
        <v>17</v>
      </c>
      <c r="F577" s="1">
        <v>40</v>
      </c>
      <c r="G577" s="1">
        <v>51</v>
      </c>
      <c r="H577" s="1">
        <v>52</v>
      </c>
      <c r="I577">
        <f t="shared" si="12"/>
        <v>143</v>
      </c>
    </row>
    <row r="578" spans="1:9" ht="13.2" hidden="1" x14ac:dyDescent="0.25">
      <c r="A578" s="1" t="s">
        <v>8</v>
      </c>
      <c r="B578" s="1" t="s">
        <v>18</v>
      </c>
      <c r="C578" s="1" t="s">
        <v>14</v>
      </c>
      <c r="D578" s="1" t="s">
        <v>23</v>
      </c>
      <c r="E578" s="1" t="s">
        <v>17</v>
      </c>
      <c r="F578" s="1">
        <v>69</v>
      </c>
      <c r="G578" s="1">
        <v>86</v>
      </c>
      <c r="H578" s="1">
        <v>85</v>
      </c>
      <c r="I578">
        <f t="shared" si="12"/>
        <v>240</v>
      </c>
    </row>
    <row r="579" spans="1:9" ht="13.2" hidden="1" x14ac:dyDescent="0.25">
      <c r="A579" s="1" t="s">
        <v>8</v>
      </c>
      <c r="B579" s="1" t="s">
        <v>18</v>
      </c>
      <c r="C579" s="1" t="s">
        <v>22</v>
      </c>
      <c r="D579" s="1" t="s">
        <v>23</v>
      </c>
      <c r="E579" s="1" t="s">
        <v>12</v>
      </c>
      <c r="F579" s="1">
        <v>18</v>
      </c>
      <c r="G579" s="1">
        <v>34</v>
      </c>
      <c r="H579" s="1">
        <v>23</v>
      </c>
      <c r="I579">
        <f t="shared" ref="I579:I642" si="13">SUM(F579:H579)</f>
        <v>75</v>
      </c>
    </row>
    <row r="580" spans="1:9" ht="13.2" hidden="1" x14ac:dyDescent="0.25">
      <c r="A580" s="1" t="s">
        <v>19</v>
      </c>
      <c r="B580" s="1" t="s">
        <v>21</v>
      </c>
      <c r="C580" s="1" t="s">
        <v>10</v>
      </c>
      <c r="D580" s="1" t="s">
        <v>23</v>
      </c>
      <c r="E580" s="1" t="s">
        <v>12</v>
      </c>
      <c r="F580" s="1">
        <v>73</v>
      </c>
      <c r="G580" s="1">
        <v>67</v>
      </c>
      <c r="H580" s="1">
        <v>57</v>
      </c>
      <c r="I580">
        <f t="shared" si="13"/>
        <v>197</v>
      </c>
    </row>
    <row r="581" spans="1:9" ht="13.2" hidden="1" x14ac:dyDescent="0.25">
      <c r="A581" s="1" t="s">
        <v>8</v>
      </c>
      <c r="B581" s="1" t="s">
        <v>18</v>
      </c>
      <c r="C581" s="1" t="s">
        <v>14</v>
      </c>
      <c r="D581" s="1" t="s">
        <v>11</v>
      </c>
      <c r="E581" s="1" t="s">
        <v>12</v>
      </c>
      <c r="F581" s="1">
        <v>75</v>
      </c>
      <c r="G581" s="1">
        <v>74</v>
      </c>
      <c r="H581" s="1">
        <v>77</v>
      </c>
      <c r="I581">
        <f t="shared" si="13"/>
        <v>226</v>
      </c>
    </row>
    <row r="582" spans="1:9" ht="13.2" hidden="1" x14ac:dyDescent="0.25">
      <c r="A582" s="1" t="s">
        <v>19</v>
      </c>
      <c r="B582" s="1" t="s">
        <v>13</v>
      </c>
      <c r="C582" s="1" t="s">
        <v>22</v>
      </c>
      <c r="D582" s="1" t="s">
        <v>11</v>
      </c>
      <c r="E582" s="1" t="s">
        <v>12</v>
      </c>
      <c r="F582" s="1">
        <v>69</v>
      </c>
      <c r="G582" s="1">
        <v>60</v>
      </c>
      <c r="H582" s="1">
        <v>61</v>
      </c>
      <c r="I582">
        <f t="shared" si="13"/>
        <v>190</v>
      </c>
    </row>
    <row r="583" spans="1:9" ht="13.2" hidden="1" x14ac:dyDescent="0.25">
      <c r="A583" s="1" t="s">
        <v>19</v>
      </c>
      <c r="B583" s="1" t="s">
        <v>18</v>
      </c>
      <c r="C583" s="1" t="s">
        <v>20</v>
      </c>
      <c r="D583" s="1" t="s">
        <v>23</v>
      </c>
      <c r="E583" s="1" t="s">
        <v>12</v>
      </c>
      <c r="F583" s="1">
        <v>53</v>
      </c>
      <c r="G583" s="1">
        <v>58</v>
      </c>
      <c r="H583" s="1">
        <v>55</v>
      </c>
      <c r="I583">
        <f t="shared" si="13"/>
        <v>166</v>
      </c>
    </row>
    <row r="584" spans="1:9" ht="13.2" hidden="1" x14ac:dyDescent="0.25">
      <c r="A584" s="1" t="s">
        <v>8</v>
      </c>
      <c r="B584" s="1" t="s">
        <v>18</v>
      </c>
      <c r="C584" s="1" t="s">
        <v>14</v>
      </c>
      <c r="D584" s="1" t="s">
        <v>23</v>
      </c>
      <c r="E584" s="1" t="s">
        <v>17</v>
      </c>
      <c r="F584" s="1">
        <v>47</v>
      </c>
      <c r="G584" s="1">
        <v>63</v>
      </c>
      <c r="H584" s="1">
        <v>60</v>
      </c>
      <c r="I584">
        <f t="shared" si="13"/>
        <v>170</v>
      </c>
    </row>
    <row r="585" spans="1:9" ht="13.2" hidden="1" x14ac:dyDescent="0.25">
      <c r="A585" s="1" t="s">
        <v>8</v>
      </c>
      <c r="B585" s="1" t="s">
        <v>18</v>
      </c>
      <c r="C585" s="1" t="s">
        <v>20</v>
      </c>
      <c r="D585" s="1" t="s">
        <v>11</v>
      </c>
      <c r="E585" s="1" t="s">
        <v>17</v>
      </c>
      <c r="F585" s="1">
        <v>58</v>
      </c>
      <c r="G585" s="1">
        <v>69</v>
      </c>
      <c r="H585" s="1">
        <v>71</v>
      </c>
      <c r="I585">
        <f t="shared" si="13"/>
        <v>198</v>
      </c>
    </row>
    <row r="586" spans="1:9" ht="13.2" hidden="1" x14ac:dyDescent="0.25">
      <c r="A586" s="1" t="s">
        <v>19</v>
      </c>
      <c r="B586" s="1" t="s">
        <v>13</v>
      </c>
      <c r="C586" s="1" t="s">
        <v>10</v>
      </c>
      <c r="D586" s="1" t="s">
        <v>11</v>
      </c>
      <c r="E586" s="1" t="s">
        <v>17</v>
      </c>
      <c r="F586" s="1">
        <v>93</v>
      </c>
      <c r="G586" s="1">
        <v>83</v>
      </c>
      <c r="H586" s="1">
        <v>89</v>
      </c>
      <c r="I586">
        <f t="shared" si="13"/>
        <v>265</v>
      </c>
    </row>
    <row r="587" spans="1:9" ht="13.2" hidden="1" x14ac:dyDescent="0.25">
      <c r="A587" s="1" t="s">
        <v>19</v>
      </c>
      <c r="B587" s="1" t="s">
        <v>9</v>
      </c>
      <c r="C587" s="1" t="s">
        <v>14</v>
      </c>
      <c r="D587" s="1" t="s">
        <v>11</v>
      </c>
      <c r="E587" s="1" t="s">
        <v>17</v>
      </c>
      <c r="F587" s="1">
        <v>76</v>
      </c>
      <c r="G587" s="1">
        <v>68</v>
      </c>
      <c r="H587" s="1">
        <v>72</v>
      </c>
      <c r="I587">
        <f t="shared" si="13"/>
        <v>216</v>
      </c>
    </row>
    <row r="588" spans="1:9" ht="13.2" hidden="1" x14ac:dyDescent="0.25">
      <c r="A588" s="1" t="s">
        <v>8</v>
      </c>
      <c r="B588" s="1" t="s">
        <v>13</v>
      </c>
      <c r="C588" s="1" t="s">
        <v>14</v>
      </c>
      <c r="D588" s="1" t="s">
        <v>23</v>
      </c>
      <c r="E588" s="1" t="s">
        <v>12</v>
      </c>
      <c r="F588" s="1">
        <v>60</v>
      </c>
      <c r="G588" s="1">
        <v>68</v>
      </c>
      <c r="H588" s="1">
        <v>68</v>
      </c>
      <c r="I588">
        <f t="shared" si="13"/>
        <v>196</v>
      </c>
    </row>
    <row r="589" spans="1:9" ht="13.2" hidden="1" x14ac:dyDescent="0.25">
      <c r="A589" s="1" t="s">
        <v>19</v>
      </c>
      <c r="B589" s="1" t="s">
        <v>18</v>
      </c>
      <c r="C589" s="1" t="s">
        <v>14</v>
      </c>
      <c r="D589" s="1" t="s">
        <v>23</v>
      </c>
      <c r="E589" s="1" t="s">
        <v>12</v>
      </c>
      <c r="F589" s="1">
        <v>70</v>
      </c>
      <c r="G589" s="1">
        <v>68</v>
      </c>
      <c r="H589" s="1">
        <v>66</v>
      </c>
      <c r="I589">
        <f t="shared" si="13"/>
        <v>204</v>
      </c>
    </row>
    <row r="590" spans="1:9" ht="13.2" hidden="1" x14ac:dyDescent="0.25">
      <c r="A590" s="1" t="s">
        <v>19</v>
      </c>
      <c r="B590" s="1" t="s">
        <v>13</v>
      </c>
      <c r="C590" s="1" t="s">
        <v>10</v>
      </c>
      <c r="D590" s="1" t="s">
        <v>11</v>
      </c>
      <c r="E590" s="1" t="s">
        <v>12</v>
      </c>
      <c r="F590" s="1">
        <v>78</v>
      </c>
      <c r="G590" s="1">
        <v>76</v>
      </c>
      <c r="H590" s="1">
        <v>69</v>
      </c>
      <c r="I590">
        <f t="shared" si="13"/>
        <v>223</v>
      </c>
    </row>
    <row r="591" spans="1:9" ht="13.2" hidden="1" x14ac:dyDescent="0.25">
      <c r="A591" s="1" t="s">
        <v>8</v>
      </c>
      <c r="B591" s="1" t="s">
        <v>18</v>
      </c>
      <c r="C591" s="1" t="s">
        <v>20</v>
      </c>
      <c r="D591" s="1" t="s">
        <v>11</v>
      </c>
      <c r="E591" s="1" t="s">
        <v>17</v>
      </c>
      <c r="F591" s="1">
        <v>67</v>
      </c>
      <c r="G591" s="1">
        <v>83</v>
      </c>
      <c r="H591" s="1">
        <v>86</v>
      </c>
      <c r="I591">
        <f t="shared" si="13"/>
        <v>236</v>
      </c>
    </row>
    <row r="592" spans="1:9" ht="13.2" hidden="1" x14ac:dyDescent="0.25">
      <c r="A592" s="1" t="s">
        <v>19</v>
      </c>
      <c r="B592" s="1" t="s">
        <v>18</v>
      </c>
      <c r="C592" s="1" t="s">
        <v>10</v>
      </c>
      <c r="D592" s="1" t="s">
        <v>23</v>
      </c>
      <c r="E592" s="1" t="s">
        <v>17</v>
      </c>
      <c r="F592" s="1">
        <v>59</v>
      </c>
      <c r="G592" s="1">
        <v>51</v>
      </c>
      <c r="H592" s="1">
        <v>56</v>
      </c>
      <c r="I592">
        <f t="shared" si="13"/>
        <v>166</v>
      </c>
    </row>
    <row r="593" spans="1:9" ht="13.2" hidden="1" x14ac:dyDescent="0.25">
      <c r="A593" s="1" t="s">
        <v>19</v>
      </c>
      <c r="B593" s="1" t="s">
        <v>18</v>
      </c>
      <c r="C593" s="1" t="s">
        <v>10</v>
      </c>
      <c r="D593" s="1" t="s">
        <v>11</v>
      </c>
      <c r="E593" s="1" t="s">
        <v>12</v>
      </c>
      <c r="F593" s="1">
        <v>60</v>
      </c>
      <c r="G593" s="1">
        <v>50</v>
      </c>
      <c r="H593" s="1">
        <v>46</v>
      </c>
      <c r="I593">
        <f t="shared" si="13"/>
        <v>156</v>
      </c>
    </row>
    <row r="594" spans="1:9" ht="13.2" hidden="1" x14ac:dyDescent="0.25">
      <c r="A594" s="1" t="s">
        <v>19</v>
      </c>
      <c r="B594" s="1" t="s">
        <v>9</v>
      </c>
      <c r="C594" s="1" t="s">
        <v>22</v>
      </c>
      <c r="D594" s="1" t="s">
        <v>23</v>
      </c>
      <c r="E594" s="1" t="s">
        <v>17</v>
      </c>
      <c r="F594" s="1">
        <v>71</v>
      </c>
      <c r="G594" s="1">
        <v>60</v>
      </c>
      <c r="H594" s="1">
        <v>69</v>
      </c>
      <c r="I594">
        <f t="shared" si="13"/>
        <v>200</v>
      </c>
    </row>
    <row r="595" spans="1:9" ht="13.2" hidden="1" x14ac:dyDescent="0.25">
      <c r="A595" s="1" t="s">
        <v>8</v>
      </c>
      <c r="B595" s="1" t="s">
        <v>21</v>
      </c>
      <c r="C595" s="1" t="s">
        <v>16</v>
      </c>
      <c r="D595" s="1" t="s">
        <v>23</v>
      </c>
      <c r="E595" s="1" t="s">
        <v>17</v>
      </c>
      <c r="F595" s="1">
        <v>51</v>
      </c>
      <c r="G595" s="1">
        <v>58</v>
      </c>
      <c r="H595" s="1">
        <v>65</v>
      </c>
      <c r="I595">
        <f t="shared" si="13"/>
        <v>174</v>
      </c>
    </row>
    <row r="596" spans="1:9" ht="13.2" hidden="1" x14ac:dyDescent="0.25">
      <c r="A596" s="1" t="s">
        <v>8</v>
      </c>
      <c r="B596" s="1" t="s">
        <v>18</v>
      </c>
      <c r="C596" s="1" t="s">
        <v>20</v>
      </c>
      <c r="D596" s="1" t="s">
        <v>11</v>
      </c>
      <c r="E596" s="1" t="s">
        <v>17</v>
      </c>
      <c r="F596" s="1">
        <v>86</v>
      </c>
      <c r="G596" s="1">
        <v>88</v>
      </c>
      <c r="H596" s="1">
        <v>90</v>
      </c>
      <c r="I596">
        <f t="shared" si="13"/>
        <v>264</v>
      </c>
    </row>
    <row r="597" spans="1:9" ht="13.2" hidden="1" x14ac:dyDescent="0.25">
      <c r="A597" s="1" t="s">
        <v>8</v>
      </c>
      <c r="B597" s="1" t="s">
        <v>18</v>
      </c>
      <c r="C597" s="1" t="s">
        <v>22</v>
      </c>
      <c r="D597" s="1" t="s">
        <v>23</v>
      </c>
      <c r="E597" s="1" t="s">
        <v>12</v>
      </c>
      <c r="F597" s="1">
        <v>47</v>
      </c>
      <c r="G597" s="1">
        <v>66</v>
      </c>
      <c r="H597" s="1">
        <v>59</v>
      </c>
      <c r="I597">
        <f t="shared" si="13"/>
        <v>172</v>
      </c>
    </row>
    <row r="598" spans="1:9" ht="13.2" hidden="1" x14ac:dyDescent="0.25">
      <c r="A598" s="1" t="s">
        <v>19</v>
      </c>
      <c r="B598" s="1" t="s">
        <v>13</v>
      </c>
      <c r="C598" s="1" t="s">
        <v>16</v>
      </c>
      <c r="D598" s="1" t="s">
        <v>11</v>
      </c>
      <c r="E598" s="1" t="s">
        <v>17</v>
      </c>
      <c r="F598" s="1">
        <v>100</v>
      </c>
      <c r="G598" s="1">
        <v>96</v>
      </c>
      <c r="H598" s="1">
        <v>98</v>
      </c>
      <c r="I598">
        <f t="shared" si="13"/>
        <v>294</v>
      </c>
    </row>
    <row r="599" spans="1:9" ht="13.2" hidden="1" x14ac:dyDescent="0.25">
      <c r="A599" s="1" t="s">
        <v>8</v>
      </c>
      <c r="B599" s="1" t="s">
        <v>18</v>
      </c>
      <c r="C599" s="1" t="s">
        <v>16</v>
      </c>
      <c r="D599" s="1" t="s">
        <v>23</v>
      </c>
      <c r="E599" s="1" t="s">
        <v>17</v>
      </c>
      <c r="F599" s="1">
        <v>50</v>
      </c>
      <c r="G599" s="1">
        <v>55</v>
      </c>
      <c r="H599" s="1">
        <v>65</v>
      </c>
      <c r="I599">
        <f t="shared" si="13"/>
        <v>170</v>
      </c>
    </row>
    <row r="600" spans="1:9" ht="13.2" hidden="1" x14ac:dyDescent="0.25">
      <c r="A600" s="1" t="s">
        <v>8</v>
      </c>
      <c r="B600" s="1" t="s">
        <v>21</v>
      </c>
      <c r="C600" s="1" t="s">
        <v>14</v>
      </c>
      <c r="D600" s="1" t="s">
        <v>11</v>
      </c>
      <c r="E600" s="1" t="s">
        <v>17</v>
      </c>
      <c r="F600" s="1">
        <v>80</v>
      </c>
      <c r="G600" s="1">
        <v>84</v>
      </c>
      <c r="H600" s="1">
        <v>91</v>
      </c>
      <c r="I600">
        <f t="shared" si="13"/>
        <v>255</v>
      </c>
    </row>
    <row r="601" spans="1:9" ht="13.2" hidden="1" x14ac:dyDescent="0.25">
      <c r="A601" s="1" t="s">
        <v>8</v>
      </c>
      <c r="B601" s="1" t="s">
        <v>13</v>
      </c>
      <c r="C601" s="1" t="s">
        <v>14</v>
      </c>
      <c r="D601" s="1" t="s">
        <v>23</v>
      </c>
      <c r="E601" s="1" t="s">
        <v>12</v>
      </c>
      <c r="F601" s="1">
        <v>69</v>
      </c>
      <c r="G601" s="1">
        <v>72</v>
      </c>
      <c r="H601" s="1">
        <v>74</v>
      </c>
      <c r="I601">
        <f t="shared" si="13"/>
        <v>215</v>
      </c>
    </row>
    <row r="602" spans="1:9" ht="13.2" hidden="1" x14ac:dyDescent="0.25">
      <c r="A602" s="1" t="s">
        <v>19</v>
      </c>
      <c r="B602" s="1" t="s">
        <v>9</v>
      </c>
      <c r="C602" s="1" t="s">
        <v>14</v>
      </c>
      <c r="D602" s="1" t="s">
        <v>11</v>
      </c>
      <c r="E602" s="1" t="s">
        <v>12</v>
      </c>
      <c r="F602" s="1">
        <v>70</v>
      </c>
      <c r="G602" s="1">
        <v>69</v>
      </c>
      <c r="H602" s="1">
        <v>58</v>
      </c>
      <c r="I602">
        <f t="shared" si="13"/>
        <v>197</v>
      </c>
    </row>
    <row r="603" spans="1:9" ht="13.2" hidden="1" x14ac:dyDescent="0.25">
      <c r="A603" s="1" t="s">
        <v>19</v>
      </c>
      <c r="B603" s="1" t="s">
        <v>21</v>
      </c>
      <c r="C603" s="1" t="s">
        <v>14</v>
      </c>
      <c r="D603" s="1" t="s">
        <v>11</v>
      </c>
      <c r="E603" s="1" t="s">
        <v>12</v>
      </c>
      <c r="F603" s="1">
        <v>75</v>
      </c>
      <c r="G603" s="1">
        <v>69</v>
      </c>
      <c r="H603" s="1">
        <v>60</v>
      </c>
      <c r="I603">
        <f t="shared" si="13"/>
        <v>204</v>
      </c>
    </row>
    <row r="604" spans="1:9" ht="13.2" hidden="1" x14ac:dyDescent="0.25">
      <c r="A604" s="1" t="s">
        <v>19</v>
      </c>
      <c r="B604" s="1" t="s">
        <v>9</v>
      </c>
      <c r="C604" s="1" t="s">
        <v>22</v>
      </c>
      <c r="D604" s="1" t="s">
        <v>11</v>
      </c>
      <c r="E604" s="1" t="s">
        <v>12</v>
      </c>
      <c r="F604" s="1">
        <v>57</v>
      </c>
      <c r="G604" s="1">
        <v>57</v>
      </c>
      <c r="H604" s="1">
        <v>53</v>
      </c>
      <c r="I604">
        <f t="shared" si="13"/>
        <v>167</v>
      </c>
    </row>
    <row r="605" spans="1:9" ht="13.2" hidden="1" x14ac:dyDescent="0.25">
      <c r="A605" s="1" t="s">
        <v>8</v>
      </c>
      <c r="B605" s="1" t="s">
        <v>18</v>
      </c>
      <c r="C605" s="1" t="s">
        <v>22</v>
      </c>
      <c r="D605" s="1" t="s">
        <v>23</v>
      </c>
      <c r="E605" s="1" t="s">
        <v>17</v>
      </c>
      <c r="F605" s="1">
        <v>63</v>
      </c>
      <c r="G605" s="1">
        <v>64</v>
      </c>
      <c r="H605" s="1">
        <v>63</v>
      </c>
      <c r="I605">
        <f t="shared" si="13"/>
        <v>190</v>
      </c>
    </row>
    <row r="606" spans="1:9" ht="13.2" hidden="1" x14ac:dyDescent="0.25">
      <c r="A606" s="1" t="s">
        <v>8</v>
      </c>
      <c r="B606" s="1" t="s">
        <v>13</v>
      </c>
      <c r="C606" s="1" t="s">
        <v>24</v>
      </c>
      <c r="D606" s="1" t="s">
        <v>11</v>
      </c>
      <c r="E606" s="1" t="s">
        <v>12</v>
      </c>
      <c r="F606" s="1">
        <v>79</v>
      </c>
      <c r="G606" s="1">
        <v>76</v>
      </c>
      <c r="H606" s="1">
        <v>76</v>
      </c>
      <c r="I606">
        <f t="shared" si="13"/>
        <v>231</v>
      </c>
    </row>
    <row r="607" spans="1:9" ht="13.2" hidden="1" x14ac:dyDescent="0.25">
      <c r="A607" s="1" t="s">
        <v>8</v>
      </c>
      <c r="B607" s="1" t="s">
        <v>9</v>
      </c>
      <c r="C607" s="1" t="s">
        <v>24</v>
      </c>
      <c r="D607" s="1" t="s">
        <v>11</v>
      </c>
      <c r="E607" s="1" t="s">
        <v>12</v>
      </c>
      <c r="F607" s="1">
        <v>46</v>
      </c>
      <c r="G607" s="1">
        <v>62</v>
      </c>
      <c r="H607" s="1">
        <v>58</v>
      </c>
      <c r="I607">
        <f t="shared" si="13"/>
        <v>166</v>
      </c>
    </row>
    <row r="608" spans="1:9" ht="13.2" hidden="1" x14ac:dyDescent="0.25">
      <c r="A608" s="1" t="s">
        <v>19</v>
      </c>
      <c r="B608" s="1" t="s">
        <v>13</v>
      </c>
      <c r="C608" s="1" t="s">
        <v>16</v>
      </c>
      <c r="D608" s="1" t="s">
        <v>11</v>
      </c>
      <c r="E608" s="1" t="s">
        <v>12</v>
      </c>
      <c r="F608" s="1">
        <v>46</v>
      </c>
      <c r="G608" s="1">
        <v>45</v>
      </c>
      <c r="H608" s="1">
        <v>44</v>
      </c>
      <c r="I608">
        <f t="shared" si="13"/>
        <v>135</v>
      </c>
    </row>
    <row r="609" spans="1:9" ht="13.2" hidden="1" x14ac:dyDescent="0.25">
      <c r="A609" s="1" t="s">
        <v>19</v>
      </c>
      <c r="B609" s="1" t="s">
        <v>13</v>
      </c>
      <c r="C609" s="1" t="s">
        <v>16</v>
      </c>
      <c r="D609" s="1" t="s">
        <v>11</v>
      </c>
      <c r="E609" s="1" t="s">
        <v>12</v>
      </c>
      <c r="F609" s="1">
        <v>66</v>
      </c>
      <c r="G609" s="1">
        <v>60</v>
      </c>
      <c r="H609" s="1">
        <v>60</v>
      </c>
      <c r="I609">
        <f t="shared" si="13"/>
        <v>186</v>
      </c>
    </row>
    <row r="610" spans="1:9" ht="13.2" hidden="1" x14ac:dyDescent="0.25">
      <c r="A610" s="1" t="s">
        <v>8</v>
      </c>
      <c r="B610" s="1" t="s">
        <v>9</v>
      </c>
      <c r="C610" s="1" t="s">
        <v>14</v>
      </c>
      <c r="D610" s="1" t="s">
        <v>11</v>
      </c>
      <c r="E610" s="1" t="s">
        <v>17</v>
      </c>
      <c r="F610" s="1">
        <v>91</v>
      </c>
      <c r="G610" s="1">
        <v>100</v>
      </c>
      <c r="H610" s="1">
        <v>100</v>
      </c>
      <c r="I610">
        <f t="shared" si="13"/>
        <v>291</v>
      </c>
    </row>
    <row r="611" spans="1:9" ht="13.2" hidden="1" x14ac:dyDescent="0.25">
      <c r="A611" s="1" t="s">
        <v>19</v>
      </c>
      <c r="B611" s="1" t="s">
        <v>18</v>
      </c>
      <c r="C611" s="1" t="s">
        <v>16</v>
      </c>
      <c r="D611" s="1" t="s">
        <v>11</v>
      </c>
      <c r="E611" s="1" t="s">
        <v>12</v>
      </c>
      <c r="F611" s="1">
        <v>63</v>
      </c>
      <c r="G611" s="1">
        <v>49</v>
      </c>
      <c r="H611" s="1">
        <v>52</v>
      </c>
      <c r="I611">
        <f t="shared" si="13"/>
        <v>164</v>
      </c>
    </row>
    <row r="612" spans="1:9" ht="13.2" hidden="1" x14ac:dyDescent="0.25">
      <c r="A612" s="1" t="s">
        <v>8</v>
      </c>
      <c r="B612" s="1" t="s">
        <v>9</v>
      </c>
      <c r="C612" s="1" t="s">
        <v>14</v>
      </c>
      <c r="D612" s="1" t="s">
        <v>23</v>
      </c>
      <c r="E612" s="1" t="s">
        <v>12</v>
      </c>
      <c r="F612" s="1">
        <v>66</v>
      </c>
      <c r="G612" s="1">
        <v>73</v>
      </c>
      <c r="H612" s="1">
        <v>68</v>
      </c>
      <c r="I612">
        <f t="shared" si="13"/>
        <v>207</v>
      </c>
    </row>
    <row r="613" spans="1:9" ht="13.2" hidden="1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17</v>
      </c>
      <c r="F613" s="1">
        <v>64</v>
      </c>
      <c r="G613" s="1">
        <v>78</v>
      </c>
      <c r="H613" s="1">
        <v>83</v>
      </c>
      <c r="I613">
        <f t="shared" si="13"/>
        <v>225</v>
      </c>
    </row>
    <row r="614" spans="1:9" ht="13.2" hidden="1" x14ac:dyDescent="0.25">
      <c r="A614" s="1" t="s">
        <v>8</v>
      </c>
      <c r="B614" s="1" t="s">
        <v>18</v>
      </c>
      <c r="C614" s="1" t="s">
        <v>22</v>
      </c>
      <c r="D614" s="1" t="s">
        <v>11</v>
      </c>
      <c r="E614" s="1" t="s">
        <v>12</v>
      </c>
      <c r="F614" s="1">
        <v>70</v>
      </c>
      <c r="G614" s="1">
        <v>73</v>
      </c>
      <c r="H614" s="1">
        <v>71</v>
      </c>
      <c r="I614">
        <f t="shared" si="13"/>
        <v>214</v>
      </c>
    </row>
    <row r="615" spans="1:9" ht="13.2" hidden="1" x14ac:dyDescent="0.25">
      <c r="A615" s="1" t="s">
        <v>19</v>
      </c>
      <c r="B615" s="1" t="s">
        <v>21</v>
      </c>
      <c r="C615" s="1" t="s">
        <v>16</v>
      </c>
      <c r="D615" s="1" t="s">
        <v>23</v>
      </c>
      <c r="E615" s="1" t="s">
        <v>12</v>
      </c>
      <c r="F615" s="1">
        <v>78</v>
      </c>
      <c r="G615" s="1">
        <v>75</v>
      </c>
      <c r="H615" s="1">
        <v>75</v>
      </c>
      <c r="I615">
        <f t="shared" si="13"/>
        <v>228</v>
      </c>
    </row>
    <row r="616" spans="1:9" ht="13.2" hidden="1" x14ac:dyDescent="0.25">
      <c r="A616" s="1" t="s">
        <v>19</v>
      </c>
      <c r="B616" s="1" t="s">
        <v>21</v>
      </c>
      <c r="C616" s="1" t="s">
        <v>14</v>
      </c>
      <c r="D616" s="1" t="s">
        <v>11</v>
      </c>
      <c r="E616" s="1" t="s">
        <v>12</v>
      </c>
      <c r="F616" s="1">
        <v>87</v>
      </c>
      <c r="G616" s="1">
        <v>67</v>
      </c>
      <c r="H616" s="1">
        <v>69</v>
      </c>
      <c r="I616">
        <f t="shared" si="13"/>
        <v>223</v>
      </c>
    </row>
    <row r="617" spans="1:9" ht="13.2" hidden="1" x14ac:dyDescent="0.25">
      <c r="A617" s="1" t="s">
        <v>19</v>
      </c>
      <c r="B617" s="1" t="s">
        <v>9</v>
      </c>
      <c r="C617" s="1" t="s">
        <v>22</v>
      </c>
      <c r="D617" s="1" t="s">
        <v>11</v>
      </c>
      <c r="E617" s="1" t="s">
        <v>17</v>
      </c>
      <c r="F617" s="1">
        <v>75</v>
      </c>
      <c r="G617" s="1">
        <v>77</v>
      </c>
      <c r="H617" s="1">
        <v>76</v>
      </c>
      <c r="I617">
        <f t="shared" si="13"/>
        <v>228</v>
      </c>
    </row>
    <row r="618" spans="1:9" ht="13.2" hidden="1" x14ac:dyDescent="0.25">
      <c r="A618" s="1" t="s">
        <v>8</v>
      </c>
      <c r="B618" s="1" t="s">
        <v>13</v>
      </c>
      <c r="C618" s="1" t="s">
        <v>14</v>
      </c>
      <c r="D618" s="1" t="s">
        <v>11</v>
      </c>
      <c r="E618" s="1" t="s">
        <v>12</v>
      </c>
      <c r="F618" s="1">
        <v>58</v>
      </c>
      <c r="G618" s="1">
        <v>58</v>
      </c>
      <c r="H618" s="1">
        <v>56</v>
      </c>
      <c r="I618">
        <f t="shared" si="13"/>
        <v>172</v>
      </c>
    </row>
    <row r="619" spans="1:9" ht="13.2" hidden="1" x14ac:dyDescent="0.25">
      <c r="A619" s="1" t="s">
        <v>8</v>
      </c>
      <c r="B619" s="1" t="s">
        <v>13</v>
      </c>
      <c r="C619" s="1" t="s">
        <v>10</v>
      </c>
      <c r="D619" s="1" t="s">
        <v>11</v>
      </c>
      <c r="E619" s="1" t="s">
        <v>17</v>
      </c>
      <c r="F619" s="1">
        <v>80</v>
      </c>
      <c r="G619" s="1">
        <v>89</v>
      </c>
      <c r="H619" s="1">
        <v>96</v>
      </c>
      <c r="I619">
        <f t="shared" si="13"/>
        <v>265</v>
      </c>
    </row>
    <row r="620" spans="1:9" ht="13.2" hidden="1" x14ac:dyDescent="0.25">
      <c r="A620" s="1" t="s">
        <v>19</v>
      </c>
      <c r="B620" s="1" t="s">
        <v>9</v>
      </c>
      <c r="C620" s="1" t="s">
        <v>24</v>
      </c>
      <c r="D620" s="1" t="s">
        <v>11</v>
      </c>
      <c r="E620" s="1" t="s">
        <v>17</v>
      </c>
      <c r="F620" s="1">
        <v>63</v>
      </c>
      <c r="G620" s="1">
        <v>65</v>
      </c>
      <c r="H620" s="1">
        <v>70</v>
      </c>
      <c r="I620">
        <f t="shared" si="13"/>
        <v>198</v>
      </c>
    </row>
    <row r="621" spans="1:9" ht="13.2" hidden="1" x14ac:dyDescent="0.25">
      <c r="A621" s="1" t="s">
        <v>19</v>
      </c>
      <c r="B621" s="1" t="s">
        <v>13</v>
      </c>
      <c r="C621" s="1" t="s">
        <v>14</v>
      </c>
      <c r="D621" s="1" t="s">
        <v>11</v>
      </c>
      <c r="E621" s="1" t="s">
        <v>17</v>
      </c>
      <c r="F621" s="1">
        <v>100</v>
      </c>
      <c r="G621" s="1">
        <v>100</v>
      </c>
      <c r="H621" s="1">
        <v>100</v>
      </c>
      <c r="I621">
        <f t="shared" si="13"/>
        <v>300</v>
      </c>
    </row>
    <row r="622" spans="1:9" ht="13.2" hidden="1" x14ac:dyDescent="0.25">
      <c r="A622" s="1" t="s">
        <v>8</v>
      </c>
      <c r="B622" s="1" t="s">
        <v>18</v>
      </c>
      <c r="C622" s="1" t="s">
        <v>22</v>
      </c>
      <c r="D622" s="1" t="s">
        <v>23</v>
      </c>
      <c r="E622" s="1" t="s">
        <v>17</v>
      </c>
      <c r="F622" s="1">
        <v>70</v>
      </c>
      <c r="G622" s="1">
        <v>82</v>
      </c>
      <c r="H622" s="1">
        <v>84</v>
      </c>
      <c r="I622">
        <f t="shared" si="13"/>
        <v>236</v>
      </c>
    </row>
    <row r="623" spans="1:9" ht="13.2" hidden="1" x14ac:dyDescent="0.25">
      <c r="A623" s="1" t="s">
        <v>8</v>
      </c>
      <c r="B623" s="1" t="s">
        <v>13</v>
      </c>
      <c r="C623" s="1" t="s">
        <v>22</v>
      </c>
      <c r="D623" s="1" t="s">
        <v>11</v>
      </c>
      <c r="E623" s="1" t="s">
        <v>12</v>
      </c>
      <c r="F623" s="1">
        <v>53</v>
      </c>
      <c r="G623" s="1">
        <v>68</v>
      </c>
      <c r="H623" s="1">
        <v>63</v>
      </c>
      <c r="I623">
        <f t="shared" si="13"/>
        <v>184</v>
      </c>
    </row>
    <row r="624" spans="1:9" ht="13.2" hidden="1" x14ac:dyDescent="0.25">
      <c r="A624" s="1" t="s">
        <v>8</v>
      </c>
      <c r="B624" s="1" t="s">
        <v>18</v>
      </c>
      <c r="C624" s="1" t="s">
        <v>10</v>
      </c>
      <c r="D624" s="1" t="s">
        <v>11</v>
      </c>
      <c r="E624" s="1" t="s">
        <v>12</v>
      </c>
      <c r="F624" s="1">
        <v>54</v>
      </c>
      <c r="G624" s="1">
        <v>65</v>
      </c>
      <c r="H624" s="1">
        <v>60</v>
      </c>
      <c r="I624">
        <f t="shared" si="13"/>
        <v>179</v>
      </c>
    </row>
    <row r="625" spans="1:9" ht="13.2" hidden="1" x14ac:dyDescent="0.25">
      <c r="A625" s="1" t="s">
        <v>19</v>
      </c>
      <c r="B625" s="1" t="s">
        <v>18</v>
      </c>
      <c r="C625" s="1" t="s">
        <v>16</v>
      </c>
      <c r="D625" s="1" t="s">
        <v>11</v>
      </c>
      <c r="E625" s="1" t="s">
        <v>12</v>
      </c>
      <c r="F625" s="1">
        <v>81</v>
      </c>
      <c r="G625" s="1">
        <v>76</v>
      </c>
      <c r="H625" s="1">
        <v>80</v>
      </c>
      <c r="I625">
        <f t="shared" si="13"/>
        <v>237</v>
      </c>
    </row>
    <row r="626" spans="1:9" ht="13.2" hidden="1" x14ac:dyDescent="0.25">
      <c r="A626" s="1" t="s">
        <v>19</v>
      </c>
      <c r="B626" s="1" t="s">
        <v>13</v>
      </c>
      <c r="C626" s="1" t="s">
        <v>22</v>
      </c>
      <c r="D626" s="1" t="s">
        <v>23</v>
      </c>
      <c r="E626" s="1" t="s">
        <v>17</v>
      </c>
      <c r="F626" s="1">
        <v>81</v>
      </c>
      <c r="G626" s="1">
        <v>79</v>
      </c>
      <c r="H626" s="1">
        <v>74</v>
      </c>
      <c r="I626">
        <f t="shared" si="13"/>
        <v>234</v>
      </c>
    </row>
    <row r="627" spans="1:9" ht="13.2" hidden="1" x14ac:dyDescent="0.25">
      <c r="A627" s="1" t="s">
        <v>8</v>
      </c>
      <c r="B627" s="1" t="s">
        <v>18</v>
      </c>
      <c r="C627" s="1" t="s">
        <v>10</v>
      </c>
      <c r="D627" s="1" t="s">
        <v>11</v>
      </c>
      <c r="E627" s="1" t="s">
        <v>12</v>
      </c>
      <c r="F627" s="1">
        <v>64</v>
      </c>
      <c r="G627" s="1">
        <v>80</v>
      </c>
      <c r="H627" s="1">
        <v>77</v>
      </c>
      <c r="I627">
        <f t="shared" si="13"/>
        <v>221</v>
      </c>
    </row>
    <row r="628" spans="1:9" ht="13.2" hidden="1" x14ac:dyDescent="0.25">
      <c r="A628" s="1" t="s">
        <v>19</v>
      </c>
      <c r="B628" s="1" t="s">
        <v>9</v>
      </c>
      <c r="C628" s="1" t="s">
        <v>10</v>
      </c>
      <c r="D628" s="1" t="s">
        <v>11</v>
      </c>
      <c r="E628" s="1" t="s">
        <v>17</v>
      </c>
      <c r="F628" s="1">
        <v>83</v>
      </c>
      <c r="G628" s="1">
        <v>80</v>
      </c>
      <c r="H628" s="1">
        <v>78</v>
      </c>
      <c r="I628">
        <f t="shared" si="13"/>
        <v>241</v>
      </c>
    </row>
    <row r="629" spans="1:9" ht="13.2" hidden="1" x14ac:dyDescent="0.25">
      <c r="A629" s="1" t="s">
        <v>19</v>
      </c>
      <c r="B629" s="1" t="s">
        <v>9</v>
      </c>
      <c r="C629" s="1" t="s">
        <v>16</v>
      </c>
      <c r="D629" s="1" t="s">
        <v>11</v>
      </c>
      <c r="E629" s="1" t="s">
        <v>12</v>
      </c>
      <c r="F629" s="1">
        <v>60</v>
      </c>
      <c r="G629" s="1">
        <v>62</v>
      </c>
      <c r="H629" s="1">
        <v>56</v>
      </c>
      <c r="I629">
        <f t="shared" si="13"/>
        <v>178</v>
      </c>
    </row>
    <row r="630" spans="1:9" ht="13.2" hidden="1" x14ac:dyDescent="0.25">
      <c r="A630" s="1" t="s">
        <v>8</v>
      </c>
      <c r="B630" s="1" t="s">
        <v>13</v>
      </c>
      <c r="C630" s="1" t="s">
        <v>22</v>
      </c>
      <c r="D630" s="1" t="s">
        <v>23</v>
      </c>
      <c r="E630" s="1" t="s">
        <v>17</v>
      </c>
      <c r="F630" s="1">
        <v>58</v>
      </c>
      <c r="G630" s="1">
        <v>70</v>
      </c>
      <c r="H630" s="1">
        <v>67</v>
      </c>
      <c r="I630">
        <f t="shared" si="13"/>
        <v>195</v>
      </c>
    </row>
    <row r="631" spans="1:9" ht="13.2" hidden="1" x14ac:dyDescent="0.25">
      <c r="A631" s="1" t="s">
        <v>19</v>
      </c>
      <c r="B631" s="1" t="s">
        <v>15</v>
      </c>
      <c r="C631" s="1" t="s">
        <v>10</v>
      </c>
      <c r="D631" s="1" t="s">
        <v>11</v>
      </c>
      <c r="E631" s="1" t="s">
        <v>12</v>
      </c>
      <c r="F631" s="1">
        <v>75</v>
      </c>
      <c r="G631" s="1">
        <v>77</v>
      </c>
      <c r="H631" s="1">
        <v>71</v>
      </c>
      <c r="I631">
        <f t="shared" si="13"/>
        <v>223</v>
      </c>
    </row>
    <row r="632" spans="1:9" ht="13.2" hidden="1" x14ac:dyDescent="0.25">
      <c r="A632" s="1" t="s">
        <v>8</v>
      </c>
      <c r="B632" s="1" t="s">
        <v>9</v>
      </c>
      <c r="C632" s="1" t="s">
        <v>20</v>
      </c>
      <c r="D632" s="1" t="s">
        <v>11</v>
      </c>
      <c r="E632" s="1" t="s">
        <v>17</v>
      </c>
      <c r="F632" s="1">
        <v>84</v>
      </c>
      <c r="G632" s="1">
        <v>86</v>
      </c>
      <c r="H632" s="1">
        <v>86</v>
      </c>
      <c r="I632">
        <f t="shared" si="13"/>
        <v>256</v>
      </c>
    </row>
    <row r="633" spans="1:9" ht="13.2" hidden="1" x14ac:dyDescent="0.25">
      <c r="A633" s="1" t="s">
        <v>8</v>
      </c>
      <c r="B633" s="1" t="s">
        <v>18</v>
      </c>
      <c r="C633" s="1" t="s">
        <v>16</v>
      </c>
      <c r="D633" s="1" t="s">
        <v>11</v>
      </c>
      <c r="E633" s="1" t="s">
        <v>17</v>
      </c>
      <c r="F633" s="1">
        <v>91</v>
      </c>
      <c r="G633" s="1">
        <v>100</v>
      </c>
      <c r="H633" s="1">
        <v>100</v>
      </c>
      <c r="I633">
        <f t="shared" si="13"/>
        <v>291</v>
      </c>
    </row>
    <row r="634" spans="1:9" ht="13.2" hidden="1" x14ac:dyDescent="0.25">
      <c r="A634" s="1" t="s">
        <v>19</v>
      </c>
      <c r="B634" s="1" t="s">
        <v>13</v>
      </c>
      <c r="C634" s="1" t="s">
        <v>10</v>
      </c>
      <c r="D634" s="1" t="s">
        <v>11</v>
      </c>
      <c r="E634" s="1" t="s">
        <v>17</v>
      </c>
      <c r="F634" s="1">
        <v>47</v>
      </c>
      <c r="G634" s="1">
        <v>48</v>
      </c>
      <c r="H634" s="1">
        <v>47</v>
      </c>
      <c r="I634">
        <f t="shared" si="13"/>
        <v>142</v>
      </c>
    </row>
    <row r="635" spans="1:9" ht="13.2" hidden="1" x14ac:dyDescent="0.25">
      <c r="A635" s="1" t="s">
        <v>19</v>
      </c>
      <c r="B635" s="1" t="s">
        <v>18</v>
      </c>
      <c r="C635" s="1" t="s">
        <v>22</v>
      </c>
      <c r="D635" s="1" t="s">
        <v>11</v>
      </c>
      <c r="E635" s="1" t="s">
        <v>12</v>
      </c>
      <c r="F635" s="1">
        <v>69</v>
      </c>
      <c r="G635" s="1">
        <v>66</v>
      </c>
      <c r="H635" s="1">
        <v>66</v>
      </c>
      <c r="I635">
        <f t="shared" si="13"/>
        <v>201</v>
      </c>
    </row>
    <row r="636" spans="1:9" ht="13.2" hidden="1" x14ac:dyDescent="0.25">
      <c r="A636" s="1" t="s">
        <v>8</v>
      </c>
      <c r="B636" s="1" t="s">
        <v>13</v>
      </c>
      <c r="C636" s="1" t="s">
        <v>14</v>
      </c>
      <c r="D636" s="1" t="s">
        <v>11</v>
      </c>
      <c r="E636" s="1" t="s">
        <v>17</v>
      </c>
      <c r="F636" s="1">
        <v>82</v>
      </c>
      <c r="G636" s="1">
        <v>83</v>
      </c>
      <c r="H636" s="1">
        <v>91</v>
      </c>
      <c r="I636">
        <f t="shared" si="13"/>
        <v>256</v>
      </c>
    </row>
    <row r="637" spans="1:9" ht="13.2" hidden="1" x14ac:dyDescent="0.25">
      <c r="A637" s="1" t="s">
        <v>8</v>
      </c>
      <c r="B637" s="1" t="s">
        <v>13</v>
      </c>
      <c r="C637" s="1" t="s">
        <v>22</v>
      </c>
      <c r="D637" s="1" t="s">
        <v>11</v>
      </c>
      <c r="E637" s="1" t="s">
        <v>17</v>
      </c>
      <c r="F637" s="1">
        <v>84</v>
      </c>
      <c r="G637" s="1">
        <v>97</v>
      </c>
      <c r="H637" s="1">
        <v>99</v>
      </c>
      <c r="I637">
        <f t="shared" si="13"/>
        <v>280</v>
      </c>
    </row>
    <row r="638" spans="1:9" ht="13.2" hidden="1" x14ac:dyDescent="0.25">
      <c r="A638" s="1" t="s">
        <v>8</v>
      </c>
      <c r="B638" s="1" t="s">
        <v>18</v>
      </c>
      <c r="C638" s="1" t="s">
        <v>24</v>
      </c>
      <c r="D638" s="1" t="s">
        <v>11</v>
      </c>
      <c r="E638" s="1" t="s">
        <v>12</v>
      </c>
      <c r="F638" s="1">
        <v>83</v>
      </c>
      <c r="G638" s="1">
        <v>90</v>
      </c>
      <c r="H638" s="1">
        <v>93</v>
      </c>
      <c r="I638">
        <f t="shared" si="13"/>
        <v>266</v>
      </c>
    </row>
    <row r="639" spans="1:9" ht="13.2" hidden="1" x14ac:dyDescent="0.25">
      <c r="A639" s="1" t="s">
        <v>19</v>
      </c>
      <c r="B639" s="1" t="s">
        <v>18</v>
      </c>
      <c r="C639" s="1" t="s">
        <v>16</v>
      </c>
      <c r="D639" s="1" t="s">
        <v>11</v>
      </c>
      <c r="E639" s="1" t="s">
        <v>17</v>
      </c>
      <c r="F639" s="1">
        <v>66</v>
      </c>
      <c r="G639" s="1">
        <v>64</v>
      </c>
      <c r="H639" s="1">
        <v>64</v>
      </c>
      <c r="I639">
        <f t="shared" si="13"/>
        <v>194</v>
      </c>
    </row>
    <row r="640" spans="1:9" ht="13.2" hidden="1" x14ac:dyDescent="0.25">
      <c r="A640" s="1" t="s">
        <v>19</v>
      </c>
      <c r="B640" s="1" t="s">
        <v>18</v>
      </c>
      <c r="C640" s="1" t="s">
        <v>24</v>
      </c>
      <c r="D640" s="1" t="s">
        <v>11</v>
      </c>
      <c r="E640" s="1" t="s">
        <v>12</v>
      </c>
      <c r="F640" s="1">
        <v>70</v>
      </c>
      <c r="G640" s="1">
        <v>70</v>
      </c>
      <c r="H640" s="1">
        <v>70</v>
      </c>
      <c r="I640">
        <f t="shared" si="13"/>
        <v>210</v>
      </c>
    </row>
    <row r="641" spans="1:9" ht="13.2" hidden="1" x14ac:dyDescent="0.25">
      <c r="A641" s="1" t="s">
        <v>19</v>
      </c>
      <c r="B641" s="1" t="s">
        <v>18</v>
      </c>
      <c r="C641" s="1" t="s">
        <v>10</v>
      </c>
      <c r="D641" s="1" t="s">
        <v>23</v>
      </c>
      <c r="E641" s="1" t="s">
        <v>12</v>
      </c>
      <c r="F641" s="1">
        <v>72</v>
      </c>
      <c r="G641" s="1">
        <v>61</v>
      </c>
      <c r="H641" s="1">
        <v>61</v>
      </c>
      <c r="I641">
        <f t="shared" si="13"/>
        <v>194</v>
      </c>
    </row>
    <row r="642" spans="1:9" ht="13.2" hidden="1" x14ac:dyDescent="0.25">
      <c r="A642" s="1" t="s">
        <v>8</v>
      </c>
      <c r="B642" s="1" t="s">
        <v>15</v>
      </c>
      <c r="C642" s="1" t="s">
        <v>20</v>
      </c>
      <c r="D642" s="1" t="s">
        <v>11</v>
      </c>
      <c r="E642" s="1" t="s">
        <v>12</v>
      </c>
      <c r="F642" s="1">
        <v>53</v>
      </c>
      <c r="G642" s="1">
        <v>54</v>
      </c>
      <c r="H642" s="1">
        <v>60</v>
      </c>
      <c r="I642">
        <f t="shared" si="13"/>
        <v>167</v>
      </c>
    </row>
    <row r="643" spans="1:9" ht="13.2" hidden="1" x14ac:dyDescent="0.25">
      <c r="A643" s="1" t="s">
        <v>8</v>
      </c>
      <c r="B643" s="1" t="s">
        <v>15</v>
      </c>
      <c r="C643" s="1" t="s">
        <v>16</v>
      </c>
      <c r="D643" s="1" t="s">
        <v>11</v>
      </c>
      <c r="E643" s="1" t="s">
        <v>12</v>
      </c>
      <c r="F643" s="1">
        <v>66</v>
      </c>
      <c r="G643" s="1">
        <v>74</v>
      </c>
      <c r="H643" s="1">
        <v>70</v>
      </c>
      <c r="I643">
        <f t="shared" ref="I643:I706" si="14">SUM(F643:H643)</f>
        <v>210</v>
      </c>
    </row>
    <row r="644" spans="1:9" ht="13.2" hidden="1" x14ac:dyDescent="0.25">
      <c r="A644" s="1" t="s">
        <v>8</v>
      </c>
      <c r="B644" s="1" t="s">
        <v>21</v>
      </c>
      <c r="C644" s="1" t="s">
        <v>10</v>
      </c>
      <c r="D644" s="1" t="s">
        <v>11</v>
      </c>
      <c r="E644" s="1" t="s">
        <v>17</v>
      </c>
      <c r="F644" s="1">
        <v>89</v>
      </c>
      <c r="G644" s="1">
        <v>90</v>
      </c>
      <c r="H644" s="1">
        <v>91</v>
      </c>
      <c r="I644">
        <f t="shared" si="14"/>
        <v>270</v>
      </c>
    </row>
    <row r="645" spans="1:9" ht="13.2" hidden="1" x14ac:dyDescent="0.25">
      <c r="A645" s="1" t="s">
        <v>19</v>
      </c>
      <c r="B645" s="1" t="s">
        <v>18</v>
      </c>
      <c r="C645" s="1" t="s">
        <v>10</v>
      </c>
      <c r="D645" s="1" t="s">
        <v>23</v>
      </c>
      <c r="E645" s="1" t="s">
        <v>17</v>
      </c>
      <c r="F645" s="1">
        <v>62</v>
      </c>
      <c r="G645" s="1">
        <v>59</v>
      </c>
      <c r="H645" s="1">
        <v>58</v>
      </c>
      <c r="I645">
        <f t="shared" si="14"/>
        <v>179</v>
      </c>
    </row>
    <row r="646" spans="1:9" ht="13.2" hidden="1" x14ac:dyDescent="0.25">
      <c r="A646" s="1" t="s">
        <v>19</v>
      </c>
      <c r="B646" s="1" t="s">
        <v>13</v>
      </c>
      <c r="C646" s="1" t="s">
        <v>20</v>
      </c>
      <c r="D646" s="1" t="s">
        <v>11</v>
      </c>
      <c r="E646" s="1" t="s">
        <v>12</v>
      </c>
      <c r="F646" s="1">
        <v>89</v>
      </c>
      <c r="G646" s="1">
        <v>81</v>
      </c>
      <c r="H646" s="1">
        <v>72</v>
      </c>
      <c r="I646">
        <f t="shared" si="14"/>
        <v>242</v>
      </c>
    </row>
    <row r="647" spans="1:9" ht="13.2" hidden="1" x14ac:dyDescent="0.25">
      <c r="A647" s="1" t="s">
        <v>19</v>
      </c>
      <c r="B647" s="1" t="s">
        <v>18</v>
      </c>
      <c r="C647" s="1" t="s">
        <v>22</v>
      </c>
      <c r="D647" s="1" t="s">
        <v>11</v>
      </c>
      <c r="E647" s="1" t="s">
        <v>12</v>
      </c>
      <c r="F647" s="1">
        <v>73</v>
      </c>
      <c r="G647" s="1">
        <v>71</v>
      </c>
      <c r="H647" s="1">
        <v>64</v>
      </c>
      <c r="I647">
        <f t="shared" si="14"/>
        <v>208</v>
      </c>
    </row>
    <row r="648" spans="1:9" ht="13.2" hidden="1" x14ac:dyDescent="0.25">
      <c r="A648" s="1" t="s">
        <v>8</v>
      </c>
      <c r="B648" s="1" t="s">
        <v>9</v>
      </c>
      <c r="C648" s="1" t="s">
        <v>16</v>
      </c>
      <c r="D648" s="1" t="s">
        <v>11</v>
      </c>
      <c r="E648" s="1" t="s">
        <v>17</v>
      </c>
      <c r="F648" s="1">
        <v>78</v>
      </c>
      <c r="G648" s="1">
        <v>97</v>
      </c>
      <c r="H648" s="1">
        <v>87</v>
      </c>
      <c r="I648">
        <f t="shared" si="14"/>
        <v>262</v>
      </c>
    </row>
    <row r="649" spans="1:9" ht="13.2" hidden="1" x14ac:dyDescent="0.25">
      <c r="A649" s="1" t="s">
        <v>19</v>
      </c>
      <c r="B649" s="1" t="s">
        <v>18</v>
      </c>
      <c r="C649" s="1" t="s">
        <v>10</v>
      </c>
      <c r="D649" s="1" t="s">
        <v>11</v>
      </c>
      <c r="E649" s="1" t="s">
        <v>12</v>
      </c>
      <c r="F649" s="1">
        <v>68</v>
      </c>
      <c r="G649" s="1">
        <v>68</v>
      </c>
      <c r="H649" s="1">
        <v>65</v>
      </c>
      <c r="I649">
        <f t="shared" si="14"/>
        <v>201</v>
      </c>
    </row>
    <row r="650" spans="1:9" ht="13.2" hidden="1" x14ac:dyDescent="0.25">
      <c r="A650" s="1" t="s">
        <v>8</v>
      </c>
      <c r="B650" s="1" t="s">
        <v>18</v>
      </c>
      <c r="C650" s="1" t="s">
        <v>14</v>
      </c>
      <c r="D650" s="1" t="s">
        <v>11</v>
      </c>
      <c r="E650" s="1" t="s">
        <v>12</v>
      </c>
      <c r="F650" s="1">
        <v>66</v>
      </c>
      <c r="G650" s="1">
        <v>58</v>
      </c>
      <c r="H650" s="1">
        <v>69</v>
      </c>
      <c r="I650">
        <f t="shared" si="14"/>
        <v>193</v>
      </c>
    </row>
    <row r="651" spans="1:9" ht="13.2" hidden="1" x14ac:dyDescent="0.25">
      <c r="A651" s="1" t="s">
        <v>8</v>
      </c>
      <c r="B651" s="1" t="s">
        <v>13</v>
      </c>
      <c r="C651" s="1" t="s">
        <v>14</v>
      </c>
      <c r="D651" s="1" t="s">
        <v>11</v>
      </c>
      <c r="E651" s="1" t="s">
        <v>12</v>
      </c>
      <c r="F651" s="1">
        <v>39</v>
      </c>
      <c r="G651" s="1">
        <v>52</v>
      </c>
      <c r="H651" s="1">
        <v>47</v>
      </c>
      <c r="I651">
        <f t="shared" si="14"/>
        <v>138</v>
      </c>
    </row>
    <row r="652" spans="1:9" ht="13.2" hidden="1" x14ac:dyDescent="0.25">
      <c r="A652" s="1" t="s">
        <v>19</v>
      </c>
      <c r="B652" s="1" t="s">
        <v>18</v>
      </c>
      <c r="C652" s="1" t="s">
        <v>22</v>
      </c>
      <c r="D652" s="1" t="s">
        <v>23</v>
      </c>
      <c r="E652" s="1" t="s">
        <v>17</v>
      </c>
      <c r="F652" s="1">
        <v>73</v>
      </c>
      <c r="G652" s="1">
        <v>84</v>
      </c>
      <c r="H652" s="1">
        <v>78</v>
      </c>
      <c r="I652">
        <f t="shared" si="14"/>
        <v>235</v>
      </c>
    </row>
    <row r="653" spans="1:9" ht="13.2" hidden="1" x14ac:dyDescent="0.25">
      <c r="A653" s="1" t="s">
        <v>19</v>
      </c>
      <c r="B653" s="1" t="s">
        <v>9</v>
      </c>
      <c r="C653" s="1" t="s">
        <v>22</v>
      </c>
      <c r="D653" s="1" t="s">
        <v>11</v>
      </c>
      <c r="E653" s="1" t="s">
        <v>17</v>
      </c>
      <c r="F653" s="1">
        <v>79</v>
      </c>
      <c r="G653" s="1">
        <v>75</v>
      </c>
      <c r="H653" s="1">
        <v>77</v>
      </c>
      <c r="I653">
        <f t="shared" si="14"/>
        <v>231</v>
      </c>
    </row>
    <row r="654" spans="1:9" ht="13.2" hidden="1" x14ac:dyDescent="0.25">
      <c r="A654" s="1" t="s">
        <v>8</v>
      </c>
      <c r="B654" s="1" t="s">
        <v>13</v>
      </c>
      <c r="C654" s="1" t="s">
        <v>20</v>
      </c>
      <c r="D654" s="1" t="s">
        <v>11</v>
      </c>
      <c r="E654" s="1" t="s">
        <v>17</v>
      </c>
      <c r="F654" s="1">
        <v>67</v>
      </c>
      <c r="G654" s="1">
        <v>74</v>
      </c>
      <c r="H654" s="1">
        <v>75</v>
      </c>
      <c r="I654">
        <f t="shared" si="14"/>
        <v>216</v>
      </c>
    </row>
    <row r="655" spans="1:9" ht="13.2" hidden="1" x14ac:dyDescent="0.25">
      <c r="A655" s="1" t="s">
        <v>19</v>
      </c>
      <c r="B655" s="1" t="s">
        <v>9</v>
      </c>
      <c r="C655" s="1" t="s">
        <v>16</v>
      </c>
      <c r="D655" s="1" t="s">
        <v>23</v>
      </c>
      <c r="E655" s="1" t="s">
        <v>12</v>
      </c>
      <c r="F655" s="1">
        <v>52</v>
      </c>
      <c r="G655" s="1">
        <v>38</v>
      </c>
      <c r="H655" s="1">
        <v>38</v>
      </c>
      <c r="I655">
        <f t="shared" si="14"/>
        <v>128</v>
      </c>
    </row>
    <row r="656" spans="1:9" ht="13.2" hidden="1" x14ac:dyDescent="0.25">
      <c r="A656" s="1" t="s">
        <v>8</v>
      </c>
      <c r="B656" s="1" t="s">
        <v>18</v>
      </c>
      <c r="C656" s="1" t="s">
        <v>22</v>
      </c>
      <c r="D656" s="1" t="s">
        <v>23</v>
      </c>
      <c r="E656" s="1" t="s">
        <v>12</v>
      </c>
      <c r="F656" s="1">
        <v>22</v>
      </c>
      <c r="G656" s="1">
        <v>43</v>
      </c>
      <c r="H656" s="1">
        <v>44</v>
      </c>
      <c r="I656">
        <f t="shared" si="14"/>
        <v>109</v>
      </c>
    </row>
    <row r="657" spans="1:9" ht="13.2" hidden="1" x14ac:dyDescent="0.25">
      <c r="A657" s="1" t="s">
        <v>19</v>
      </c>
      <c r="B657" s="1" t="s">
        <v>13</v>
      </c>
      <c r="C657" s="1" t="s">
        <v>22</v>
      </c>
      <c r="D657" s="1" t="s">
        <v>23</v>
      </c>
      <c r="E657" s="1" t="s">
        <v>12</v>
      </c>
      <c r="F657" s="1">
        <v>59</v>
      </c>
      <c r="G657" s="1">
        <v>60</v>
      </c>
      <c r="H657" s="1">
        <v>52</v>
      </c>
      <c r="I657">
        <f t="shared" si="14"/>
        <v>171</v>
      </c>
    </row>
    <row r="658" spans="1:9" ht="13.2" hidden="1" x14ac:dyDescent="0.25">
      <c r="A658" s="1" t="s">
        <v>19</v>
      </c>
      <c r="B658" s="1" t="s">
        <v>15</v>
      </c>
      <c r="C658" s="1" t="s">
        <v>20</v>
      </c>
      <c r="D658" s="1" t="s">
        <v>23</v>
      </c>
      <c r="E658" s="1" t="s">
        <v>12</v>
      </c>
      <c r="F658" s="1">
        <v>64</v>
      </c>
      <c r="G658" s="1">
        <v>61</v>
      </c>
      <c r="H658" s="1">
        <v>57</v>
      </c>
      <c r="I658">
        <f t="shared" si="14"/>
        <v>182</v>
      </c>
    </row>
    <row r="659" spans="1:9" ht="13.2" hidden="1" x14ac:dyDescent="0.25">
      <c r="A659" s="1" t="s">
        <v>19</v>
      </c>
      <c r="B659" s="1" t="s">
        <v>15</v>
      </c>
      <c r="C659" s="1" t="s">
        <v>16</v>
      </c>
      <c r="D659" s="1" t="s">
        <v>23</v>
      </c>
      <c r="E659" s="1" t="s">
        <v>17</v>
      </c>
      <c r="F659" s="1">
        <v>73</v>
      </c>
      <c r="G659" s="1">
        <v>74</v>
      </c>
      <c r="H659" s="1">
        <v>77</v>
      </c>
      <c r="I659">
        <f t="shared" si="14"/>
        <v>224</v>
      </c>
    </row>
    <row r="660" spans="1:9" ht="13.2" hidden="1" x14ac:dyDescent="0.25">
      <c r="A660" s="1" t="s">
        <v>8</v>
      </c>
      <c r="B660" s="1" t="s">
        <v>9</v>
      </c>
      <c r="C660" s="1" t="s">
        <v>16</v>
      </c>
      <c r="D660" s="1" t="s">
        <v>11</v>
      </c>
      <c r="E660" s="1" t="s">
        <v>17</v>
      </c>
      <c r="F660" s="1">
        <v>71</v>
      </c>
      <c r="G660" s="1">
        <v>91</v>
      </c>
      <c r="H660" s="1">
        <v>89</v>
      </c>
      <c r="I660">
        <f t="shared" si="14"/>
        <v>251</v>
      </c>
    </row>
    <row r="661" spans="1:9" ht="13.2" hidden="1" x14ac:dyDescent="0.25">
      <c r="A661" s="1" t="s">
        <v>19</v>
      </c>
      <c r="B661" s="1" t="s">
        <v>9</v>
      </c>
      <c r="C661" s="1" t="s">
        <v>22</v>
      </c>
      <c r="D661" s="1" t="s">
        <v>11</v>
      </c>
      <c r="E661" s="1" t="s">
        <v>17</v>
      </c>
      <c r="F661" s="1">
        <v>87</v>
      </c>
      <c r="G661" s="1">
        <v>81</v>
      </c>
      <c r="H661" s="1">
        <v>86</v>
      </c>
      <c r="I661">
        <f t="shared" si="14"/>
        <v>254</v>
      </c>
    </row>
    <row r="662" spans="1:9" ht="13.2" hidden="1" x14ac:dyDescent="0.25">
      <c r="A662" s="1" t="s">
        <v>19</v>
      </c>
      <c r="B662" s="1" t="s">
        <v>18</v>
      </c>
      <c r="C662" s="1" t="s">
        <v>22</v>
      </c>
      <c r="D662" s="1" t="s">
        <v>23</v>
      </c>
      <c r="E662" s="1" t="s">
        <v>17</v>
      </c>
      <c r="F662" s="1">
        <v>71</v>
      </c>
      <c r="G662" s="1">
        <v>78</v>
      </c>
      <c r="H662" s="1">
        <v>74</v>
      </c>
      <c r="I662">
        <f t="shared" si="14"/>
        <v>223</v>
      </c>
    </row>
    <row r="663" spans="1:9" ht="13.2" hidden="1" x14ac:dyDescent="0.25">
      <c r="A663" s="1" t="s">
        <v>19</v>
      </c>
      <c r="B663" s="1" t="s">
        <v>21</v>
      </c>
      <c r="C663" s="1" t="s">
        <v>16</v>
      </c>
      <c r="D663" s="1" t="s">
        <v>11</v>
      </c>
      <c r="E663" s="1" t="s">
        <v>12</v>
      </c>
      <c r="F663" s="1">
        <v>81</v>
      </c>
      <c r="G663" s="1">
        <v>74</v>
      </c>
      <c r="H663" s="1">
        <v>66</v>
      </c>
      <c r="I663">
        <f t="shared" si="14"/>
        <v>221</v>
      </c>
    </row>
    <row r="664" spans="1:9" ht="13.2" hidden="1" x14ac:dyDescent="0.25">
      <c r="A664" s="1" t="s">
        <v>8</v>
      </c>
      <c r="B664" s="1" t="s">
        <v>13</v>
      </c>
      <c r="C664" s="1" t="s">
        <v>22</v>
      </c>
      <c r="D664" s="1" t="s">
        <v>23</v>
      </c>
      <c r="E664" s="1" t="s">
        <v>12</v>
      </c>
      <c r="F664" s="1">
        <v>60</v>
      </c>
      <c r="G664" s="1">
        <v>75</v>
      </c>
      <c r="H664" s="1">
        <v>70</v>
      </c>
      <c r="I664">
        <f t="shared" si="14"/>
        <v>205</v>
      </c>
    </row>
    <row r="665" spans="1:9" ht="13.2" hidden="1" x14ac:dyDescent="0.25">
      <c r="A665" s="1" t="s">
        <v>8</v>
      </c>
      <c r="B665" s="1" t="s">
        <v>13</v>
      </c>
      <c r="C665" s="1" t="s">
        <v>16</v>
      </c>
      <c r="D665" s="1" t="s">
        <v>23</v>
      </c>
      <c r="E665" s="1" t="s">
        <v>12</v>
      </c>
      <c r="F665" s="1">
        <v>55</v>
      </c>
      <c r="G665" s="1">
        <v>73</v>
      </c>
      <c r="H665" s="1">
        <v>72</v>
      </c>
      <c r="I665">
        <f t="shared" si="14"/>
        <v>200</v>
      </c>
    </row>
    <row r="666" spans="1:9" ht="13.2" hidden="1" x14ac:dyDescent="0.25">
      <c r="A666" s="1" t="s">
        <v>19</v>
      </c>
      <c r="B666" s="1" t="s">
        <v>9</v>
      </c>
      <c r="C666" s="1" t="s">
        <v>14</v>
      </c>
      <c r="D666" s="1" t="s">
        <v>11</v>
      </c>
      <c r="E666" s="1" t="s">
        <v>12</v>
      </c>
      <c r="F666" s="1">
        <v>43</v>
      </c>
      <c r="G666" s="1">
        <v>37</v>
      </c>
      <c r="H666" s="1">
        <v>31</v>
      </c>
      <c r="I666">
        <f t="shared" si="14"/>
        <v>111</v>
      </c>
    </row>
    <row r="667" spans="1:9" ht="13.2" hidden="1" x14ac:dyDescent="0.25">
      <c r="A667" s="1" t="s">
        <v>19</v>
      </c>
      <c r="B667" s="1" t="s">
        <v>13</v>
      </c>
      <c r="C667" s="1" t="s">
        <v>16</v>
      </c>
      <c r="D667" s="1" t="s">
        <v>11</v>
      </c>
      <c r="E667" s="1" t="s">
        <v>17</v>
      </c>
      <c r="F667" s="1">
        <v>94</v>
      </c>
      <c r="G667" s="1">
        <v>85</v>
      </c>
      <c r="H667" s="1">
        <v>87</v>
      </c>
      <c r="I667">
        <f t="shared" si="14"/>
        <v>266</v>
      </c>
    </row>
    <row r="668" spans="1:9" ht="13.2" hidden="1" x14ac:dyDescent="0.25">
      <c r="A668" s="1" t="s">
        <v>19</v>
      </c>
      <c r="B668" s="1" t="s">
        <v>18</v>
      </c>
      <c r="C668" s="1" t="s">
        <v>10</v>
      </c>
      <c r="D668" s="1" t="s">
        <v>11</v>
      </c>
      <c r="E668" s="1" t="s">
        <v>12</v>
      </c>
      <c r="F668" s="1">
        <v>55</v>
      </c>
      <c r="G668" s="1">
        <v>59</v>
      </c>
      <c r="H668" s="1">
        <v>53</v>
      </c>
      <c r="I668">
        <f t="shared" si="14"/>
        <v>167</v>
      </c>
    </row>
    <row r="669" spans="1:9" ht="13.2" hidden="1" x14ac:dyDescent="0.25">
      <c r="A669" s="1" t="s">
        <v>8</v>
      </c>
      <c r="B669" s="1" t="s">
        <v>13</v>
      </c>
      <c r="C669" s="1" t="s">
        <v>20</v>
      </c>
      <c r="D669" s="1" t="s">
        <v>11</v>
      </c>
      <c r="E669" s="1" t="s">
        <v>12</v>
      </c>
      <c r="F669" s="1">
        <v>86</v>
      </c>
      <c r="G669" s="1">
        <v>93</v>
      </c>
      <c r="H669" s="1">
        <v>93</v>
      </c>
      <c r="I669">
        <f t="shared" si="14"/>
        <v>272</v>
      </c>
    </row>
    <row r="670" spans="1:9" ht="13.2" hidden="1" x14ac:dyDescent="0.25">
      <c r="A670" s="1" t="s">
        <v>8</v>
      </c>
      <c r="B670" s="1" t="s">
        <v>13</v>
      </c>
      <c r="C670" s="1" t="s">
        <v>16</v>
      </c>
      <c r="D670" s="1" t="s">
        <v>23</v>
      </c>
      <c r="E670" s="1" t="s">
        <v>12</v>
      </c>
      <c r="F670" s="1">
        <v>56</v>
      </c>
      <c r="G670" s="1">
        <v>67</v>
      </c>
      <c r="H670" s="1">
        <v>70</v>
      </c>
      <c r="I670">
        <f t="shared" si="14"/>
        <v>193</v>
      </c>
    </row>
    <row r="671" spans="1:9" ht="13.2" hidden="1" x14ac:dyDescent="0.25">
      <c r="A671" s="1" t="s">
        <v>19</v>
      </c>
      <c r="B671" s="1" t="s">
        <v>13</v>
      </c>
      <c r="C671" s="1" t="s">
        <v>14</v>
      </c>
      <c r="D671" s="1" t="s">
        <v>11</v>
      </c>
      <c r="E671" s="1" t="s">
        <v>17</v>
      </c>
      <c r="F671" s="1">
        <v>88</v>
      </c>
      <c r="G671" s="1">
        <v>90</v>
      </c>
      <c r="H671" s="1">
        <v>85</v>
      </c>
      <c r="I671">
        <f t="shared" si="14"/>
        <v>263</v>
      </c>
    </row>
    <row r="672" spans="1:9" ht="13.2" hidden="1" x14ac:dyDescent="0.25">
      <c r="A672" s="1" t="s">
        <v>8</v>
      </c>
      <c r="B672" s="1" t="s">
        <v>21</v>
      </c>
      <c r="C672" s="1" t="s">
        <v>16</v>
      </c>
      <c r="D672" s="1" t="s">
        <v>11</v>
      </c>
      <c r="E672" s="1" t="s">
        <v>12</v>
      </c>
      <c r="F672" s="1">
        <v>92</v>
      </c>
      <c r="G672" s="1">
        <v>95</v>
      </c>
      <c r="H672" s="1">
        <v>90</v>
      </c>
      <c r="I672">
        <f t="shared" si="14"/>
        <v>277</v>
      </c>
    </row>
    <row r="673" spans="1:9" ht="13.2" hidden="1" x14ac:dyDescent="0.25">
      <c r="A673" s="1" t="s">
        <v>8</v>
      </c>
      <c r="B673" s="1" t="s">
        <v>18</v>
      </c>
      <c r="C673" s="1" t="s">
        <v>14</v>
      </c>
      <c r="D673" s="1" t="s">
        <v>11</v>
      </c>
      <c r="E673" s="1" t="s">
        <v>17</v>
      </c>
      <c r="F673" s="1">
        <v>64</v>
      </c>
      <c r="G673" s="1">
        <v>82</v>
      </c>
      <c r="H673" s="1">
        <v>77</v>
      </c>
      <c r="I673">
        <f t="shared" si="14"/>
        <v>223</v>
      </c>
    </row>
    <row r="674" spans="1:9" ht="13.2" hidden="1" x14ac:dyDescent="0.25">
      <c r="A674" s="1" t="s">
        <v>19</v>
      </c>
      <c r="B674" s="1" t="s">
        <v>21</v>
      </c>
      <c r="C674" s="1" t="s">
        <v>22</v>
      </c>
      <c r="D674" s="1" t="s">
        <v>11</v>
      </c>
      <c r="E674" s="1" t="s">
        <v>12</v>
      </c>
      <c r="F674" s="1">
        <v>68</v>
      </c>
      <c r="G674" s="1">
        <v>68</v>
      </c>
      <c r="H674" s="1">
        <v>60</v>
      </c>
      <c r="I674">
        <f t="shared" si="14"/>
        <v>196</v>
      </c>
    </row>
    <row r="675" spans="1:9" ht="13.2" hidden="1" x14ac:dyDescent="0.25">
      <c r="A675" s="1" t="s">
        <v>8</v>
      </c>
      <c r="B675" s="1" t="s">
        <v>18</v>
      </c>
      <c r="C675" s="1" t="s">
        <v>16</v>
      </c>
      <c r="D675" s="1" t="s">
        <v>23</v>
      </c>
      <c r="E675" s="1" t="s">
        <v>17</v>
      </c>
      <c r="F675" s="1">
        <v>52</v>
      </c>
      <c r="G675" s="1">
        <v>72</v>
      </c>
      <c r="H675" s="1">
        <v>67</v>
      </c>
      <c r="I675">
        <f t="shared" si="14"/>
        <v>191</v>
      </c>
    </row>
    <row r="676" spans="1:9" ht="13.2" hidden="1" x14ac:dyDescent="0.25">
      <c r="A676" s="1" t="s">
        <v>8</v>
      </c>
      <c r="B676" s="1" t="s">
        <v>13</v>
      </c>
      <c r="C676" s="1" t="s">
        <v>14</v>
      </c>
      <c r="D676" s="1" t="s">
        <v>23</v>
      </c>
      <c r="E676" s="1" t="s">
        <v>17</v>
      </c>
      <c r="F676" s="1">
        <v>82</v>
      </c>
      <c r="G676" s="1">
        <v>98</v>
      </c>
      <c r="H676" s="1">
        <v>96</v>
      </c>
      <c r="I676">
        <f t="shared" si="14"/>
        <v>276</v>
      </c>
    </row>
    <row r="677" spans="1:9" ht="13.2" hidden="1" x14ac:dyDescent="0.25">
      <c r="A677" s="1" t="s">
        <v>8</v>
      </c>
      <c r="B677" s="1" t="s">
        <v>13</v>
      </c>
      <c r="C677" s="1" t="s">
        <v>10</v>
      </c>
      <c r="D677" s="1" t="s">
        <v>11</v>
      </c>
      <c r="E677" s="1" t="s">
        <v>12</v>
      </c>
      <c r="F677" s="1">
        <v>85</v>
      </c>
      <c r="G677" s="1">
        <v>96</v>
      </c>
      <c r="H677" s="1">
        <v>95</v>
      </c>
      <c r="I677">
        <f t="shared" si="14"/>
        <v>276</v>
      </c>
    </row>
    <row r="678" spans="1:9" ht="13.2" hidden="1" x14ac:dyDescent="0.25">
      <c r="A678" s="1" t="s">
        <v>19</v>
      </c>
      <c r="B678" s="1" t="s">
        <v>18</v>
      </c>
      <c r="C678" s="1" t="s">
        <v>16</v>
      </c>
      <c r="D678" s="1" t="s">
        <v>11</v>
      </c>
      <c r="E678" s="1" t="s">
        <v>12</v>
      </c>
      <c r="F678" s="1">
        <v>94</v>
      </c>
      <c r="G678" s="1">
        <v>84</v>
      </c>
      <c r="H678" s="1">
        <v>79</v>
      </c>
      <c r="I678">
        <f t="shared" si="14"/>
        <v>257</v>
      </c>
    </row>
    <row r="679" spans="1:9" ht="13.2" hidden="1" x14ac:dyDescent="0.25">
      <c r="A679" s="1" t="s">
        <v>8</v>
      </c>
      <c r="B679" s="1" t="s">
        <v>15</v>
      </c>
      <c r="C679" s="1" t="s">
        <v>10</v>
      </c>
      <c r="D679" s="1" t="s">
        <v>11</v>
      </c>
      <c r="E679" s="1" t="s">
        <v>12</v>
      </c>
      <c r="F679" s="1">
        <v>54</v>
      </c>
      <c r="G679" s="1">
        <v>65</v>
      </c>
      <c r="H679" s="1">
        <v>62</v>
      </c>
      <c r="I679">
        <f t="shared" si="14"/>
        <v>181</v>
      </c>
    </row>
    <row r="680" spans="1:9" ht="13.2" hidden="1" x14ac:dyDescent="0.25">
      <c r="A680" s="1" t="s">
        <v>19</v>
      </c>
      <c r="B680" s="1" t="s">
        <v>9</v>
      </c>
      <c r="C680" s="1" t="s">
        <v>20</v>
      </c>
      <c r="D680" s="1" t="s">
        <v>23</v>
      </c>
      <c r="E680" s="1" t="s">
        <v>12</v>
      </c>
      <c r="F680" s="1">
        <v>28</v>
      </c>
      <c r="G680" s="1">
        <v>32</v>
      </c>
      <c r="H680" s="1">
        <v>30</v>
      </c>
      <c r="I680">
        <f t="shared" si="14"/>
        <v>90</v>
      </c>
    </row>
    <row r="681" spans="1:9" ht="13.2" hidden="1" x14ac:dyDescent="0.25">
      <c r="A681" s="1" t="s">
        <v>8</v>
      </c>
      <c r="B681" s="1" t="s">
        <v>18</v>
      </c>
      <c r="C681" s="1" t="s">
        <v>22</v>
      </c>
      <c r="D681" s="1" t="s">
        <v>23</v>
      </c>
      <c r="E681" s="1" t="s">
        <v>17</v>
      </c>
      <c r="F681" s="1">
        <v>36</v>
      </c>
      <c r="G681" s="1">
        <v>56</v>
      </c>
      <c r="H681" s="1">
        <v>59</v>
      </c>
      <c r="I681">
        <f t="shared" si="14"/>
        <v>151</v>
      </c>
    </row>
    <row r="682" spans="1:9" ht="13.2" hidden="1" x14ac:dyDescent="0.25">
      <c r="A682" s="1" t="s">
        <v>19</v>
      </c>
      <c r="B682" s="1" t="s">
        <v>13</v>
      </c>
      <c r="C682" s="1" t="s">
        <v>20</v>
      </c>
      <c r="D682" s="1" t="s">
        <v>11</v>
      </c>
      <c r="E682" s="1" t="s">
        <v>12</v>
      </c>
      <c r="F682" s="1">
        <v>78</v>
      </c>
      <c r="G682" s="1">
        <v>80</v>
      </c>
      <c r="H682" s="1">
        <v>80</v>
      </c>
      <c r="I682">
        <f t="shared" si="14"/>
        <v>238</v>
      </c>
    </row>
    <row r="683" spans="1:9" ht="13.2" hidden="1" x14ac:dyDescent="0.25">
      <c r="A683" s="1" t="s">
        <v>19</v>
      </c>
      <c r="B683" s="1" t="s">
        <v>9</v>
      </c>
      <c r="C683" s="1" t="s">
        <v>20</v>
      </c>
      <c r="D683" s="1" t="s">
        <v>11</v>
      </c>
      <c r="E683" s="1" t="s">
        <v>17</v>
      </c>
      <c r="F683" s="1">
        <v>80</v>
      </c>
      <c r="G683" s="1">
        <v>77</v>
      </c>
      <c r="H683" s="1">
        <v>79</v>
      </c>
      <c r="I683">
        <f t="shared" si="14"/>
        <v>236</v>
      </c>
    </row>
    <row r="684" spans="1:9" ht="13.2" hidden="1" x14ac:dyDescent="0.25">
      <c r="A684" s="1" t="s">
        <v>8</v>
      </c>
      <c r="B684" s="1" t="s">
        <v>21</v>
      </c>
      <c r="C684" s="1" t="s">
        <v>22</v>
      </c>
      <c r="D684" s="1" t="s">
        <v>11</v>
      </c>
      <c r="E684" s="1" t="s">
        <v>12</v>
      </c>
      <c r="F684" s="1">
        <v>75</v>
      </c>
      <c r="G684" s="1">
        <v>79</v>
      </c>
      <c r="H684" s="1">
        <v>79</v>
      </c>
      <c r="I684">
        <f t="shared" si="14"/>
        <v>233</v>
      </c>
    </row>
    <row r="685" spans="1:9" ht="13.2" hidden="1" x14ac:dyDescent="0.25">
      <c r="A685" s="1" t="s">
        <v>8</v>
      </c>
      <c r="B685" s="1" t="s">
        <v>13</v>
      </c>
      <c r="C685" s="1" t="s">
        <v>14</v>
      </c>
      <c r="D685" s="1" t="s">
        <v>23</v>
      </c>
      <c r="E685" s="1" t="s">
        <v>12</v>
      </c>
      <c r="F685" s="1">
        <v>74</v>
      </c>
      <c r="G685" s="1">
        <v>92</v>
      </c>
      <c r="H685" s="1">
        <v>88</v>
      </c>
      <c r="I685">
        <f t="shared" si="14"/>
        <v>254</v>
      </c>
    </row>
    <row r="686" spans="1:9" ht="13.2" hidden="1" x14ac:dyDescent="0.25">
      <c r="A686" s="1" t="s">
        <v>8</v>
      </c>
      <c r="B686" s="1" t="s">
        <v>13</v>
      </c>
      <c r="C686" s="1" t="s">
        <v>10</v>
      </c>
      <c r="D686" s="1" t="s">
        <v>11</v>
      </c>
      <c r="E686" s="1" t="s">
        <v>12</v>
      </c>
      <c r="F686" s="1">
        <v>67</v>
      </c>
      <c r="G686" s="1">
        <v>79</v>
      </c>
      <c r="H686" s="1">
        <v>75</v>
      </c>
      <c r="I686">
        <f t="shared" si="14"/>
        <v>221</v>
      </c>
    </row>
    <row r="687" spans="1:9" ht="13.2" hidden="1" x14ac:dyDescent="0.25">
      <c r="A687" s="1" t="s">
        <v>19</v>
      </c>
      <c r="B687" s="1" t="s">
        <v>9</v>
      </c>
      <c r="C687" s="1" t="s">
        <v>24</v>
      </c>
      <c r="D687" s="1" t="s">
        <v>11</v>
      </c>
      <c r="E687" s="1" t="s">
        <v>17</v>
      </c>
      <c r="F687" s="1">
        <v>92</v>
      </c>
      <c r="G687" s="1">
        <v>86</v>
      </c>
      <c r="H687" s="1">
        <v>90</v>
      </c>
      <c r="I687">
        <f t="shared" si="14"/>
        <v>268</v>
      </c>
    </row>
    <row r="688" spans="1:9" ht="13.2" hidden="1" x14ac:dyDescent="0.25">
      <c r="A688" s="1" t="s">
        <v>19</v>
      </c>
      <c r="B688" s="1" t="s">
        <v>13</v>
      </c>
      <c r="C688" s="1" t="s">
        <v>24</v>
      </c>
      <c r="D688" s="1" t="s">
        <v>11</v>
      </c>
      <c r="E688" s="1" t="s">
        <v>12</v>
      </c>
      <c r="F688" s="1">
        <v>73</v>
      </c>
      <c r="G688" s="1">
        <v>77</v>
      </c>
      <c r="H688" s="1">
        <v>75</v>
      </c>
      <c r="I688">
        <f t="shared" si="14"/>
        <v>225</v>
      </c>
    </row>
    <row r="689" spans="1:9" ht="13.2" hidden="1" x14ac:dyDescent="0.25">
      <c r="A689" s="1" t="s">
        <v>19</v>
      </c>
      <c r="B689" s="1" t="s">
        <v>18</v>
      </c>
      <c r="C689" s="1" t="s">
        <v>22</v>
      </c>
      <c r="D689" s="1" t="s">
        <v>23</v>
      </c>
      <c r="E689" s="1" t="s">
        <v>12</v>
      </c>
      <c r="F689" s="1">
        <v>53</v>
      </c>
      <c r="G689" s="1">
        <v>58</v>
      </c>
      <c r="H689" s="1">
        <v>47</v>
      </c>
      <c r="I689">
        <f t="shared" si="14"/>
        <v>158</v>
      </c>
    </row>
    <row r="690" spans="1:9" ht="13.2" hidden="1" x14ac:dyDescent="0.25">
      <c r="A690" s="1" t="s">
        <v>19</v>
      </c>
      <c r="B690" s="1" t="s">
        <v>13</v>
      </c>
      <c r="C690" s="1" t="s">
        <v>10</v>
      </c>
      <c r="D690" s="1" t="s">
        <v>11</v>
      </c>
      <c r="E690" s="1" t="s">
        <v>12</v>
      </c>
      <c r="F690" s="1">
        <v>46</v>
      </c>
      <c r="G690" s="1">
        <v>39</v>
      </c>
      <c r="H690" s="1">
        <v>41</v>
      </c>
      <c r="I690">
        <f t="shared" si="14"/>
        <v>126</v>
      </c>
    </row>
    <row r="691" spans="1:9" ht="13.2" hidden="1" x14ac:dyDescent="0.25">
      <c r="A691" s="1" t="s">
        <v>8</v>
      </c>
      <c r="B691" s="1" t="s">
        <v>13</v>
      </c>
      <c r="C691" s="1" t="s">
        <v>10</v>
      </c>
      <c r="D691" s="1" t="s">
        <v>23</v>
      </c>
      <c r="E691" s="1" t="s">
        <v>12</v>
      </c>
      <c r="F691" s="1">
        <v>54</v>
      </c>
      <c r="G691" s="1">
        <v>54</v>
      </c>
      <c r="H691" s="1">
        <v>51</v>
      </c>
      <c r="I691">
        <f t="shared" si="14"/>
        <v>159</v>
      </c>
    </row>
    <row r="692" spans="1:9" ht="13.2" hidden="1" x14ac:dyDescent="0.25">
      <c r="A692" s="1" t="s">
        <v>8</v>
      </c>
      <c r="B692" s="1" t="s">
        <v>18</v>
      </c>
      <c r="C692" s="1" t="s">
        <v>22</v>
      </c>
      <c r="D692" s="1" t="s">
        <v>11</v>
      </c>
      <c r="E692" s="1" t="s">
        <v>12</v>
      </c>
      <c r="F692" s="1">
        <v>72</v>
      </c>
      <c r="G692" s="1">
        <v>84</v>
      </c>
      <c r="H692" s="1">
        <v>79</v>
      </c>
      <c r="I692">
        <f t="shared" si="14"/>
        <v>235</v>
      </c>
    </row>
    <row r="693" spans="1:9" ht="13.2" hidden="1" x14ac:dyDescent="0.25">
      <c r="A693" s="1" t="s">
        <v>19</v>
      </c>
      <c r="B693" s="1" t="s">
        <v>18</v>
      </c>
      <c r="C693" s="1" t="s">
        <v>10</v>
      </c>
      <c r="D693" s="1" t="s">
        <v>23</v>
      </c>
      <c r="E693" s="1" t="s">
        <v>12</v>
      </c>
      <c r="F693" s="1">
        <v>63</v>
      </c>
      <c r="G693" s="1">
        <v>63</v>
      </c>
      <c r="H693" s="1">
        <v>62</v>
      </c>
      <c r="I693">
        <f t="shared" si="14"/>
        <v>188</v>
      </c>
    </row>
    <row r="694" spans="1:9" ht="13.2" hidden="1" x14ac:dyDescent="0.25">
      <c r="A694" s="1" t="s">
        <v>19</v>
      </c>
      <c r="B694" s="1" t="s">
        <v>21</v>
      </c>
      <c r="C694" s="1" t="s">
        <v>14</v>
      </c>
      <c r="D694" s="1" t="s">
        <v>11</v>
      </c>
      <c r="E694" s="1" t="s">
        <v>17</v>
      </c>
      <c r="F694" s="1">
        <v>90</v>
      </c>
      <c r="G694" s="1">
        <v>91</v>
      </c>
      <c r="H694" s="1">
        <v>94</v>
      </c>
      <c r="I694">
        <f t="shared" si="14"/>
        <v>275</v>
      </c>
    </row>
    <row r="695" spans="1:9" ht="13.2" hidden="1" x14ac:dyDescent="0.25">
      <c r="A695" s="1" t="s">
        <v>19</v>
      </c>
      <c r="B695" s="1" t="s">
        <v>18</v>
      </c>
      <c r="C695" s="1" t="s">
        <v>16</v>
      </c>
      <c r="D695" s="1" t="s">
        <v>23</v>
      </c>
      <c r="E695" s="1" t="s">
        <v>17</v>
      </c>
      <c r="F695" s="1">
        <v>83</v>
      </c>
      <c r="G695" s="1">
        <v>77</v>
      </c>
      <c r="H695" s="1">
        <v>81</v>
      </c>
      <c r="I695">
        <f t="shared" si="14"/>
        <v>241</v>
      </c>
    </row>
    <row r="696" spans="1:9" ht="13.2" hidden="1" x14ac:dyDescent="0.25">
      <c r="A696" s="1" t="s">
        <v>8</v>
      </c>
      <c r="B696" s="1" t="s">
        <v>13</v>
      </c>
      <c r="C696" s="1" t="s">
        <v>20</v>
      </c>
      <c r="D696" s="1" t="s">
        <v>11</v>
      </c>
      <c r="E696" s="1" t="s">
        <v>17</v>
      </c>
      <c r="F696" s="1">
        <v>85</v>
      </c>
      <c r="G696" s="1">
        <v>100</v>
      </c>
      <c r="H696" s="1">
        <v>100</v>
      </c>
      <c r="I696">
        <f t="shared" si="14"/>
        <v>285</v>
      </c>
    </row>
    <row r="697" spans="1:9" ht="13.2" hidden="1" x14ac:dyDescent="0.25">
      <c r="A697" s="1" t="s">
        <v>19</v>
      </c>
      <c r="B697" s="1" t="s">
        <v>21</v>
      </c>
      <c r="C697" s="1" t="s">
        <v>16</v>
      </c>
      <c r="D697" s="1" t="s">
        <v>23</v>
      </c>
      <c r="E697" s="1" t="s">
        <v>17</v>
      </c>
      <c r="F697" s="1">
        <v>41</v>
      </c>
      <c r="G697" s="1">
        <v>40</v>
      </c>
      <c r="H697" s="1">
        <v>46</v>
      </c>
      <c r="I697">
        <f t="shared" si="14"/>
        <v>127</v>
      </c>
    </row>
    <row r="698" spans="1:9" ht="13.2" hidden="1" x14ac:dyDescent="0.25">
      <c r="A698" s="1" t="s">
        <v>8</v>
      </c>
      <c r="B698" s="1" t="s">
        <v>21</v>
      </c>
      <c r="C698" s="1" t="s">
        <v>22</v>
      </c>
      <c r="D698" s="1" t="s">
        <v>11</v>
      </c>
      <c r="E698" s="1" t="s">
        <v>12</v>
      </c>
      <c r="F698" s="1">
        <v>92</v>
      </c>
      <c r="G698" s="1">
        <v>91</v>
      </c>
      <c r="H698" s="1">
        <v>91</v>
      </c>
      <c r="I698">
        <f t="shared" si="14"/>
        <v>274</v>
      </c>
    </row>
    <row r="699" spans="1:9" ht="13.2" hidden="1" x14ac:dyDescent="0.25">
      <c r="A699" s="1" t="s">
        <v>8</v>
      </c>
      <c r="B699" s="1" t="s">
        <v>9</v>
      </c>
      <c r="C699" s="1" t="s">
        <v>16</v>
      </c>
      <c r="D699" s="1" t="s">
        <v>11</v>
      </c>
      <c r="E699" s="1" t="s">
        <v>17</v>
      </c>
      <c r="F699" s="1">
        <v>66</v>
      </c>
      <c r="G699" s="1">
        <v>88</v>
      </c>
      <c r="H699" s="1">
        <v>80</v>
      </c>
      <c r="I699">
        <f t="shared" si="14"/>
        <v>234</v>
      </c>
    </row>
    <row r="700" spans="1:9" ht="13.2" hidden="1" x14ac:dyDescent="0.25">
      <c r="A700" s="1" t="s">
        <v>19</v>
      </c>
      <c r="B700" s="1" t="s">
        <v>13</v>
      </c>
      <c r="C700" s="1" t="s">
        <v>22</v>
      </c>
      <c r="D700" s="1" t="s">
        <v>23</v>
      </c>
      <c r="E700" s="1" t="s">
        <v>17</v>
      </c>
      <c r="F700" s="1">
        <v>69</v>
      </c>
      <c r="G700" s="1">
        <v>76</v>
      </c>
      <c r="H700" s="1">
        <v>77</v>
      </c>
      <c r="I700">
        <f t="shared" si="14"/>
        <v>222</v>
      </c>
    </row>
    <row r="701" spans="1:9" ht="13.2" hidden="1" x14ac:dyDescent="0.25">
      <c r="A701" s="1" t="s">
        <v>8</v>
      </c>
      <c r="B701" s="1" t="s">
        <v>9</v>
      </c>
      <c r="C701" s="1" t="s">
        <v>20</v>
      </c>
      <c r="D701" s="1" t="s">
        <v>23</v>
      </c>
      <c r="E701" s="1" t="s">
        <v>12</v>
      </c>
      <c r="F701" s="1">
        <v>41</v>
      </c>
      <c r="G701" s="1">
        <v>61</v>
      </c>
      <c r="H701" s="1">
        <v>57</v>
      </c>
      <c r="I701">
        <f t="shared" si="14"/>
        <v>159</v>
      </c>
    </row>
    <row r="702" spans="1:9" ht="13.2" hidden="1" x14ac:dyDescent="0.25">
      <c r="A702" s="1" t="s">
        <v>19</v>
      </c>
      <c r="B702" s="1" t="s">
        <v>15</v>
      </c>
      <c r="C702" s="1" t="s">
        <v>20</v>
      </c>
      <c r="D702" s="1" t="s">
        <v>11</v>
      </c>
      <c r="E702" s="1" t="s">
        <v>17</v>
      </c>
      <c r="F702" s="1">
        <v>61</v>
      </c>
      <c r="G702" s="1">
        <v>65</v>
      </c>
      <c r="H702" s="1">
        <v>60</v>
      </c>
      <c r="I702">
        <f t="shared" si="14"/>
        <v>186</v>
      </c>
    </row>
    <row r="703" spans="1:9" ht="13.2" hidden="1" x14ac:dyDescent="0.25">
      <c r="A703" s="1" t="s">
        <v>8</v>
      </c>
      <c r="B703" s="1" t="s">
        <v>21</v>
      </c>
      <c r="C703" s="1" t="s">
        <v>10</v>
      </c>
      <c r="D703" s="1" t="s">
        <v>23</v>
      </c>
      <c r="E703" s="1" t="s">
        <v>12</v>
      </c>
      <c r="F703" s="1">
        <v>38</v>
      </c>
      <c r="G703" s="1">
        <v>51</v>
      </c>
      <c r="H703" s="1">
        <v>47</v>
      </c>
      <c r="I703">
        <f t="shared" si="14"/>
        <v>136</v>
      </c>
    </row>
    <row r="704" spans="1:9" ht="13.2" hidden="1" x14ac:dyDescent="0.25">
      <c r="A704" s="1" t="s">
        <v>8</v>
      </c>
      <c r="B704" s="1" t="s">
        <v>13</v>
      </c>
      <c r="C704" s="1" t="s">
        <v>22</v>
      </c>
      <c r="D704" s="1" t="s">
        <v>11</v>
      </c>
      <c r="E704" s="1" t="s">
        <v>17</v>
      </c>
      <c r="F704" s="1">
        <v>72</v>
      </c>
      <c r="G704" s="1">
        <v>75</v>
      </c>
      <c r="H704" s="1">
        <v>81</v>
      </c>
      <c r="I704">
        <f t="shared" si="14"/>
        <v>228</v>
      </c>
    </row>
    <row r="705" spans="1:9" ht="13.2" hidden="1" x14ac:dyDescent="0.25">
      <c r="A705" s="1" t="s">
        <v>19</v>
      </c>
      <c r="B705" s="1" t="s">
        <v>9</v>
      </c>
      <c r="C705" s="1" t="s">
        <v>14</v>
      </c>
      <c r="D705" s="1" t="s">
        <v>23</v>
      </c>
      <c r="E705" s="1" t="s">
        <v>17</v>
      </c>
      <c r="F705" s="1">
        <v>81</v>
      </c>
      <c r="G705" s="1">
        <v>73</v>
      </c>
      <c r="H705" s="1">
        <v>75</v>
      </c>
      <c r="I705">
        <f t="shared" si="14"/>
        <v>229</v>
      </c>
    </row>
    <row r="706" spans="1:9" ht="13.2" hidden="1" x14ac:dyDescent="0.25">
      <c r="A706" s="1" t="s">
        <v>19</v>
      </c>
      <c r="B706" s="1" t="s">
        <v>18</v>
      </c>
      <c r="C706" s="1" t="s">
        <v>14</v>
      </c>
      <c r="D706" s="1" t="s">
        <v>23</v>
      </c>
      <c r="E706" s="1" t="s">
        <v>12</v>
      </c>
      <c r="F706" s="1">
        <v>60</v>
      </c>
      <c r="G706" s="1">
        <v>55</v>
      </c>
      <c r="H706" s="1">
        <v>54</v>
      </c>
      <c r="I706">
        <f t="shared" si="14"/>
        <v>169</v>
      </c>
    </row>
    <row r="707" spans="1:9" ht="13.2" hidden="1" x14ac:dyDescent="0.25">
      <c r="A707" s="1" t="s">
        <v>19</v>
      </c>
      <c r="B707" s="1" t="s">
        <v>21</v>
      </c>
      <c r="C707" s="1" t="s">
        <v>24</v>
      </c>
      <c r="D707" s="1" t="s">
        <v>11</v>
      </c>
      <c r="E707" s="1" t="s">
        <v>17</v>
      </c>
      <c r="F707" s="1">
        <v>89</v>
      </c>
      <c r="G707" s="1">
        <v>83</v>
      </c>
      <c r="H707" s="1">
        <v>79</v>
      </c>
      <c r="I707">
        <f t="shared" ref="I707:I770" si="15">SUM(F707:H707)</f>
        <v>251</v>
      </c>
    </row>
    <row r="708" spans="1:9" ht="13.2" hidden="1" x14ac:dyDescent="0.25">
      <c r="A708" s="1" t="s">
        <v>8</v>
      </c>
      <c r="B708" s="1" t="s">
        <v>13</v>
      </c>
      <c r="C708" s="1" t="s">
        <v>14</v>
      </c>
      <c r="D708" s="1" t="s">
        <v>11</v>
      </c>
      <c r="E708" s="1" t="s">
        <v>12</v>
      </c>
      <c r="F708" s="1">
        <v>74</v>
      </c>
      <c r="G708" s="1">
        <v>77</v>
      </c>
      <c r="H708" s="1">
        <v>75</v>
      </c>
      <c r="I708">
        <f t="shared" si="15"/>
        <v>226</v>
      </c>
    </row>
    <row r="709" spans="1:9" ht="13.2" hidden="1" x14ac:dyDescent="0.25">
      <c r="A709" s="1" t="s">
        <v>19</v>
      </c>
      <c r="B709" s="1" t="s">
        <v>13</v>
      </c>
      <c r="C709" s="1" t="s">
        <v>10</v>
      </c>
      <c r="D709" s="1" t="s">
        <v>11</v>
      </c>
      <c r="E709" s="1" t="s">
        <v>17</v>
      </c>
      <c r="F709" s="1">
        <v>84</v>
      </c>
      <c r="G709" s="1">
        <v>86</v>
      </c>
      <c r="H709" s="1">
        <v>80</v>
      </c>
      <c r="I709">
        <f t="shared" si="15"/>
        <v>250</v>
      </c>
    </row>
    <row r="710" spans="1:9" ht="13.2" hidden="1" x14ac:dyDescent="0.25">
      <c r="A710" s="1" t="s">
        <v>19</v>
      </c>
      <c r="B710" s="1" t="s">
        <v>9</v>
      </c>
      <c r="C710" s="1" t="s">
        <v>22</v>
      </c>
      <c r="D710" s="1" t="s">
        <v>11</v>
      </c>
      <c r="E710" s="1" t="s">
        <v>12</v>
      </c>
      <c r="F710" s="1">
        <v>61</v>
      </c>
      <c r="G710" s="1">
        <v>55</v>
      </c>
      <c r="H710" s="1">
        <v>49</v>
      </c>
      <c r="I710">
        <f t="shared" si="15"/>
        <v>165</v>
      </c>
    </row>
    <row r="711" spans="1:9" ht="13.2" hidden="1" x14ac:dyDescent="0.25">
      <c r="A711" s="1" t="s">
        <v>8</v>
      </c>
      <c r="B711" s="1" t="s">
        <v>18</v>
      </c>
      <c r="C711" s="1" t="s">
        <v>10</v>
      </c>
      <c r="D711" s="1" t="s">
        <v>11</v>
      </c>
      <c r="E711" s="1" t="s">
        <v>17</v>
      </c>
      <c r="F711" s="1">
        <v>63</v>
      </c>
      <c r="G711" s="1">
        <v>71</v>
      </c>
      <c r="H711" s="1">
        <v>75</v>
      </c>
      <c r="I711">
        <f t="shared" si="15"/>
        <v>209</v>
      </c>
    </row>
    <row r="712" spans="1:9" ht="13.2" hidden="1" x14ac:dyDescent="0.25">
      <c r="A712" s="1" t="s">
        <v>19</v>
      </c>
      <c r="B712" s="1" t="s">
        <v>9</v>
      </c>
      <c r="C712" s="1" t="s">
        <v>10</v>
      </c>
      <c r="D712" s="1" t="s">
        <v>11</v>
      </c>
      <c r="E712" s="1" t="s">
        <v>12</v>
      </c>
      <c r="F712" s="1">
        <v>54</v>
      </c>
      <c r="G712" s="1">
        <v>58</v>
      </c>
      <c r="H712" s="1">
        <v>55</v>
      </c>
      <c r="I712">
        <f t="shared" si="15"/>
        <v>167</v>
      </c>
    </row>
    <row r="713" spans="1:9" ht="13.2" hidden="1" x14ac:dyDescent="0.25">
      <c r="A713" s="1" t="s">
        <v>19</v>
      </c>
      <c r="B713" s="1" t="s">
        <v>13</v>
      </c>
      <c r="C713" s="1" t="s">
        <v>20</v>
      </c>
      <c r="D713" s="1" t="s">
        <v>23</v>
      </c>
      <c r="E713" s="1" t="s">
        <v>12</v>
      </c>
      <c r="F713" s="1">
        <v>78</v>
      </c>
      <c r="G713" s="1">
        <v>78</v>
      </c>
      <c r="H713" s="1">
        <v>79</v>
      </c>
      <c r="I713">
        <f t="shared" si="15"/>
        <v>235</v>
      </c>
    </row>
    <row r="714" spans="1:9" ht="13.2" hidden="1" x14ac:dyDescent="0.25">
      <c r="A714" s="1" t="s">
        <v>19</v>
      </c>
      <c r="B714" s="1" t="s">
        <v>18</v>
      </c>
      <c r="C714" s="1" t="s">
        <v>16</v>
      </c>
      <c r="D714" s="1" t="s">
        <v>23</v>
      </c>
      <c r="E714" s="1" t="s">
        <v>12</v>
      </c>
      <c r="F714" s="1">
        <v>73</v>
      </c>
      <c r="G714" s="1">
        <v>63</v>
      </c>
      <c r="H714" s="1">
        <v>61</v>
      </c>
      <c r="I714">
        <f t="shared" si="15"/>
        <v>197</v>
      </c>
    </row>
    <row r="715" spans="1:9" ht="13.2" hidden="1" x14ac:dyDescent="0.25">
      <c r="A715" s="1" t="s">
        <v>19</v>
      </c>
      <c r="B715" s="1" t="s">
        <v>21</v>
      </c>
      <c r="C715" s="1" t="s">
        <v>16</v>
      </c>
      <c r="D715" s="1" t="s">
        <v>23</v>
      </c>
      <c r="E715" s="1" t="s">
        <v>17</v>
      </c>
      <c r="F715" s="1">
        <v>63</v>
      </c>
      <c r="G715" s="1">
        <v>70</v>
      </c>
      <c r="H715" s="1">
        <v>64</v>
      </c>
      <c r="I715">
        <f t="shared" si="15"/>
        <v>197</v>
      </c>
    </row>
    <row r="716" spans="1:9" ht="13.2" hidden="1" x14ac:dyDescent="0.25">
      <c r="A716" s="1" t="s">
        <v>19</v>
      </c>
      <c r="B716" s="1" t="s">
        <v>13</v>
      </c>
      <c r="C716" s="1" t="s">
        <v>10</v>
      </c>
      <c r="D716" s="1" t="s">
        <v>23</v>
      </c>
      <c r="E716" s="1" t="s">
        <v>12</v>
      </c>
      <c r="F716" s="1">
        <v>59</v>
      </c>
      <c r="G716" s="1">
        <v>50</v>
      </c>
      <c r="H716" s="1">
        <v>48</v>
      </c>
      <c r="I716">
        <f t="shared" si="15"/>
        <v>157</v>
      </c>
    </row>
    <row r="717" spans="1:9" ht="13.2" hidden="1" x14ac:dyDescent="0.25">
      <c r="A717" s="1" t="s">
        <v>19</v>
      </c>
      <c r="B717" s="1" t="s">
        <v>18</v>
      </c>
      <c r="C717" s="1" t="s">
        <v>16</v>
      </c>
      <c r="D717" s="1" t="s">
        <v>11</v>
      </c>
      <c r="E717" s="1" t="s">
        <v>17</v>
      </c>
      <c r="F717" s="1">
        <v>89</v>
      </c>
      <c r="G717" s="1">
        <v>91</v>
      </c>
      <c r="H717" s="1">
        <v>96</v>
      </c>
      <c r="I717">
        <f t="shared" si="15"/>
        <v>276</v>
      </c>
    </row>
    <row r="718" spans="1:9" ht="13.2" hidden="1" x14ac:dyDescent="0.25">
      <c r="A718" s="1" t="s">
        <v>19</v>
      </c>
      <c r="B718" s="1" t="s">
        <v>18</v>
      </c>
      <c r="C718" s="1" t="s">
        <v>14</v>
      </c>
      <c r="D718" s="1" t="s">
        <v>11</v>
      </c>
      <c r="E718" s="1" t="s">
        <v>17</v>
      </c>
      <c r="F718" s="1">
        <v>52</v>
      </c>
      <c r="G718" s="1">
        <v>60</v>
      </c>
      <c r="H718" s="1">
        <v>57</v>
      </c>
      <c r="I718">
        <f t="shared" si="15"/>
        <v>169</v>
      </c>
    </row>
    <row r="719" spans="1:9" ht="13.2" hidden="1" x14ac:dyDescent="0.25">
      <c r="A719" s="1" t="s">
        <v>8</v>
      </c>
      <c r="B719" s="1" t="s">
        <v>13</v>
      </c>
      <c r="C719" s="1" t="s">
        <v>22</v>
      </c>
      <c r="D719" s="1" t="s">
        <v>11</v>
      </c>
      <c r="E719" s="1" t="s">
        <v>12</v>
      </c>
      <c r="F719" s="1">
        <v>72</v>
      </c>
      <c r="G719" s="1">
        <v>66</v>
      </c>
      <c r="H719" s="1">
        <v>69</v>
      </c>
      <c r="I719">
        <f t="shared" si="15"/>
        <v>207</v>
      </c>
    </row>
    <row r="720" spans="1:9" ht="13.2" hidden="1" x14ac:dyDescent="0.25">
      <c r="A720" s="1" t="s">
        <v>19</v>
      </c>
      <c r="B720" s="1" t="s">
        <v>9</v>
      </c>
      <c r="C720" s="1" t="s">
        <v>22</v>
      </c>
      <c r="D720" s="1" t="s">
        <v>11</v>
      </c>
      <c r="E720" s="1" t="s">
        <v>17</v>
      </c>
      <c r="F720" s="1">
        <v>60</v>
      </c>
      <c r="G720" s="1">
        <v>52</v>
      </c>
      <c r="H720" s="1">
        <v>58</v>
      </c>
      <c r="I720">
        <f t="shared" si="15"/>
        <v>170</v>
      </c>
    </row>
    <row r="721" spans="1:9" ht="13.2" hidden="1" x14ac:dyDescent="0.25">
      <c r="A721" s="1" t="s">
        <v>8</v>
      </c>
      <c r="B721" s="1" t="s">
        <v>18</v>
      </c>
      <c r="C721" s="1" t="s">
        <v>22</v>
      </c>
      <c r="D721" s="1" t="s">
        <v>11</v>
      </c>
      <c r="E721" s="1" t="s">
        <v>12</v>
      </c>
      <c r="F721" s="1">
        <v>72</v>
      </c>
      <c r="G721" s="1">
        <v>84</v>
      </c>
      <c r="H721" s="1">
        <v>71</v>
      </c>
      <c r="I721">
        <f t="shared" si="15"/>
        <v>227</v>
      </c>
    </row>
    <row r="722" spans="1:9" ht="13.2" hidden="1" x14ac:dyDescent="0.25">
      <c r="A722" s="1" t="s">
        <v>19</v>
      </c>
      <c r="B722" s="1" t="s">
        <v>13</v>
      </c>
      <c r="C722" s="1" t="s">
        <v>10</v>
      </c>
      <c r="D722" s="1" t="s">
        <v>23</v>
      </c>
      <c r="E722" s="1" t="s">
        <v>12</v>
      </c>
      <c r="F722" s="1">
        <v>72</v>
      </c>
      <c r="G722" s="1">
        <v>71</v>
      </c>
      <c r="H722" s="1">
        <v>67</v>
      </c>
      <c r="I722">
        <f t="shared" si="15"/>
        <v>210</v>
      </c>
    </row>
    <row r="723" spans="1:9" ht="13.2" hidden="1" x14ac:dyDescent="0.25">
      <c r="A723" s="1" t="s">
        <v>19</v>
      </c>
      <c r="B723" s="1" t="s">
        <v>18</v>
      </c>
      <c r="C723" s="1" t="s">
        <v>10</v>
      </c>
      <c r="D723" s="1" t="s">
        <v>23</v>
      </c>
      <c r="E723" s="1" t="s">
        <v>12</v>
      </c>
      <c r="F723" s="1">
        <v>66</v>
      </c>
      <c r="G723" s="1">
        <v>64</v>
      </c>
      <c r="H723" s="1">
        <v>58</v>
      </c>
      <c r="I723">
        <f t="shared" si="15"/>
        <v>188</v>
      </c>
    </row>
    <row r="724" spans="1:9" ht="13.2" hidden="1" x14ac:dyDescent="0.25">
      <c r="A724" s="1" t="s">
        <v>8</v>
      </c>
      <c r="B724" s="1" t="s">
        <v>9</v>
      </c>
      <c r="C724" s="1" t="s">
        <v>22</v>
      </c>
      <c r="D724" s="1" t="s">
        <v>11</v>
      </c>
      <c r="E724" s="1" t="s">
        <v>12</v>
      </c>
      <c r="F724" s="1">
        <v>43</v>
      </c>
      <c r="G724" s="1">
        <v>47</v>
      </c>
      <c r="H724" s="1">
        <v>44</v>
      </c>
      <c r="I724">
        <f t="shared" si="15"/>
        <v>134</v>
      </c>
    </row>
    <row r="725" spans="1:9" ht="13.2" hidden="1" x14ac:dyDescent="0.25">
      <c r="A725" s="1" t="s">
        <v>19</v>
      </c>
      <c r="B725" s="1" t="s">
        <v>13</v>
      </c>
      <c r="C725" s="1" t="s">
        <v>22</v>
      </c>
      <c r="D725" s="1" t="s">
        <v>11</v>
      </c>
      <c r="E725" s="1" t="s">
        <v>17</v>
      </c>
      <c r="F725" s="1">
        <v>56</v>
      </c>
      <c r="G725" s="1">
        <v>50</v>
      </c>
      <c r="H725" s="1">
        <v>57</v>
      </c>
      <c r="I725">
        <f t="shared" si="15"/>
        <v>163</v>
      </c>
    </row>
    <row r="726" spans="1:9" ht="13.2" hidden="1" x14ac:dyDescent="0.25">
      <c r="A726" s="1" t="s">
        <v>19</v>
      </c>
      <c r="B726" s="1" t="s">
        <v>18</v>
      </c>
      <c r="C726" s="1" t="s">
        <v>16</v>
      </c>
      <c r="D726" s="1" t="s">
        <v>11</v>
      </c>
      <c r="E726" s="1" t="s">
        <v>12</v>
      </c>
      <c r="F726" s="1">
        <v>94</v>
      </c>
      <c r="G726" s="1">
        <v>94</v>
      </c>
      <c r="H726" s="1">
        <v>87</v>
      </c>
      <c r="I726">
        <f t="shared" si="15"/>
        <v>275</v>
      </c>
    </row>
    <row r="727" spans="1:9" ht="13.2" hidden="1" x14ac:dyDescent="0.25">
      <c r="A727" s="1" t="s">
        <v>8</v>
      </c>
      <c r="B727" s="1" t="s">
        <v>9</v>
      </c>
      <c r="C727" s="1" t="s">
        <v>14</v>
      </c>
      <c r="D727" s="1" t="s">
        <v>23</v>
      </c>
      <c r="E727" s="1" t="s">
        <v>17</v>
      </c>
      <c r="F727" s="1">
        <v>70</v>
      </c>
      <c r="G727" s="1">
        <v>85</v>
      </c>
      <c r="H727" s="1">
        <v>87</v>
      </c>
      <c r="I727">
        <f t="shared" si="15"/>
        <v>242</v>
      </c>
    </row>
    <row r="728" spans="1:9" ht="13.2" hidden="1" x14ac:dyDescent="0.25">
      <c r="A728" s="1" t="s">
        <v>19</v>
      </c>
      <c r="B728" s="1" t="s">
        <v>9</v>
      </c>
      <c r="C728" s="1" t="s">
        <v>22</v>
      </c>
      <c r="D728" s="1" t="s">
        <v>11</v>
      </c>
      <c r="E728" s="1" t="s">
        <v>12</v>
      </c>
      <c r="F728" s="1">
        <v>71</v>
      </c>
      <c r="G728" s="1">
        <v>65</v>
      </c>
      <c r="H728" s="1">
        <v>60</v>
      </c>
      <c r="I728">
        <f t="shared" si="15"/>
        <v>196</v>
      </c>
    </row>
    <row r="729" spans="1:9" ht="13.2" hidden="1" x14ac:dyDescent="0.25">
      <c r="A729" s="1" t="s">
        <v>8</v>
      </c>
      <c r="B729" s="1" t="s">
        <v>18</v>
      </c>
      <c r="C729" s="1" t="s">
        <v>16</v>
      </c>
      <c r="D729" s="1" t="s">
        <v>11</v>
      </c>
      <c r="E729" s="1" t="s">
        <v>12</v>
      </c>
      <c r="F729" s="1">
        <v>36</v>
      </c>
      <c r="G729" s="1">
        <v>48</v>
      </c>
      <c r="H729" s="1">
        <v>48</v>
      </c>
      <c r="I729">
        <f t="shared" si="15"/>
        <v>132</v>
      </c>
    </row>
    <row r="730" spans="1:9" ht="13.2" hidden="1" x14ac:dyDescent="0.25">
      <c r="A730" s="1" t="s">
        <v>19</v>
      </c>
      <c r="B730" s="1" t="s">
        <v>18</v>
      </c>
      <c r="C730" s="1" t="s">
        <v>14</v>
      </c>
      <c r="D730" s="1" t="s">
        <v>11</v>
      </c>
      <c r="E730" s="1" t="s">
        <v>12</v>
      </c>
      <c r="F730" s="1">
        <v>65</v>
      </c>
      <c r="G730" s="1">
        <v>58</v>
      </c>
      <c r="H730" s="1">
        <v>52</v>
      </c>
      <c r="I730">
        <f t="shared" si="15"/>
        <v>175</v>
      </c>
    </row>
    <row r="731" spans="1:9" ht="13.2" hidden="1" x14ac:dyDescent="0.25">
      <c r="A731" s="1" t="s">
        <v>19</v>
      </c>
      <c r="B731" s="1" t="s">
        <v>18</v>
      </c>
      <c r="C731" s="1" t="s">
        <v>24</v>
      </c>
      <c r="D731" s="1" t="s">
        <v>11</v>
      </c>
      <c r="E731" s="1" t="s">
        <v>12</v>
      </c>
      <c r="F731" s="1">
        <v>100</v>
      </c>
      <c r="G731" s="1">
        <v>89</v>
      </c>
      <c r="H731" s="1">
        <v>94</v>
      </c>
      <c r="I731">
        <f t="shared" si="15"/>
        <v>283</v>
      </c>
    </row>
    <row r="732" spans="1:9" ht="13.2" hidden="1" x14ac:dyDescent="0.25">
      <c r="A732" s="1" t="s">
        <v>8</v>
      </c>
      <c r="B732" s="1" t="s">
        <v>21</v>
      </c>
      <c r="C732" s="1" t="s">
        <v>24</v>
      </c>
      <c r="D732" s="1" t="s">
        <v>23</v>
      </c>
      <c r="E732" s="1" t="s">
        <v>17</v>
      </c>
      <c r="F732" s="1">
        <v>75</v>
      </c>
      <c r="G732" s="1">
        <v>77</v>
      </c>
      <c r="H732" s="1">
        <v>84</v>
      </c>
      <c r="I732">
        <f t="shared" si="15"/>
        <v>236</v>
      </c>
    </row>
    <row r="733" spans="1:9" ht="13.2" hidden="1" x14ac:dyDescent="0.25">
      <c r="A733" s="1" t="s">
        <v>19</v>
      </c>
      <c r="B733" s="1" t="s">
        <v>9</v>
      </c>
      <c r="C733" s="1" t="s">
        <v>22</v>
      </c>
      <c r="D733" s="1" t="s">
        <v>11</v>
      </c>
      <c r="E733" s="1" t="s">
        <v>17</v>
      </c>
      <c r="F733" s="1">
        <v>91</v>
      </c>
      <c r="G733" s="1">
        <v>85</v>
      </c>
      <c r="H733" s="1">
        <v>83</v>
      </c>
      <c r="I733">
        <f t="shared" si="15"/>
        <v>259</v>
      </c>
    </row>
    <row r="734" spans="1:9" ht="13.2" hidden="1" x14ac:dyDescent="0.25">
      <c r="A734" s="1" t="s">
        <v>19</v>
      </c>
      <c r="B734" s="1" t="s">
        <v>9</v>
      </c>
      <c r="C734" s="1" t="s">
        <v>10</v>
      </c>
      <c r="D734" s="1" t="s">
        <v>11</v>
      </c>
      <c r="E734" s="1" t="s">
        <v>12</v>
      </c>
      <c r="F734" s="1">
        <v>56</v>
      </c>
      <c r="G734" s="1">
        <v>50</v>
      </c>
      <c r="H734" s="1">
        <v>45</v>
      </c>
      <c r="I734">
        <f t="shared" si="15"/>
        <v>151</v>
      </c>
    </row>
    <row r="735" spans="1:9" ht="13.2" hidden="1" x14ac:dyDescent="0.25">
      <c r="A735" s="1" t="s">
        <v>19</v>
      </c>
      <c r="B735" s="1" t="s">
        <v>18</v>
      </c>
      <c r="C735" s="1" t="s">
        <v>14</v>
      </c>
      <c r="D735" s="1" t="s">
        <v>11</v>
      </c>
      <c r="E735" s="1" t="s">
        <v>17</v>
      </c>
      <c r="F735" s="1">
        <v>84</v>
      </c>
      <c r="G735" s="1">
        <v>79</v>
      </c>
      <c r="H735" s="1">
        <v>78</v>
      </c>
      <c r="I735">
        <f t="shared" si="15"/>
        <v>241</v>
      </c>
    </row>
    <row r="736" spans="1:9" ht="13.2" hidden="1" x14ac:dyDescent="0.25">
      <c r="A736" s="1" t="s">
        <v>8</v>
      </c>
      <c r="B736" s="1" t="s">
        <v>13</v>
      </c>
      <c r="C736" s="1" t="s">
        <v>22</v>
      </c>
      <c r="D736" s="1" t="s">
        <v>11</v>
      </c>
      <c r="E736" s="1" t="s">
        <v>12</v>
      </c>
      <c r="F736" s="1">
        <v>69</v>
      </c>
      <c r="G736" s="1">
        <v>85</v>
      </c>
      <c r="H736" s="1">
        <v>78</v>
      </c>
      <c r="I736">
        <f t="shared" si="15"/>
        <v>232</v>
      </c>
    </row>
    <row r="737" spans="1:9" ht="13.2" hidden="1" x14ac:dyDescent="0.25">
      <c r="A737" s="1" t="s">
        <v>19</v>
      </c>
      <c r="B737" s="1" t="s">
        <v>18</v>
      </c>
      <c r="C737" s="1" t="s">
        <v>20</v>
      </c>
      <c r="D737" s="1" t="s">
        <v>11</v>
      </c>
      <c r="E737" s="1" t="s">
        <v>12</v>
      </c>
      <c r="F737" s="1">
        <v>71</v>
      </c>
      <c r="G737" s="1">
        <v>67</v>
      </c>
      <c r="H737" s="1">
        <v>66</v>
      </c>
      <c r="I737">
        <f t="shared" si="15"/>
        <v>204</v>
      </c>
    </row>
    <row r="738" spans="1:9" ht="13.2" hidden="1" x14ac:dyDescent="0.25">
      <c r="A738" s="1" t="s">
        <v>8</v>
      </c>
      <c r="B738" s="1" t="s">
        <v>15</v>
      </c>
      <c r="C738" s="1" t="s">
        <v>10</v>
      </c>
      <c r="D738" s="1" t="s">
        <v>23</v>
      </c>
      <c r="E738" s="1" t="s">
        <v>12</v>
      </c>
      <c r="F738" s="1">
        <v>24</v>
      </c>
      <c r="G738" s="1">
        <v>38</v>
      </c>
      <c r="H738" s="1">
        <v>33</v>
      </c>
      <c r="I738">
        <f t="shared" si="15"/>
        <v>95</v>
      </c>
    </row>
    <row r="739" spans="1:9" ht="13.2" hidden="1" x14ac:dyDescent="0.25">
      <c r="A739" s="1" t="s">
        <v>8</v>
      </c>
      <c r="B739" s="1" t="s">
        <v>21</v>
      </c>
      <c r="C739" s="1" t="s">
        <v>24</v>
      </c>
      <c r="D739" s="1" t="s">
        <v>11</v>
      </c>
      <c r="E739" s="1" t="s">
        <v>12</v>
      </c>
      <c r="F739" s="1">
        <v>89</v>
      </c>
      <c r="G739" s="1">
        <v>93</v>
      </c>
      <c r="H739" s="1">
        <v>88</v>
      </c>
      <c r="I739">
        <f t="shared" si="15"/>
        <v>270</v>
      </c>
    </row>
    <row r="740" spans="1:9" ht="13.2" hidden="1" x14ac:dyDescent="0.25">
      <c r="A740" s="1" t="s">
        <v>19</v>
      </c>
      <c r="B740" s="1" t="s">
        <v>13</v>
      </c>
      <c r="C740" s="1" t="s">
        <v>20</v>
      </c>
      <c r="D740" s="1" t="s">
        <v>23</v>
      </c>
      <c r="E740" s="1" t="s">
        <v>12</v>
      </c>
      <c r="F740" s="1">
        <v>60</v>
      </c>
      <c r="G740" s="1">
        <v>57</v>
      </c>
      <c r="H740" s="1">
        <v>55</v>
      </c>
      <c r="I740">
        <f t="shared" si="15"/>
        <v>172</v>
      </c>
    </row>
    <row r="741" spans="1:9" ht="13.2" hidden="1" x14ac:dyDescent="0.25">
      <c r="A741" s="1" t="s">
        <v>8</v>
      </c>
      <c r="B741" s="1" t="s">
        <v>21</v>
      </c>
      <c r="C741" s="1" t="s">
        <v>24</v>
      </c>
      <c r="D741" s="1" t="s">
        <v>11</v>
      </c>
      <c r="E741" s="1" t="s">
        <v>17</v>
      </c>
      <c r="F741" s="1">
        <v>89</v>
      </c>
      <c r="G741" s="1">
        <v>93</v>
      </c>
      <c r="H741" s="1">
        <v>92</v>
      </c>
      <c r="I741">
        <f t="shared" si="15"/>
        <v>274</v>
      </c>
    </row>
    <row r="742" spans="1:9" ht="13.2" hidden="1" x14ac:dyDescent="0.25">
      <c r="A742" s="1" t="s">
        <v>19</v>
      </c>
      <c r="B742" s="1" t="s">
        <v>18</v>
      </c>
      <c r="C742" s="1" t="s">
        <v>14</v>
      </c>
      <c r="D742" s="1" t="s">
        <v>23</v>
      </c>
      <c r="E742" s="1" t="s">
        <v>12</v>
      </c>
      <c r="F742" s="1">
        <v>42</v>
      </c>
      <c r="G742" s="1">
        <v>51</v>
      </c>
      <c r="H742" s="1">
        <v>47</v>
      </c>
      <c r="I742">
        <f t="shared" si="15"/>
        <v>140</v>
      </c>
    </row>
    <row r="743" spans="1:9" ht="13.2" hidden="1" x14ac:dyDescent="0.25">
      <c r="A743" s="1" t="s">
        <v>8</v>
      </c>
      <c r="B743" s="1" t="s">
        <v>18</v>
      </c>
      <c r="C743" s="1" t="s">
        <v>10</v>
      </c>
      <c r="D743" s="1" t="s">
        <v>23</v>
      </c>
      <c r="E743" s="1" t="s">
        <v>12</v>
      </c>
      <c r="F743" s="1">
        <v>56</v>
      </c>
      <c r="G743" s="1">
        <v>69</v>
      </c>
      <c r="H743" s="1">
        <v>67</v>
      </c>
      <c r="I743">
        <f t="shared" si="15"/>
        <v>192</v>
      </c>
    </row>
    <row r="744" spans="1:9" ht="13.2" hidden="1" x14ac:dyDescent="0.25">
      <c r="A744" s="1" t="s">
        <v>19</v>
      </c>
      <c r="B744" s="1" t="s">
        <v>18</v>
      </c>
      <c r="C744" s="1" t="s">
        <v>14</v>
      </c>
      <c r="D744" s="1" t="s">
        <v>11</v>
      </c>
      <c r="E744" s="1" t="s">
        <v>12</v>
      </c>
      <c r="F744" s="1">
        <v>75</v>
      </c>
      <c r="G744" s="1">
        <v>72</v>
      </c>
      <c r="H744" s="1">
        <v>73</v>
      </c>
      <c r="I744">
        <f t="shared" si="15"/>
        <v>220</v>
      </c>
    </row>
    <row r="745" spans="1:9" ht="13.2" hidden="1" x14ac:dyDescent="0.25">
      <c r="A745" s="1" t="s">
        <v>19</v>
      </c>
      <c r="B745" s="1" t="s">
        <v>21</v>
      </c>
      <c r="C745" s="1" t="s">
        <v>20</v>
      </c>
      <c r="D745" s="1" t="s">
        <v>23</v>
      </c>
      <c r="E745" s="1" t="s">
        <v>12</v>
      </c>
      <c r="F745" s="1">
        <v>61</v>
      </c>
      <c r="G745" s="1">
        <v>63</v>
      </c>
      <c r="H745" s="1">
        <v>60</v>
      </c>
      <c r="I745">
        <f t="shared" si="15"/>
        <v>184</v>
      </c>
    </row>
    <row r="746" spans="1:9" ht="13.2" hidden="1" x14ac:dyDescent="0.25">
      <c r="A746" s="1" t="s">
        <v>19</v>
      </c>
      <c r="B746" s="1" t="s">
        <v>13</v>
      </c>
      <c r="C746" s="1" t="s">
        <v>22</v>
      </c>
      <c r="D746" s="1" t="s">
        <v>11</v>
      </c>
      <c r="E746" s="1" t="s">
        <v>17</v>
      </c>
      <c r="F746" s="1">
        <v>62</v>
      </c>
      <c r="G746" s="1">
        <v>60</v>
      </c>
      <c r="H746" s="1">
        <v>56</v>
      </c>
      <c r="I746">
        <f t="shared" si="15"/>
        <v>178</v>
      </c>
    </row>
    <row r="747" spans="1:9" ht="13.2" hidden="1" x14ac:dyDescent="0.25">
      <c r="A747" s="1" t="s">
        <v>19</v>
      </c>
      <c r="B747" s="1" t="s">
        <v>9</v>
      </c>
      <c r="C747" s="1" t="s">
        <v>16</v>
      </c>
      <c r="D747" s="1" t="s">
        <v>11</v>
      </c>
      <c r="E747" s="1" t="s">
        <v>12</v>
      </c>
      <c r="F747" s="1">
        <v>70</v>
      </c>
      <c r="G747" s="1">
        <v>64</v>
      </c>
      <c r="H747" s="1">
        <v>58</v>
      </c>
      <c r="I747">
        <f t="shared" si="15"/>
        <v>192</v>
      </c>
    </row>
    <row r="748" spans="1:9" ht="13.2" hidden="1" x14ac:dyDescent="0.25">
      <c r="A748" s="1" t="s">
        <v>8</v>
      </c>
      <c r="B748" s="1" t="s">
        <v>21</v>
      </c>
      <c r="C748" s="1" t="s">
        <v>20</v>
      </c>
      <c r="D748" s="1" t="s">
        <v>11</v>
      </c>
      <c r="E748" s="1" t="s">
        <v>17</v>
      </c>
      <c r="F748" s="1">
        <v>100</v>
      </c>
      <c r="G748" s="1">
        <v>100</v>
      </c>
      <c r="H748" s="1">
        <v>100</v>
      </c>
      <c r="I748">
        <f t="shared" si="15"/>
        <v>300</v>
      </c>
    </row>
    <row r="749" spans="1:9" ht="13.2" hidden="1" x14ac:dyDescent="0.25">
      <c r="A749" s="1" t="s">
        <v>19</v>
      </c>
      <c r="B749" s="1" t="s">
        <v>15</v>
      </c>
      <c r="C749" s="1" t="s">
        <v>14</v>
      </c>
      <c r="D749" s="1" t="s">
        <v>23</v>
      </c>
      <c r="E749" s="1" t="s">
        <v>17</v>
      </c>
      <c r="F749" s="1">
        <v>85</v>
      </c>
      <c r="G749" s="1">
        <v>78</v>
      </c>
      <c r="H749" s="1">
        <v>80</v>
      </c>
      <c r="I749">
        <f t="shared" si="15"/>
        <v>243</v>
      </c>
    </row>
    <row r="750" spans="1:9" ht="13.2" hidden="1" x14ac:dyDescent="0.25">
      <c r="A750" s="1" t="s">
        <v>19</v>
      </c>
      <c r="B750" s="1" t="s">
        <v>21</v>
      </c>
      <c r="C750" s="1" t="s">
        <v>10</v>
      </c>
      <c r="D750" s="1" t="s">
        <v>11</v>
      </c>
      <c r="E750" s="1" t="s">
        <v>12</v>
      </c>
      <c r="F750" s="1">
        <v>87</v>
      </c>
      <c r="G750" s="1">
        <v>77</v>
      </c>
      <c r="H750" s="1">
        <v>74</v>
      </c>
      <c r="I750">
        <f t="shared" si="15"/>
        <v>238</v>
      </c>
    </row>
    <row r="751" spans="1:9" ht="13.2" hidden="1" x14ac:dyDescent="0.25">
      <c r="A751" s="1" t="s">
        <v>8</v>
      </c>
      <c r="B751" s="1" t="s">
        <v>15</v>
      </c>
      <c r="C751" s="1" t="s">
        <v>24</v>
      </c>
      <c r="D751" s="1" t="s">
        <v>11</v>
      </c>
      <c r="E751" s="1" t="s">
        <v>12</v>
      </c>
      <c r="F751" s="1">
        <v>59</v>
      </c>
      <c r="G751" s="1">
        <v>69</v>
      </c>
      <c r="H751" s="1">
        <v>66</v>
      </c>
      <c r="I751">
        <f t="shared" si="15"/>
        <v>194</v>
      </c>
    </row>
    <row r="752" spans="1:9" ht="13.2" hidden="1" x14ac:dyDescent="0.25">
      <c r="A752" s="1" t="s">
        <v>19</v>
      </c>
      <c r="B752" s="1" t="s">
        <v>18</v>
      </c>
      <c r="C752" s="1" t="s">
        <v>20</v>
      </c>
      <c r="D752" s="1" t="s">
        <v>23</v>
      </c>
      <c r="E752" s="1" t="s">
        <v>17</v>
      </c>
      <c r="F752" s="1">
        <v>74</v>
      </c>
      <c r="G752" s="1">
        <v>80</v>
      </c>
      <c r="H752" s="1">
        <v>81</v>
      </c>
      <c r="I752">
        <f t="shared" si="15"/>
        <v>235</v>
      </c>
    </row>
    <row r="753" spans="1:9" ht="13.2" hidden="1" x14ac:dyDescent="0.25">
      <c r="A753" s="1" t="s">
        <v>19</v>
      </c>
      <c r="B753" s="1" t="s">
        <v>18</v>
      </c>
      <c r="C753" s="1" t="s">
        <v>24</v>
      </c>
      <c r="D753" s="1" t="s">
        <v>23</v>
      </c>
      <c r="E753" s="1" t="s">
        <v>12</v>
      </c>
      <c r="F753" s="1">
        <v>40</v>
      </c>
      <c r="G753" s="1">
        <v>47</v>
      </c>
      <c r="H753" s="1">
        <v>51</v>
      </c>
      <c r="I753">
        <f t="shared" si="15"/>
        <v>138</v>
      </c>
    </row>
    <row r="754" spans="1:9" ht="13.2" hidden="1" x14ac:dyDescent="0.25">
      <c r="A754" s="1" t="s">
        <v>19</v>
      </c>
      <c r="B754" s="1" t="s">
        <v>9</v>
      </c>
      <c r="C754" s="1" t="s">
        <v>10</v>
      </c>
      <c r="D754" s="1" t="s">
        <v>11</v>
      </c>
      <c r="E754" s="1" t="s">
        <v>17</v>
      </c>
      <c r="F754" s="1">
        <v>62</v>
      </c>
      <c r="G754" s="1">
        <v>71</v>
      </c>
      <c r="H754" s="1">
        <v>68</v>
      </c>
      <c r="I754">
        <f t="shared" si="15"/>
        <v>201</v>
      </c>
    </row>
    <row r="755" spans="1:9" ht="13.2" hidden="1" x14ac:dyDescent="0.25">
      <c r="A755" s="1" t="s">
        <v>19</v>
      </c>
      <c r="B755" s="1" t="s">
        <v>9</v>
      </c>
      <c r="C755" s="1" t="s">
        <v>10</v>
      </c>
      <c r="D755" s="1" t="s">
        <v>23</v>
      </c>
      <c r="E755" s="1" t="s">
        <v>12</v>
      </c>
      <c r="F755" s="1">
        <v>75</v>
      </c>
      <c r="G755" s="1">
        <v>80</v>
      </c>
      <c r="H755" s="1">
        <v>67</v>
      </c>
      <c r="I755">
        <f t="shared" si="15"/>
        <v>222</v>
      </c>
    </row>
    <row r="756" spans="1:9" ht="13.2" hidden="1" x14ac:dyDescent="0.25">
      <c r="A756" s="1" t="s">
        <v>19</v>
      </c>
      <c r="B756" s="1" t="s">
        <v>13</v>
      </c>
      <c r="C756" s="1" t="s">
        <v>14</v>
      </c>
      <c r="D756" s="1" t="s">
        <v>11</v>
      </c>
      <c r="E756" s="1" t="s">
        <v>12</v>
      </c>
      <c r="F756" s="1">
        <v>67</v>
      </c>
      <c r="G756" s="1">
        <v>55</v>
      </c>
      <c r="H756" s="1">
        <v>54</v>
      </c>
      <c r="I756">
        <f t="shared" si="15"/>
        <v>176</v>
      </c>
    </row>
    <row r="757" spans="1:9" ht="13.2" hidden="1" x14ac:dyDescent="0.25">
      <c r="A757" s="1" t="s">
        <v>19</v>
      </c>
      <c r="B757" s="1" t="s">
        <v>9</v>
      </c>
      <c r="C757" s="1" t="s">
        <v>22</v>
      </c>
      <c r="D757" s="1" t="s">
        <v>23</v>
      </c>
      <c r="E757" s="1" t="s">
        <v>12</v>
      </c>
      <c r="F757" s="1">
        <v>50</v>
      </c>
      <c r="G757" s="1">
        <v>42</v>
      </c>
      <c r="H757" s="1">
        <v>34</v>
      </c>
      <c r="I757">
        <f t="shared" si="15"/>
        <v>126</v>
      </c>
    </row>
    <row r="758" spans="1:9" ht="13.2" hidden="1" x14ac:dyDescent="0.25">
      <c r="A758" s="1" t="s">
        <v>19</v>
      </c>
      <c r="B758" s="1" t="s">
        <v>18</v>
      </c>
      <c r="C758" s="1" t="s">
        <v>22</v>
      </c>
      <c r="D758" s="1" t="s">
        <v>11</v>
      </c>
      <c r="E758" s="1" t="s">
        <v>12</v>
      </c>
      <c r="F758" s="1">
        <v>56</v>
      </c>
      <c r="G758" s="1">
        <v>49</v>
      </c>
      <c r="H758" s="1">
        <v>48</v>
      </c>
      <c r="I758">
        <f t="shared" si="15"/>
        <v>153</v>
      </c>
    </row>
    <row r="759" spans="1:9" ht="13.2" hidden="1" x14ac:dyDescent="0.25">
      <c r="A759" s="1" t="s">
        <v>19</v>
      </c>
      <c r="B759" s="1" t="s">
        <v>13</v>
      </c>
      <c r="C759" s="1" t="s">
        <v>14</v>
      </c>
      <c r="D759" s="1" t="s">
        <v>11</v>
      </c>
      <c r="E759" s="1" t="s">
        <v>12</v>
      </c>
      <c r="F759" s="1">
        <v>57</v>
      </c>
      <c r="G759" s="1">
        <v>53</v>
      </c>
      <c r="H759" s="1">
        <v>43</v>
      </c>
      <c r="I759">
        <f t="shared" si="15"/>
        <v>153</v>
      </c>
    </row>
    <row r="760" spans="1:9" ht="13.2" hidden="1" x14ac:dyDescent="0.25">
      <c r="A760" s="1" t="s">
        <v>8</v>
      </c>
      <c r="B760" s="1" t="s">
        <v>18</v>
      </c>
      <c r="C760" s="1" t="s">
        <v>10</v>
      </c>
      <c r="D760" s="1" t="s">
        <v>11</v>
      </c>
      <c r="E760" s="1" t="s">
        <v>12</v>
      </c>
      <c r="F760" s="1">
        <v>58</v>
      </c>
      <c r="G760" s="1">
        <v>67</v>
      </c>
      <c r="H760" s="1">
        <v>67</v>
      </c>
      <c r="I760">
        <f t="shared" si="15"/>
        <v>192</v>
      </c>
    </row>
    <row r="761" spans="1:9" ht="13.2" hidden="1" x14ac:dyDescent="0.25">
      <c r="A761" s="1" t="s">
        <v>8</v>
      </c>
      <c r="B761" s="1" t="s">
        <v>13</v>
      </c>
      <c r="C761" s="1" t="s">
        <v>20</v>
      </c>
      <c r="D761" s="1" t="s">
        <v>11</v>
      </c>
      <c r="E761" s="1" t="s">
        <v>12</v>
      </c>
      <c r="F761" s="1">
        <v>98</v>
      </c>
      <c r="G761" s="1">
        <v>100</v>
      </c>
      <c r="H761" s="1">
        <v>100</v>
      </c>
      <c r="I761">
        <f t="shared" si="15"/>
        <v>298</v>
      </c>
    </row>
    <row r="762" spans="1:9" ht="13.2" hidden="1" x14ac:dyDescent="0.25">
      <c r="A762" s="1" t="s">
        <v>8</v>
      </c>
      <c r="B762" s="1" t="s">
        <v>13</v>
      </c>
      <c r="C762" s="1" t="s">
        <v>22</v>
      </c>
      <c r="D762" s="1" t="s">
        <v>11</v>
      </c>
      <c r="E762" s="1" t="s">
        <v>12</v>
      </c>
      <c r="F762" s="1">
        <v>76</v>
      </c>
      <c r="G762" s="1">
        <v>66</v>
      </c>
      <c r="H762" s="1">
        <v>72</v>
      </c>
      <c r="I762">
        <f t="shared" si="15"/>
        <v>214</v>
      </c>
    </row>
    <row r="763" spans="1:9" ht="13.2" hidden="1" x14ac:dyDescent="0.25">
      <c r="A763" s="1" t="s">
        <v>19</v>
      </c>
      <c r="B763" s="1" t="s">
        <v>18</v>
      </c>
      <c r="C763" s="1" t="s">
        <v>22</v>
      </c>
      <c r="D763" s="1" t="s">
        <v>23</v>
      </c>
      <c r="E763" s="1" t="s">
        <v>17</v>
      </c>
      <c r="F763" s="1">
        <v>58</v>
      </c>
      <c r="G763" s="1">
        <v>59</v>
      </c>
      <c r="H763" s="1">
        <v>60</v>
      </c>
      <c r="I763">
        <f t="shared" si="15"/>
        <v>177</v>
      </c>
    </row>
    <row r="764" spans="1:9" ht="13.2" hidden="1" x14ac:dyDescent="0.25">
      <c r="A764" s="1" t="s">
        <v>19</v>
      </c>
      <c r="B764" s="1" t="s">
        <v>15</v>
      </c>
      <c r="C764" s="1" t="s">
        <v>10</v>
      </c>
      <c r="D764" s="1" t="s">
        <v>11</v>
      </c>
      <c r="E764" s="1" t="s">
        <v>12</v>
      </c>
      <c r="F764" s="1">
        <v>40</v>
      </c>
      <c r="G764" s="1">
        <v>43</v>
      </c>
      <c r="H764" s="1">
        <v>39</v>
      </c>
      <c r="I764">
        <f t="shared" si="15"/>
        <v>122</v>
      </c>
    </row>
    <row r="765" spans="1:9" ht="13.2" hidden="1" x14ac:dyDescent="0.25">
      <c r="A765" s="1" t="s">
        <v>8</v>
      </c>
      <c r="B765" s="1" t="s">
        <v>15</v>
      </c>
      <c r="C765" s="1" t="s">
        <v>10</v>
      </c>
      <c r="D765" s="1" t="s">
        <v>11</v>
      </c>
      <c r="E765" s="1" t="s">
        <v>12</v>
      </c>
      <c r="F765" s="1">
        <v>51</v>
      </c>
      <c r="G765" s="1">
        <v>48</v>
      </c>
      <c r="H765" s="1">
        <v>47</v>
      </c>
      <c r="I765">
        <f t="shared" si="15"/>
        <v>146</v>
      </c>
    </row>
    <row r="766" spans="1:9" ht="13.2" hidden="1" x14ac:dyDescent="0.25">
      <c r="A766" s="1" t="s">
        <v>8</v>
      </c>
      <c r="B766" s="1" t="s">
        <v>21</v>
      </c>
      <c r="C766" s="1" t="s">
        <v>24</v>
      </c>
      <c r="D766" s="1" t="s">
        <v>23</v>
      </c>
      <c r="E766" s="1" t="s">
        <v>12</v>
      </c>
      <c r="F766" s="1">
        <v>60</v>
      </c>
      <c r="G766" s="1">
        <v>64</v>
      </c>
      <c r="H766" s="1">
        <v>67</v>
      </c>
      <c r="I766">
        <f t="shared" si="15"/>
        <v>191</v>
      </c>
    </row>
    <row r="767" spans="1:9" ht="13.2" hidden="1" x14ac:dyDescent="0.25">
      <c r="A767" s="1" t="s">
        <v>8</v>
      </c>
      <c r="B767" s="1" t="s">
        <v>9</v>
      </c>
      <c r="C767" s="1" t="s">
        <v>14</v>
      </c>
      <c r="D767" s="1" t="s">
        <v>23</v>
      </c>
      <c r="E767" s="1" t="s">
        <v>17</v>
      </c>
      <c r="F767" s="1">
        <v>70</v>
      </c>
      <c r="G767" s="1">
        <v>78</v>
      </c>
      <c r="H767" s="1">
        <v>78</v>
      </c>
      <c r="I767">
        <f t="shared" si="15"/>
        <v>226</v>
      </c>
    </row>
    <row r="768" spans="1:9" ht="13.2" hidden="1" x14ac:dyDescent="0.25">
      <c r="A768" s="1" t="s">
        <v>8</v>
      </c>
      <c r="B768" s="1" t="s">
        <v>18</v>
      </c>
      <c r="C768" s="1" t="s">
        <v>22</v>
      </c>
      <c r="D768" s="1" t="s">
        <v>23</v>
      </c>
      <c r="E768" s="1" t="s">
        <v>12</v>
      </c>
      <c r="F768" s="1">
        <v>2</v>
      </c>
      <c r="G768" s="1">
        <v>19</v>
      </c>
      <c r="H768" s="1">
        <v>14</v>
      </c>
      <c r="I768">
        <f t="shared" si="15"/>
        <v>35</v>
      </c>
    </row>
    <row r="769" spans="1:9" ht="13.2" hidden="1" x14ac:dyDescent="0.25">
      <c r="A769" s="1" t="s">
        <v>19</v>
      </c>
      <c r="B769" s="1" t="s">
        <v>13</v>
      </c>
      <c r="C769" s="1" t="s">
        <v>22</v>
      </c>
      <c r="D769" s="1" t="s">
        <v>11</v>
      </c>
      <c r="E769" s="1" t="s">
        <v>12</v>
      </c>
      <c r="F769" s="1">
        <v>74</v>
      </c>
      <c r="G769" s="1">
        <v>68</v>
      </c>
      <c r="H769" s="1">
        <v>70</v>
      </c>
      <c r="I769">
        <f t="shared" si="15"/>
        <v>212</v>
      </c>
    </row>
    <row r="770" spans="1:9" ht="13.2" hidden="1" x14ac:dyDescent="0.25">
      <c r="A770" s="1" t="s">
        <v>8</v>
      </c>
      <c r="B770" s="1" t="s">
        <v>18</v>
      </c>
      <c r="C770" s="1" t="s">
        <v>16</v>
      </c>
      <c r="D770" s="1" t="s">
        <v>23</v>
      </c>
      <c r="E770" s="1" t="s">
        <v>12</v>
      </c>
      <c r="F770" s="1">
        <v>11</v>
      </c>
      <c r="G770" s="1">
        <v>21</v>
      </c>
      <c r="H770" s="1">
        <v>18</v>
      </c>
      <c r="I770">
        <f t="shared" si="15"/>
        <v>50</v>
      </c>
    </row>
    <row r="771" spans="1:9" ht="13.2" hidden="1" x14ac:dyDescent="0.25">
      <c r="A771" s="1" t="s">
        <v>19</v>
      </c>
      <c r="B771" s="1" t="s">
        <v>18</v>
      </c>
      <c r="C771" s="1" t="s">
        <v>10</v>
      </c>
      <c r="D771" s="1" t="s">
        <v>23</v>
      </c>
      <c r="E771" s="1" t="s">
        <v>17</v>
      </c>
      <c r="F771" s="1">
        <v>75</v>
      </c>
      <c r="G771" s="1">
        <v>74</v>
      </c>
      <c r="H771" s="1">
        <v>71</v>
      </c>
      <c r="I771">
        <f t="shared" ref="I771:I834" si="16">SUM(F771:H771)</f>
        <v>220</v>
      </c>
    </row>
    <row r="772" spans="1:9" ht="13.2" hidden="1" x14ac:dyDescent="0.25">
      <c r="A772" s="1" t="s">
        <v>19</v>
      </c>
      <c r="B772" s="1" t="s">
        <v>21</v>
      </c>
      <c r="C772" s="1" t="s">
        <v>14</v>
      </c>
      <c r="D772" s="1" t="s">
        <v>11</v>
      </c>
      <c r="E772" s="1" t="s">
        <v>12</v>
      </c>
      <c r="F772" s="1">
        <v>97</v>
      </c>
      <c r="G772" s="1">
        <v>81</v>
      </c>
      <c r="H772" s="1">
        <v>81</v>
      </c>
      <c r="I772">
        <f t="shared" si="16"/>
        <v>259</v>
      </c>
    </row>
    <row r="773" spans="1:9" ht="13.2" hidden="1" x14ac:dyDescent="0.25">
      <c r="A773" s="1" t="s">
        <v>19</v>
      </c>
      <c r="B773" s="1" t="s">
        <v>13</v>
      </c>
      <c r="C773" s="1" t="s">
        <v>14</v>
      </c>
      <c r="D773" s="1" t="s">
        <v>11</v>
      </c>
      <c r="E773" s="1" t="s">
        <v>12</v>
      </c>
      <c r="F773" s="1">
        <v>71</v>
      </c>
      <c r="G773" s="1">
        <v>65</v>
      </c>
      <c r="H773" s="1">
        <v>67</v>
      </c>
      <c r="I773">
        <f t="shared" si="16"/>
        <v>203</v>
      </c>
    </row>
    <row r="774" spans="1:9" ht="13.2" hidden="1" x14ac:dyDescent="0.25">
      <c r="A774" s="1" t="s">
        <v>8</v>
      </c>
      <c r="B774" s="1" t="s">
        <v>13</v>
      </c>
      <c r="C774" s="1" t="s">
        <v>14</v>
      </c>
      <c r="D774" s="1" t="s">
        <v>11</v>
      </c>
      <c r="E774" s="1" t="s">
        <v>12</v>
      </c>
      <c r="F774" s="1">
        <v>90</v>
      </c>
      <c r="G774" s="1">
        <v>100</v>
      </c>
      <c r="H774" s="1">
        <v>100</v>
      </c>
      <c r="I774">
        <f t="shared" si="16"/>
        <v>290</v>
      </c>
    </row>
    <row r="775" spans="1:9" ht="13.2" hidden="1" x14ac:dyDescent="0.25">
      <c r="A775" s="1" t="s">
        <v>19</v>
      </c>
      <c r="B775" s="1" t="s">
        <v>21</v>
      </c>
      <c r="C775" s="1" t="s">
        <v>22</v>
      </c>
      <c r="D775" s="1" t="s">
        <v>11</v>
      </c>
      <c r="E775" s="1" t="s">
        <v>17</v>
      </c>
      <c r="F775" s="1">
        <v>91</v>
      </c>
      <c r="G775" s="1">
        <v>83</v>
      </c>
      <c r="H775" s="1">
        <v>85</v>
      </c>
      <c r="I775">
        <f t="shared" si="16"/>
        <v>259</v>
      </c>
    </row>
    <row r="776" spans="1:9" ht="13.2" hidden="1" x14ac:dyDescent="0.25">
      <c r="A776" s="1" t="s">
        <v>8</v>
      </c>
      <c r="B776" s="1" t="s">
        <v>18</v>
      </c>
      <c r="C776" s="1" t="s">
        <v>16</v>
      </c>
      <c r="D776" s="1" t="s">
        <v>23</v>
      </c>
      <c r="E776" s="1" t="s">
        <v>17</v>
      </c>
      <c r="F776" s="1">
        <v>57</v>
      </c>
      <c r="G776" s="1">
        <v>72</v>
      </c>
      <c r="H776" s="1">
        <v>70</v>
      </c>
      <c r="I776">
        <f t="shared" si="16"/>
        <v>199</v>
      </c>
    </row>
    <row r="777" spans="1:9" ht="13.2" hidden="1" x14ac:dyDescent="0.25">
      <c r="A777" s="1" t="s">
        <v>19</v>
      </c>
      <c r="B777" s="1" t="s">
        <v>15</v>
      </c>
      <c r="C777" s="1" t="s">
        <v>14</v>
      </c>
      <c r="D777" s="1" t="s">
        <v>11</v>
      </c>
      <c r="E777" s="1" t="s">
        <v>17</v>
      </c>
      <c r="F777" s="1">
        <v>73</v>
      </c>
      <c r="G777" s="1">
        <v>73</v>
      </c>
      <c r="H777" s="1">
        <v>71</v>
      </c>
      <c r="I777">
        <f t="shared" si="16"/>
        <v>217</v>
      </c>
    </row>
    <row r="778" spans="1:9" ht="13.2" hidden="1" x14ac:dyDescent="0.25">
      <c r="A778" s="1" t="s">
        <v>19</v>
      </c>
      <c r="B778" s="1" t="s">
        <v>21</v>
      </c>
      <c r="C778" s="1" t="s">
        <v>10</v>
      </c>
      <c r="D778" s="1" t="s">
        <v>11</v>
      </c>
      <c r="E778" s="1" t="s">
        <v>12</v>
      </c>
      <c r="F778" s="1">
        <v>65</v>
      </c>
      <c r="G778" s="1">
        <v>66</v>
      </c>
      <c r="H778" s="1">
        <v>67</v>
      </c>
      <c r="I778">
        <f t="shared" si="16"/>
        <v>198</v>
      </c>
    </row>
    <row r="779" spans="1:9" ht="13.2" hidden="1" x14ac:dyDescent="0.25">
      <c r="A779" s="1" t="s">
        <v>8</v>
      </c>
      <c r="B779" s="1" t="s">
        <v>13</v>
      </c>
      <c r="C779" s="1" t="s">
        <v>14</v>
      </c>
      <c r="D779" s="1" t="s">
        <v>11</v>
      </c>
      <c r="E779" s="1" t="s">
        <v>12</v>
      </c>
      <c r="F779" s="1">
        <v>51</v>
      </c>
      <c r="G779" s="1">
        <v>47</v>
      </c>
      <c r="H779" s="1">
        <v>59</v>
      </c>
      <c r="I779">
        <f t="shared" si="16"/>
        <v>157</v>
      </c>
    </row>
    <row r="780" spans="1:9" ht="13.2" hidden="1" x14ac:dyDescent="0.25">
      <c r="A780" s="1" t="s">
        <v>8</v>
      </c>
      <c r="B780" s="1" t="s">
        <v>9</v>
      </c>
      <c r="C780" s="1" t="s">
        <v>20</v>
      </c>
      <c r="D780" s="1" t="s">
        <v>11</v>
      </c>
      <c r="E780" s="1" t="s">
        <v>17</v>
      </c>
      <c r="F780" s="1">
        <v>71</v>
      </c>
      <c r="G780" s="1">
        <v>84</v>
      </c>
      <c r="H780" s="1">
        <v>79</v>
      </c>
      <c r="I780">
        <f t="shared" si="16"/>
        <v>234</v>
      </c>
    </row>
    <row r="781" spans="1:9" ht="13.2" hidden="1" x14ac:dyDescent="0.25">
      <c r="A781" s="1" t="s">
        <v>19</v>
      </c>
      <c r="B781" s="1" t="s">
        <v>21</v>
      </c>
      <c r="C781" s="1" t="s">
        <v>10</v>
      </c>
      <c r="D781" s="1" t="s">
        <v>11</v>
      </c>
      <c r="E781" s="1" t="s">
        <v>12</v>
      </c>
      <c r="F781" s="1">
        <v>80</v>
      </c>
      <c r="G781" s="1">
        <v>75</v>
      </c>
      <c r="H781" s="1">
        <v>72</v>
      </c>
      <c r="I781">
        <f t="shared" si="16"/>
        <v>227</v>
      </c>
    </row>
    <row r="782" spans="1:9" ht="13.2" hidden="1" x14ac:dyDescent="0.25">
      <c r="A782" s="1" t="s">
        <v>8</v>
      </c>
      <c r="B782" s="1" t="s">
        <v>9</v>
      </c>
      <c r="C782" s="1" t="s">
        <v>16</v>
      </c>
      <c r="D782" s="1" t="s">
        <v>11</v>
      </c>
      <c r="E782" s="1" t="s">
        <v>12</v>
      </c>
      <c r="F782" s="1">
        <v>59</v>
      </c>
      <c r="G782" s="1">
        <v>68</v>
      </c>
      <c r="H782" s="1">
        <v>70</v>
      </c>
      <c r="I782">
        <f t="shared" si="16"/>
        <v>197</v>
      </c>
    </row>
    <row r="783" spans="1:9" ht="13.2" hidden="1" x14ac:dyDescent="0.25">
      <c r="A783" s="1" t="s">
        <v>19</v>
      </c>
      <c r="B783" s="1" t="s">
        <v>9</v>
      </c>
      <c r="C783" s="1" t="s">
        <v>16</v>
      </c>
      <c r="D783" s="1" t="s">
        <v>11</v>
      </c>
      <c r="E783" s="1" t="s">
        <v>17</v>
      </c>
      <c r="F783" s="1">
        <v>100</v>
      </c>
      <c r="G783" s="1">
        <v>85</v>
      </c>
      <c r="H783" s="1">
        <v>90</v>
      </c>
      <c r="I783">
        <f t="shared" si="16"/>
        <v>275</v>
      </c>
    </row>
    <row r="784" spans="1:9" ht="13.2" hidden="1" x14ac:dyDescent="0.25">
      <c r="A784" s="1" t="s">
        <v>19</v>
      </c>
      <c r="B784" s="1" t="s">
        <v>9</v>
      </c>
      <c r="C784" s="1" t="s">
        <v>20</v>
      </c>
      <c r="D784" s="1" t="s">
        <v>23</v>
      </c>
      <c r="E784" s="1" t="s">
        <v>17</v>
      </c>
      <c r="F784" s="1">
        <v>70</v>
      </c>
      <c r="G784" s="1">
        <v>73</v>
      </c>
      <c r="H784" s="1">
        <v>65</v>
      </c>
      <c r="I784">
        <f t="shared" si="16"/>
        <v>208</v>
      </c>
    </row>
    <row r="785" spans="1:9" ht="13.2" hidden="1" x14ac:dyDescent="0.25">
      <c r="A785" s="1" t="s">
        <v>19</v>
      </c>
      <c r="B785" s="1" t="s">
        <v>21</v>
      </c>
      <c r="C785" s="1" t="s">
        <v>22</v>
      </c>
      <c r="D785" s="1" t="s">
        <v>23</v>
      </c>
      <c r="E785" s="1" t="s">
        <v>12</v>
      </c>
      <c r="F785" s="1">
        <v>69</v>
      </c>
      <c r="G785" s="1">
        <v>60</v>
      </c>
      <c r="H785" s="1">
        <v>57</v>
      </c>
      <c r="I785">
        <f t="shared" si="16"/>
        <v>186</v>
      </c>
    </row>
    <row r="786" spans="1:9" ht="13.2" hidden="1" x14ac:dyDescent="0.25">
      <c r="A786" s="1" t="s">
        <v>19</v>
      </c>
      <c r="B786" s="1" t="s">
        <v>18</v>
      </c>
      <c r="C786" s="1" t="s">
        <v>14</v>
      </c>
      <c r="D786" s="1" t="s">
        <v>23</v>
      </c>
      <c r="E786" s="1" t="s">
        <v>12</v>
      </c>
      <c r="F786" s="1">
        <v>63</v>
      </c>
      <c r="G786" s="1">
        <v>70</v>
      </c>
      <c r="H786" s="1">
        <v>67</v>
      </c>
      <c r="I786">
        <f t="shared" si="16"/>
        <v>200</v>
      </c>
    </row>
    <row r="787" spans="1:9" ht="13.2" hidden="1" x14ac:dyDescent="0.25">
      <c r="A787" s="1" t="s">
        <v>8</v>
      </c>
      <c r="B787" s="1" t="s">
        <v>18</v>
      </c>
      <c r="C787" s="1" t="s">
        <v>22</v>
      </c>
      <c r="D787" s="1" t="s">
        <v>11</v>
      </c>
      <c r="E787" s="1" t="s">
        <v>17</v>
      </c>
      <c r="F787" s="1">
        <v>53</v>
      </c>
      <c r="G787" s="1">
        <v>62</v>
      </c>
      <c r="H787" s="1">
        <v>69</v>
      </c>
      <c r="I787">
        <f t="shared" si="16"/>
        <v>184</v>
      </c>
    </row>
    <row r="788" spans="1:9" ht="13.2" hidden="1" x14ac:dyDescent="0.25">
      <c r="A788" s="1" t="s">
        <v>19</v>
      </c>
      <c r="B788" s="1" t="s">
        <v>18</v>
      </c>
      <c r="C788" s="1" t="s">
        <v>22</v>
      </c>
      <c r="D788" s="1" t="s">
        <v>11</v>
      </c>
      <c r="E788" s="1" t="s">
        <v>17</v>
      </c>
      <c r="F788" s="1">
        <v>70</v>
      </c>
      <c r="G788" s="1">
        <v>71</v>
      </c>
      <c r="H788" s="1">
        <v>67</v>
      </c>
      <c r="I788">
        <f t="shared" si="16"/>
        <v>208</v>
      </c>
    </row>
    <row r="789" spans="1:9" ht="13.2" hidden="1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17</v>
      </c>
      <c r="F789" s="1">
        <v>73</v>
      </c>
      <c r="G789" s="1">
        <v>93</v>
      </c>
      <c r="H789" s="1">
        <v>92</v>
      </c>
      <c r="I789">
        <f t="shared" si="16"/>
        <v>258</v>
      </c>
    </row>
    <row r="790" spans="1:9" ht="13.2" hidden="1" x14ac:dyDescent="0.25">
      <c r="A790" s="1" t="s">
        <v>19</v>
      </c>
      <c r="B790" s="1" t="s">
        <v>9</v>
      </c>
      <c r="C790" s="1" t="s">
        <v>14</v>
      </c>
      <c r="D790" s="1" t="s">
        <v>23</v>
      </c>
      <c r="E790" s="1" t="s">
        <v>12</v>
      </c>
      <c r="F790" s="1">
        <v>42</v>
      </c>
      <c r="G790" s="1">
        <v>48</v>
      </c>
      <c r="H790" s="1">
        <v>45</v>
      </c>
      <c r="I790">
        <f t="shared" si="16"/>
        <v>135</v>
      </c>
    </row>
    <row r="791" spans="1:9" ht="13.2" hidden="1" x14ac:dyDescent="0.25">
      <c r="A791" s="1" t="s">
        <v>8</v>
      </c>
      <c r="B791" s="1" t="s">
        <v>18</v>
      </c>
      <c r="C791" s="1" t="s">
        <v>10</v>
      </c>
      <c r="D791" s="1" t="s">
        <v>11</v>
      </c>
      <c r="E791" s="1" t="s">
        <v>12</v>
      </c>
      <c r="F791" s="1">
        <v>54</v>
      </c>
      <c r="G791" s="1">
        <v>58</v>
      </c>
      <c r="H791" s="1">
        <v>60</v>
      </c>
      <c r="I791">
        <f t="shared" si="16"/>
        <v>172</v>
      </c>
    </row>
    <row r="792" spans="1:9" ht="13.2" hidden="1" x14ac:dyDescent="0.25">
      <c r="A792" s="1" t="s">
        <v>8</v>
      </c>
      <c r="B792" s="1" t="s">
        <v>13</v>
      </c>
      <c r="C792" s="1" t="s">
        <v>16</v>
      </c>
      <c r="D792" s="1" t="s">
        <v>11</v>
      </c>
      <c r="E792" s="1" t="s">
        <v>17</v>
      </c>
      <c r="F792" s="1">
        <v>64</v>
      </c>
      <c r="G792" s="1">
        <v>59</v>
      </c>
      <c r="H792" s="1">
        <v>67</v>
      </c>
      <c r="I792">
        <f t="shared" si="16"/>
        <v>190</v>
      </c>
    </row>
    <row r="793" spans="1:9" ht="13.2" hidden="1" x14ac:dyDescent="0.25">
      <c r="A793" s="1" t="s">
        <v>8</v>
      </c>
      <c r="B793" s="1" t="s">
        <v>18</v>
      </c>
      <c r="C793" s="1" t="s">
        <v>10</v>
      </c>
      <c r="D793" s="1" t="s">
        <v>23</v>
      </c>
      <c r="E793" s="1" t="s">
        <v>17</v>
      </c>
      <c r="F793" s="1">
        <v>51</v>
      </c>
      <c r="G793" s="1">
        <v>59</v>
      </c>
      <c r="H793" s="1">
        <v>67</v>
      </c>
      <c r="I793">
        <f t="shared" si="16"/>
        <v>177</v>
      </c>
    </row>
    <row r="794" spans="1:9" ht="13.2" hidden="1" x14ac:dyDescent="0.25">
      <c r="A794" s="1" t="s">
        <v>8</v>
      </c>
      <c r="B794" s="1" t="s">
        <v>21</v>
      </c>
      <c r="C794" s="1" t="s">
        <v>16</v>
      </c>
      <c r="D794" s="1" t="s">
        <v>11</v>
      </c>
      <c r="E794" s="1" t="s">
        <v>17</v>
      </c>
      <c r="F794" s="1">
        <v>74</v>
      </c>
      <c r="G794" s="1">
        <v>86</v>
      </c>
      <c r="H794" s="1">
        <v>84</v>
      </c>
      <c r="I794">
        <f t="shared" si="16"/>
        <v>244</v>
      </c>
    </row>
    <row r="795" spans="1:9" ht="13.2" hidden="1" x14ac:dyDescent="0.25">
      <c r="A795" s="1" t="s">
        <v>19</v>
      </c>
      <c r="B795" s="1" t="s">
        <v>18</v>
      </c>
      <c r="C795" s="1" t="s">
        <v>10</v>
      </c>
      <c r="D795" s="1" t="s">
        <v>11</v>
      </c>
      <c r="E795" s="1" t="s">
        <v>12</v>
      </c>
      <c r="F795" s="1">
        <v>66</v>
      </c>
      <c r="G795" s="1">
        <v>71</v>
      </c>
      <c r="H795" s="1">
        <v>63</v>
      </c>
      <c r="I795">
        <f t="shared" si="16"/>
        <v>200</v>
      </c>
    </row>
    <row r="796" spans="1:9" ht="13.2" hidden="1" x14ac:dyDescent="0.25">
      <c r="A796" s="1" t="s">
        <v>19</v>
      </c>
      <c r="B796" s="1" t="s">
        <v>15</v>
      </c>
      <c r="C796" s="1" t="s">
        <v>22</v>
      </c>
      <c r="D796" s="1" t="s">
        <v>11</v>
      </c>
      <c r="E796" s="1" t="s">
        <v>12</v>
      </c>
      <c r="F796" s="1">
        <v>82</v>
      </c>
      <c r="G796" s="1">
        <v>70</v>
      </c>
      <c r="H796" s="1">
        <v>60</v>
      </c>
      <c r="I796">
        <f t="shared" si="16"/>
        <v>212</v>
      </c>
    </row>
    <row r="797" spans="1:9" ht="13.2" hidden="1" x14ac:dyDescent="0.25">
      <c r="A797" s="1" t="s">
        <v>8</v>
      </c>
      <c r="B797" s="1" t="s">
        <v>18</v>
      </c>
      <c r="C797" s="1" t="s">
        <v>16</v>
      </c>
      <c r="D797" s="1" t="s">
        <v>11</v>
      </c>
      <c r="E797" s="1" t="s">
        <v>12</v>
      </c>
      <c r="F797" s="1">
        <v>25</v>
      </c>
      <c r="G797" s="1">
        <v>31</v>
      </c>
      <c r="H797" s="1">
        <v>30</v>
      </c>
      <c r="I797">
        <f t="shared" si="16"/>
        <v>86</v>
      </c>
    </row>
    <row r="798" spans="1:9" ht="13.2" hidden="1" x14ac:dyDescent="0.25">
      <c r="A798" s="1" t="s">
        <v>19</v>
      </c>
      <c r="B798" s="1" t="s">
        <v>9</v>
      </c>
      <c r="C798" s="1" t="s">
        <v>16</v>
      </c>
      <c r="D798" s="1" t="s">
        <v>23</v>
      </c>
      <c r="E798" s="1" t="s">
        <v>12</v>
      </c>
      <c r="F798" s="1">
        <v>58</v>
      </c>
      <c r="G798" s="1">
        <v>56</v>
      </c>
      <c r="H798" s="1">
        <v>50</v>
      </c>
      <c r="I798">
        <f t="shared" si="16"/>
        <v>164</v>
      </c>
    </row>
    <row r="799" spans="1:9" ht="13.2" hidden="1" x14ac:dyDescent="0.25">
      <c r="A799" s="1" t="s">
        <v>19</v>
      </c>
      <c r="B799" s="1" t="s">
        <v>9</v>
      </c>
      <c r="C799" s="1" t="s">
        <v>16</v>
      </c>
      <c r="D799" s="1" t="s">
        <v>23</v>
      </c>
      <c r="E799" s="1" t="s">
        <v>12</v>
      </c>
      <c r="F799" s="1">
        <v>58</v>
      </c>
      <c r="G799" s="1">
        <v>54</v>
      </c>
      <c r="H799" s="1">
        <v>45</v>
      </c>
      <c r="I799">
        <f t="shared" si="16"/>
        <v>157</v>
      </c>
    </row>
    <row r="800" spans="1:9" ht="13.2" hidden="1" x14ac:dyDescent="0.25">
      <c r="A800" s="1" t="s">
        <v>19</v>
      </c>
      <c r="B800" s="1" t="s">
        <v>9</v>
      </c>
      <c r="C800" s="1" t="s">
        <v>16</v>
      </c>
      <c r="D800" s="1" t="s">
        <v>11</v>
      </c>
      <c r="E800" s="1" t="s">
        <v>12</v>
      </c>
      <c r="F800" s="1">
        <v>59</v>
      </c>
      <c r="G800" s="1">
        <v>57</v>
      </c>
      <c r="H800" s="1">
        <v>57</v>
      </c>
      <c r="I800">
        <f t="shared" si="16"/>
        <v>173</v>
      </c>
    </row>
    <row r="801" spans="1:9" ht="13.2" hidden="1" x14ac:dyDescent="0.25">
      <c r="A801" s="1" t="s">
        <v>8</v>
      </c>
      <c r="B801" s="1" t="s">
        <v>13</v>
      </c>
      <c r="C801" s="1" t="s">
        <v>14</v>
      </c>
      <c r="D801" s="1" t="s">
        <v>11</v>
      </c>
      <c r="E801" s="1" t="s">
        <v>17</v>
      </c>
      <c r="F801" s="1">
        <v>87</v>
      </c>
      <c r="G801" s="1">
        <v>96</v>
      </c>
      <c r="H801" s="1">
        <v>100</v>
      </c>
      <c r="I801">
        <f t="shared" si="16"/>
        <v>283</v>
      </c>
    </row>
    <row r="802" spans="1:9" ht="13.2" hidden="1" x14ac:dyDescent="0.25">
      <c r="A802" s="1" t="s">
        <v>8</v>
      </c>
      <c r="B802" s="1" t="s">
        <v>9</v>
      </c>
      <c r="C802" s="1" t="s">
        <v>10</v>
      </c>
      <c r="D802" s="1" t="s">
        <v>23</v>
      </c>
      <c r="E802" s="1" t="s">
        <v>12</v>
      </c>
      <c r="F802" s="1">
        <v>44</v>
      </c>
      <c r="G802" s="1">
        <v>54</v>
      </c>
      <c r="H802" s="1">
        <v>49</v>
      </c>
      <c r="I802">
        <f t="shared" si="16"/>
        <v>147</v>
      </c>
    </row>
    <row r="803" spans="1:9" ht="13.2" hidden="1" x14ac:dyDescent="0.25">
      <c r="A803" s="1" t="s">
        <v>19</v>
      </c>
      <c r="B803" s="1" t="s">
        <v>13</v>
      </c>
      <c r="C803" s="1" t="s">
        <v>24</v>
      </c>
      <c r="D803" s="1" t="s">
        <v>11</v>
      </c>
      <c r="E803" s="1" t="s">
        <v>12</v>
      </c>
      <c r="F803" s="1">
        <v>94</v>
      </c>
      <c r="G803" s="1">
        <v>93</v>
      </c>
      <c r="H803" s="1">
        <v>91</v>
      </c>
      <c r="I803">
        <f t="shared" si="16"/>
        <v>278</v>
      </c>
    </row>
    <row r="804" spans="1:9" ht="13.2" hidden="1" x14ac:dyDescent="0.25">
      <c r="A804" s="1" t="s">
        <v>19</v>
      </c>
      <c r="B804" s="1" t="s">
        <v>21</v>
      </c>
      <c r="C804" s="1" t="s">
        <v>22</v>
      </c>
      <c r="D804" s="1" t="s">
        <v>23</v>
      </c>
      <c r="E804" s="1" t="s">
        <v>12</v>
      </c>
      <c r="F804" s="1">
        <v>67</v>
      </c>
      <c r="G804" s="1">
        <v>61</v>
      </c>
      <c r="H804" s="1">
        <v>57</v>
      </c>
      <c r="I804">
        <f t="shared" si="16"/>
        <v>185</v>
      </c>
    </row>
    <row r="805" spans="1:9" ht="13.2" hidden="1" x14ac:dyDescent="0.25">
      <c r="A805" s="1" t="s">
        <v>8</v>
      </c>
      <c r="B805" s="1" t="s">
        <v>18</v>
      </c>
      <c r="C805" s="1" t="s">
        <v>14</v>
      </c>
      <c r="D805" s="1" t="s">
        <v>23</v>
      </c>
      <c r="E805" s="1" t="s">
        <v>12</v>
      </c>
      <c r="F805" s="1">
        <v>62</v>
      </c>
      <c r="G805" s="1">
        <v>73</v>
      </c>
      <c r="H805" s="1">
        <v>70</v>
      </c>
      <c r="I805">
        <f t="shared" si="16"/>
        <v>205</v>
      </c>
    </row>
    <row r="806" spans="1:9" ht="13.2" hidden="1" x14ac:dyDescent="0.25">
      <c r="A806" s="1" t="s">
        <v>19</v>
      </c>
      <c r="B806" s="1" t="s">
        <v>21</v>
      </c>
      <c r="C806" s="1" t="s">
        <v>10</v>
      </c>
      <c r="D806" s="1" t="s">
        <v>11</v>
      </c>
      <c r="E806" s="1" t="s">
        <v>17</v>
      </c>
      <c r="F806" s="1">
        <v>81</v>
      </c>
      <c r="G806" s="1">
        <v>76</v>
      </c>
      <c r="H806" s="1">
        <v>71</v>
      </c>
      <c r="I806">
        <f t="shared" si="16"/>
        <v>228</v>
      </c>
    </row>
    <row r="807" spans="1:9" ht="13.2" hidden="1" x14ac:dyDescent="0.25">
      <c r="A807" s="1" t="s">
        <v>8</v>
      </c>
      <c r="B807" s="1" t="s">
        <v>13</v>
      </c>
      <c r="C807" s="1" t="s">
        <v>22</v>
      </c>
      <c r="D807" s="1" t="s">
        <v>11</v>
      </c>
      <c r="E807" s="1" t="s">
        <v>12</v>
      </c>
      <c r="F807" s="1">
        <v>85</v>
      </c>
      <c r="G807" s="1">
        <v>87</v>
      </c>
      <c r="H807" s="1">
        <v>87</v>
      </c>
      <c r="I807">
        <f t="shared" si="16"/>
        <v>259</v>
      </c>
    </row>
    <row r="808" spans="1:9" ht="13.2" hidden="1" x14ac:dyDescent="0.25">
      <c r="A808" s="1" t="s">
        <v>8</v>
      </c>
      <c r="B808" s="1" t="s">
        <v>13</v>
      </c>
      <c r="C808" s="1" t="s">
        <v>10</v>
      </c>
      <c r="D808" s="1" t="s">
        <v>11</v>
      </c>
      <c r="E808" s="1" t="s">
        <v>17</v>
      </c>
      <c r="F808" s="1">
        <v>83</v>
      </c>
      <c r="G808" s="1">
        <v>97</v>
      </c>
      <c r="H808" s="1">
        <v>98</v>
      </c>
      <c r="I808">
        <f t="shared" si="16"/>
        <v>278</v>
      </c>
    </row>
    <row r="809" spans="1:9" ht="13.2" hidden="1" x14ac:dyDescent="0.25">
      <c r="A809" s="1" t="s">
        <v>8</v>
      </c>
      <c r="B809" s="1" t="s">
        <v>18</v>
      </c>
      <c r="C809" s="1" t="s">
        <v>22</v>
      </c>
      <c r="D809" s="1" t="s">
        <v>11</v>
      </c>
      <c r="E809" s="1" t="s">
        <v>12</v>
      </c>
      <c r="F809" s="1">
        <v>66</v>
      </c>
      <c r="G809" s="1">
        <v>75</v>
      </c>
      <c r="H809" s="1">
        <v>71</v>
      </c>
      <c r="I809">
        <f t="shared" si="16"/>
        <v>212</v>
      </c>
    </row>
    <row r="810" spans="1:9" ht="13.2" hidden="1" x14ac:dyDescent="0.25">
      <c r="A810" s="1" t="s">
        <v>8</v>
      </c>
      <c r="B810" s="1" t="s">
        <v>18</v>
      </c>
      <c r="C810" s="1" t="s">
        <v>16</v>
      </c>
      <c r="D810" s="1" t="s">
        <v>11</v>
      </c>
      <c r="E810" s="1" t="s">
        <v>12</v>
      </c>
      <c r="F810" s="1">
        <v>88</v>
      </c>
      <c r="G810" s="1">
        <v>88</v>
      </c>
      <c r="H810" s="1">
        <v>85</v>
      </c>
      <c r="I810">
        <f t="shared" si="16"/>
        <v>261</v>
      </c>
    </row>
    <row r="811" spans="1:9" ht="13.2" hidden="1" x14ac:dyDescent="0.25">
      <c r="A811" s="1" t="s">
        <v>19</v>
      </c>
      <c r="B811" s="1" t="s">
        <v>18</v>
      </c>
      <c r="C811" s="1" t="s">
        <v>10</v>
      </c>
      <c r="D811" s="1" t="s">
        <v>23</v>
      </c>
      <c r="E811" s="1" t="s">
        <v>12</v>
      </c>
      <c r="F811" s="1">
        <v>46</v>
      </c>
      <c r="G811" s="1">
        <v>35</v>
      </c>
      <c r="H811" s="1">
        <v>38</v>
      </c>
      <c r="I811">
        <f t="shared" si="16"/>
        <v>119</v>
      </c>
    </row>
    <row r="812" spans="1:9" ht="13.2" hidden="1" x14ac:dyDescent="0.25">
      <c r="A812" s="1" t="s">
        <v>8</v>
      </c>
      <c r="B812" s="1" t="s">
        <v>21</v>
      </c>
      <c r="C812" s="1" t="s">
        <v>10</v>
      </c>
      <c r="D812" s="1" t="s">
        <v>11</v>
      </c>
      <c r="E812" s="1" t="s">
        <v>12</v>
      </c>
      <c r="F812" s="1">
        <v>90</v>
      </c>
      <c r="G812" s="1">
        <v>93</v>
      </c>
      <c r="H812" s="1">
        <v>92</v>
      </c>
      <c r="I812">
        <f t="shared" si="16"/>
        <v>275</v>
      </c>
    </row>
    <row r="813" spans="1:9" ht="13.2" hidden="1" x14ac:dyDescent="0.25">
      <c r="A813" s="1" t="s">
        <v>8</v>
      </c>
      <c r="B813" s="1" t="s">
        <v>18</v>
      </c>
      <c r="C813" s="1" t="s">
        <v>20</v>
      </c>
      <c r="D813" s="1" t="s">
        <v>11</v>
      </c>
      <c r="E813" s="1" t="s">
        <v>17</v>
      </c>
      <c r="F813" s="1">
        <v>73</v>
      </c>
      <c r="G813" s="1">
        <v>83</v>
      </c>
      <c r="H813" s="1">
        <v>89</v>
      </c>
      <c r="I813">
        <f t="shared" si="16"/>
        <v>245</v>
      </c>
    </row>
    <row r="814" spans="1:9" ht="13.2" hidden="1" x14ac:dyDescent="0.25">
      <c r="A814" s="1" t="s">
        <v>8</v>
      </c>
      <c r="B814" s="1" t="s">
        <v>9</v>
      </c>
      <c r="C814" s="1" t="s">
        <v>22</v>
      </c>
      <c r="D814" s="1" t="s">
        <v>11</v>
      </c>
      <c r="E814" s="1" t="s">
        <v>17</v>
      </c>
      <c r="F814" s="1">
        <v>66</v>
      </c>
      <c r="G814" s="1">
        <v>72</v>
      </c>
      <c r="H814" s="1">
        <v>69</v>
      </c>
      <c r="I814">
        <f t="shared" si="16"/>
        <v>207</v>
      </c>
    </row>
    <row r="815" spans="1:9" ht="13.2" hidden="1" x14ac:dyDescent="0.25">
      <c r="A815" s="1" t="s">
        <v>19</v>
      </c>
      <c r="B815" s="1" t="s">
        <v>18</v>
      </c>
      <c r="C815" s="1" t="s">
        <v>16</v>
      </c>
      <c r="D815" s="1" t="s">
        <v>11</v>
      </c>
      <c r="E815" s="1" t="s">
        <v>12</v>
      </c>
      <c r="F815" s="1">
        <v>73</v>
      </c>
      <c r="G815" s="1">
        <v>69</v>
      </c>
      <c r="H815" s="1">
        <v>64</v>
      </c>
      <c r="I815">
        <f t="shared" si="16"/>
        <v>206</v>
      </c>
    </row>
    <row r="816" spans="1:9" ht="13.2" hidden="1" x14ac:dyDescent="0.25">
      <c r="A816" s="1" t="s">
        <v>8</v>
      </c>
      <c r="B816" s="1" t="s">
        <v>13</v>
      </c>
      <c r="C816" s="1" t="s">
        <v>10</v>
      </c>
      <c r="D816" s="1" t="s">
        <v>23</v>
      </c>
      <c r="E816" s="1" t="s">
        <v>12</v>
      </c>
      <c r="F816" s="1">
        <v>33</v>
      </c>
      <c r="G816" s="1">
        <v>53</v>
      </c>
      <c r="H816" s="1">
        <v>48</v>
      </c>
      <c r="I816">
        <f t="shared" si="16"/>
        <v>134</v>
      </c>
    </row>
    <row r="817" spans="1:9" ht="13.2" hidden="1" x14ac:dyDescent="0.25">
      <c r="A817" s="1" t="s">
        <v>8</v>
      </c>
      <c r="B817" s="1" t="s">
        <v>21</v>
      </c>
      <c r="C817" s="1" t="s">
        <v>10</v>
      </c>
      <c r="D817" s="1" t="s">
        <v>23</v>
      </c>
      <c r="E817" s="1" t="s">
        <v>12</v>
      </c>
      <c r="F817" s="1">
        <v>74</v>
      </c>
      <c r="G817" s="1">
        <v>82</v>
      </c>
      <c r="H817" s="1">
        <v>82</v>
      </c>
      <c r="I817">
        <f t="shared" si="16"/>
        <v>238</v>
      </c>
    </row>
    <row r="818" spans="1:9" ht="13.2" hidden="1" x14ac:dyDescent="0.25">
      <c r="A818" s="1" t="s">
        <v>19</v>
      </c>
      <c r="B818" s="1" t="s">
        <v>21</v>
      </c>
      <c r="C818" s="1" t="s">
        <v>20</v>
      </c>
      <c r="D818" s="1" t="s">
        <v>11</v>
      </c>
      <c r="E818" s="1" t="s">
        <v>17</v>
      </c>
      <c r="F818" s="1">
        <v>86</v>
      </c>
      <c r="G818" s="1">
        <v>71</v>
      </c>
      <c r="H818" s="1">
        <v>75</v>
      </c>
      <c r="I818">
        <f t="shared" si="16"/>
        <v>232</v>
      </c>
    </row>
    <row r="819" spans="1:9" ht="13.2" hidden="1" x14ac:dyDescent="0.25">
      <c r="A819" s="1" t="s">
        <v>8</v>
      </c>
      <c r="B819" s="1" t="s">
        <v>9</v>
      </c>
      <c r="C819" s="1" t="s">
        <v>16</v>
      </c>
      <c r="D819" s="1" t="s">
        <v>23</v>
      </c>
      <c r="E819" s="1" t="s">
        <v>17</v>
      </c>
      <c r="F819" s="1">
        <v>86</v>
      </c>
      <c r="G819" s="1">
        <v>89</v>
      </c>
      <c r="H819" s="1">
        <v>86</v>
      </c>
      <c r="I819">
        <f t="shared" si="16"/>
        <v>261</v>
      </c>
    </row>
    <row r="820" spans="1:9" ht="13.2" hidden="1" x14ac:dyDescent="0.25">
      <c r="A820" s="1" t="s">
        <v>19</v>
      </c>
      <c r="B820" s="1" t="s">
        <v>15</v>
      </c>
      <c r="C820" s="1" t="s">
        <v>16</v>
      </c>
      <c r="D820" s="1" t="s">
        <v>11</v>
      </c>
      <c r="E820" s="1" t="s">
        <v>12</v>
      </c>
      <c r="F820" s="1">
        <v>72</v>
      </c>
      <c r="G820" s="1">
        <v>64</v>
      </c>
      <c r="H820" s="1">
        <v>57</v>
      </c>
      <c r="I820">
        <f t="shared" si="16"/>
        <v>193</v>
      </c>
    </row>
    <row r="821" spans="1:9" ht="13.2" hidden="1" x14ac:dyDescent="0.25">
      <c r="A821" s="1" t="s">
        <v>19</v>
      </c>
      <c r="B821" s="1" t="s">
        <v>9</v>
      </c>
      <c r="C821" s="1" t="s">
        <v>10</v>
      </c>
      <c r="D821" s="1" t="s">
        <v>11</v>
      </c>
      <c r="E821" s="1" t="s">
        <v>12</v>
      </c>
      <c r="F821" s="1">
        <v>90</v>
      </c>
      <c r="G821" s="1">
        <v>81</v>
      </c>
      <c r="H821" s="1">
        <v>75</v>
      </c>
      <c r="I821">
        <f t="shared" si="16"/>
        <v>246</v>
      </c>
    </row>
    <row r="822" spans="1:9" ht="13.2" hidden="1" x14ac:dyDescent="0.25">
      <c r="A822" s="1" t="s">
        <v>19</v>
      </c>
      <c r="B822" s="1" t="s">
        <v>18</v>
      </c>
      <c r="C822" s="1" t="s">
        <v>16</v>
      </c>
      <c r="D822" s="1" t="s">
        <v>11</v>
      </c>
      <c r="E822" s="1" t="s">
        <v>17</v>
      </c>
      <c r="F822" s="1">
        <v>96</v>
      </c>
      <c r="G822" s="1">
        <v>91</v>
      </c>
      <c r="H822" s="1">
        <v>85</v>
      </c>
      <c r="I822">
        <f t="shared" si="16"/>
        <v>272</v>
      </c>
    </row>
    <row r="823" spans="1:9" ht="13.2" hidden="1" x14ac:dyDescent="0.25">
      <c r="A823" s="1" t="s">
        <v>19</v>
      </c>
      <c r="B823" s="1" t="s">
        <v>18</v>
      </c>
      <c r="C823" s="1" t="s">
        <v>20</v>
      </c>
      <c r="D823" s="1" t="s">
        <v>11</v>
      </c>
      <c r="E823" s="1" t="s">
        <v>17</v>
      </c>
      <c r="F823" s="1">
        <v>63</v>
      </c>
      <c r="G823" s="1">
        <v>62</v>
      </c>
      <c r="H823" s="1">
        <v>66</v>
      </c>
      <c r="I823">
        <f t="shared" si="16"/>
        <v>191</v>
      </c>
    </row>
    <row r="824" spans="1:9" ht="13.2" hidden="1" x14ac:dyDescent="0.25">
      <c r="A824" s="1" t="s">
        <v>8</v>
      </c>
      <c r="B824" s="1" t="s">
        <v>18</v>
      </c>
      <c r="C824" s="1" t="s">
        <v>14</v>
      </c>
      <c r="D824" s="1" t="s">
        <v>23</v>
      </c>
      <c r="E824" s="1" t="s">
        <v>17</v>
      </c>
      <c r="F824" s="1">
        <v>42</v>
      </c>
      <c r="G824" s="1">
        <v>67</v>
      </c>
      <c r="H824" s="1">
        <v>70</v>
      </c>
      <c r="I824">
        <f t="shared" si="16"/>
        <v>179</v>
      </c>
    </row>
    <row r="825" spans="1:9" ht="13.2" hidden="1" x14ac:dyDescent="0.25">
      <c r="A825" s="1" t="s">
        <v>19</v>
      </c>
      <c r="B825" s="1" t="s">
        <v>18</v>
      </c>
      <c r="C825" s="1" t="s">
        <v>22</v>
      </c>
      <c r="D825" s="1" t="s">
        <v>11</v>
      </c>
      <c r="E825" s="1" t="s">
        <v>12</v>
      </c>
      <c r="F825" s="1">
        <v>56</v>
      </c>
      <c r="G825" s="1">
        <v>61</v>
      </c>
      <c r="H825" s="1">
        <v>51</v>
      </c>
      <c r="I825">
        <f t="shared" si="16"/>
        <v>168</v>
      </c>
    </row>
    <row r="826" spans="1:9" ht="13.2" hidden="1" x14ac:dyDescent="0.25">
      <c r="A826" s="1" t="s">
        <v>8</v>
      </c>
      <c r="B826" s="1" t="s">
        <v>13</v>
      </c>
      <c r="C826" s="1" t="s">
        <v>22</v>
      </c>
      <c r="D826" s="1" t="s">
        <v>23</v>
      </c>
      <c r="E826" s="1" t="s">
        <v>12</v>
      </c>
      <c r="F826" s="1">
        <v>59</v>
      </c>
      <c r="G826" s="1">
        <v>76</v>
      </c>
      <c r="H826" s="1">
        <v>75</v>
      </c>
      <c r="I826">
        <f t="shared" si="16"/>
        <v>210</v>
      </c>
    </row>
    <row r="827" spans="1:9" ht="13.2" hidden="1" x14ac:dyDescent="0.25">
      <c r="A827" s="1" t="s">
        <v>8</v>
      </c>
      <c r="B827" s="1" t="s">
        <v>18</v>
      </c>
      <c r="C827" s="1" t="s">
        <v>14</v>
      </c>
      <c r="D827" s="1" t="s">
        <v>23</v>
      </c>
      <c r="E827" s="1" t="s">
        <v>12</v>
      </c>
      <c r="F827" s="1">
        <v>66</v>
      </c>
      <c r="G827" s="1">
        <v>72</v>
      </c>
      <c r="H827" s="1">
        <v>77</v>
      </c>
      <c r="I827">
        <f t="shared" si="16"/>
        <v>215</v>
      </c>
    </row>
    <row r="828" spans="1:9" ht="13.2" hidden="1" x14ac:dyDescent="0.25">
      <c r="A828" s="1" t="s">
        <v>19</v>
      </c>
      <c r="B828" s="1" t="s">
        <v>21</v>
      </c>
      <c r="C828" s="1" t="s">
        <v>14</v>
      </c>
      <c r="D828" s="1" t="s">
        <v>23</v>
      </c>
      <c r="E828" s="1" t="s">
        <v>12</v>
      </c>
      <c r="F828" s="1">
        <v>63</v>
      </c>
      <c r="G828" s="1">
        <v>65</v>
      </c>
      <c r="H828" s="1">
        <v>64</v>
      </c>
      <c r="I828">
        <f t="shared" si="16"/>
        <v>192</v>
      </c>
    </row>
    <row r="829" spans="1:9" ht="13.2" hidden="1" x14ac:dyDescent="0.25">
      <c r="A829" s="1" t="s">
        <v>19</v>
      </c>
      <c r="B829" s="1" t="s">
        <v>13</v>
      </c>
      <c r="C829" s="1" t="s">
        <v>22</v>
      </c>
      <c r="D829" s="1" t="s">
        <v>23</v>
      </c>
      <c r="E829" s="1" t="s">
        <v>12</v>
      </c>
      <c r="F829" s="1">
        <v>46</v>
      </c>
      <c r="G829" s="1">
        <v>48</v>
      </c>
      <c r="H829" s="1">
        <v>45</v>
      </c>
      <c r="I829">
        <f t="shared" si="16"/>
        <v>139</v>
      </c>
    </row>
    <row r="830" spans="1:9" ht="13.2" hidden="1" x14ac:dyDescent="0.25">
      <c r="A830" s="1" t="s">
        <v>19</v>
      </c>
      <c r="B830" s="1" t="s">
        <v>15</v>
      </c>
      <c r="C830" s="1" t="s">
        <v>10</v>
      </c>
      <c r="D830" s="1" t="s">
        <v>11</v>
      </c>
      <c r="E830" s="1" t="s">
        <v>12</v>
      </c>
      <c r="F830" s="1">
        <v>52</v>
      </c>
      <c r="G830" s="1">
        <v>51</v>
      </c>
      <c r="H830" s="1">
        <v>47</v>
      </c>
      <c r="I830">
        <f t="shared" si="16"/>
        <v>150</v>
      </c>
    </row>
    <row r="831" spans="1:9" ht="13.2" hidden="1" x14ac:dyDescent="0.25">
      <c r="A831" s="1" t="s">
        <v>19</v>
      </c>
      <c r="B831" s="1" t="s">
        <v>13</v>
      </c>
      <c r="C831" s="1" t="s">
        <v>24</v>
      </c>
      <c r="D831" s="1" t="s">
        <v>23</v>
      </c>
      <c r="E831" s="1" t="s">
        <v>12</v>
      </c>
      <c r="F831" s="1">
        <v>40</v>
      </c>
      <c r="G831" s="1">
        <v>39</v>
      </c>
      <c r="H831" s="1">
        <v>39</v>
      </c>
      <c r="I831">
        <f t="shared" si="16"/>
        <v>118</v>
      </c>
    </row>
    <row r="832" spans="1:9" ht="13.2" hidden="1" x14ac:dyDescent="0.25">
      <c r="A832" s="1" t="s">
        <v>8</v>
      </c>
      <c r="B832" s="1" t="s">
        <v>18</v>
      </c>
      <c r="C832" s="1" t="s">
        <v>22</v>
      </c>
      <c r="D832" s="1" t="s">
        <v>11</v>
      </c>
      <c r="E832" s="1" t="s">
        <v>12</v>
      </c>
      <c r="F832" s="1">
        <v>42</v>
      </c>
      <c r="G832" s="1">
        <v>52</v>
      </c>
      <c r="H832" s="1">
        <v>55</v>
      </c>
      <c r="I832">
        <f t="shared" si="16"/>
        <v>149</v>
      </c>
    </row>
    <row r="833" spans="1:9" ht="13.2" hidden="1" x14ac:dyDescent="0.25">
      <c r="A833" s="1" t="s">
        <v>19</v>
      </c>
      <c r="B833" s="1" t="s">
        <v>9</v>
      </c>
      <c r="C833" s="1" t="s">
        <v>22</v>
      </c>
      <c r="D833" s="1" t="s">
        <v>23</v>
      </c>
      <c r="E833" s="1" t="s">
        <v>12</v>
      </c>
      <c r="F833" s="1">
        <v>49</v>
      </c>
      <c r="G833" s="1">
        <v>46</v>
      </c>
      <c r="H833" s="1">
        <v>49</v>
      </c>
      <c r="I833">
        <f t="shared" si="16"/>
        <v>144</v>
      </c>
    </row>
    <row r="834" spans="1:9" ht="13.2" hidden="1" x14ac:dyDescent="0.25">
      <c r="A834" s="1" t="s">
        <v>8</v>
      </c>
      <c r="B834" s="1" t="s">
        <v>9</v>
      </c>
      <c r="C834" s="1" t="s">
        <v>14</v>
      </c>
      <c r="D834" s="1" t="s">
        <v>11</v>
      </c>
      <c r="E834" s="1" t="s">
        <v>12</v>
      </c>
      <c r="F834" s="1">
        <v>68</v>
      </c>
      <c r="G834" s="1">
        <v>84</v>
      </c>
      <c r="H834" s="1">
        <v>76</v>
      </c>
      <c r="I834">
        <f t="shared" si="16"/>
        <v>228</v>
      </c>
    </row>
    <row r="835" spans="1:9" ht="13.2" hidden="1" x14ac:dyDescent="0.25">
      <c r="A835" s="1" t="s">
        <v>8</v>
      </c>
      <c r="B835" s="1" t="s">
        <v>13</v>
      </c>
      <c r="C835" s="1" t="s">
        <v>14</v>
      </c>
      <c r="D835" s="1" t="s">
        <v>11</v>
      </c>
      <c r="E835" s="1" t="s">
        <v>17</v>
      </c>
      <c r="F835" s="1">
        <v>68</v>
      </c>
      <c r="G835" s="1">
        <v>86</v>
      </c>
      <c r="H835" s="1">
        <v>86</v>
      </c>
      <c r="I835">
        <f t="shared" ref="I835:I898" si="17">SUM(F835:H835)</f>
        <v>240</v>
      </c>
    </row>
    <row r="836" spans="1:9" ht="13.2" hidden="1" x14ac:dyDescent="0.25">
      <c r="A836" s="1" t="s">
        <v>8</v>
      </c>
      <c r="B836" s="1" t="s">
        <v>13</v>
      </c>
      <c r="C836" s="1" t="s">
        <v>16</v>
      </c>
      <c r="D836" s="1" t="s">
        <v>11</v>
      </c>
      <c r="E836" s="1" t="s">
        <v>12</v>
      </c>
      <c r="F836" s="1">
        <v>54</v>
      </c>
      <c r="G836" s="1">
        <v>70</v>
      </c>
      <c r="H836" s="1">
        <v>67</v>
      </c>
      <c r="I836">
        <f t="shared" si="17"/>
        <v>191</v>
      </c>
    </row>
    <row r="837" spans="1:9" ht="13.2" hidden="1" x14ac:dyDescent="0.25">
      <c r="A837" s="1" t="s">
        <v>8</v>
      </c>
      <c r="B837" s="1" t="s">
        <v>13</v>
      </c>
      <c r="C837" s="1" t="s">
        <v>20</v>
      </c>
      <c r="D837" s="1" t="s">
        <v>11</v>
      </c>
      <c r="E837" s="1" t="s">
        <v>12</v>
      </c>
      <c r="F837" s="1">
        <v>65</v>
      </c>
      <c r="G837" s="1">
        <v>78</v>
      </c>
      <c r="H837" s="1">
        <v>77</v>
      </c>
      <c r="I837">
        <f t="shared" si="17"/>
        <v>220</v>
      </c>
    </row>
    <row r="838" spans="1:9" ht="13.2" hidden="1" x14ac:dyDescent="0.25">
      <c r="A838" s="1" t="s">
        <v>19</v>
      </c>
      <c r="B838" s="1" t="s">
        <v>13</v>
      </c>
      <c r="C838" s="1" t="s">
        <v>16</v>
      </c>
      <c r="D838" s="1" t="s">
        <v>11</v>
      </c>
      <c r="E838" s="1" t="s">
        <v>17</v>
      </c>
      <c r="F838" s="1">
        <v>99</v>
      </c>
      <c r="G838" s="1">
        <v>91</v>
      </c>
      <c r="H838" s="1">
        <v>94</v>
      </c>
      <c r="I838">
        <f t="shared" si="17"/>
        <v>284</v>
      </c>
    </row>
    <row r="839" spans="1:9" ht="13.2" hidden="1" x14ac:dyDescent="0.25">
      <c r="A839" s="1" t="s">
        <v>8</v>
      </c>
      <c r="B839" s="1" t="s">
        <v>9</v>
      </c>
      <c r="C839" s="1" t="s">
        <v>14</v>
      </c>
      <c r="D839" s="1" t="s">
        <v>23</v>
      </c>
      <c r="E839" s="1" t="s">
        <v>17</v>
      </c>
      <c r="F839" s="1">
        <v>52</v>
      </c>
      <c r="G839" s="1">
        <v>68</v>
      </c>
      <c r="H839" s="1">
        <v>68</v>
      </c>
      <c r="I839">
        <f t="shared" si="17"/>
        <v>188</v>
      </c>
    </row>
    <row r="840" spans="1:9" ht="13.2" hidden="1" x14ac:dyDescent="0.25">
      <c r="A840" s="1" t="s">
        <v>19</v>
      </c>
      <c r="B840" s="1" t="s">
        <v>13</v>
      </c>
      <c r="C840" s="1" t="s">
        <v>14</v>
      </c>
      <c r="D840" s="1" t="s">
        <v>11</v>
      </c>
      <c r="E840" s="1" t="s">
        <v>17</v>
      </c>
      <c r="F840" s="1">
        <v>88</v>
      </c>
      <c r="G840" s="1">
        <v>76</v>
      </c>
      <c r="H840" s="1">
        <v>79</v>
      </c>
      <c r="I840">
        <f t="shared" si="17"/>
        <v>243</v>
      </c>
    </row>
    <row r="841" spans="1:9" ht="13.2" hidden="1" x14ac:dyDescent="0.25">
      <c r="A841" s="1" t="s">
        <v>19</v>
      </c>
      <c r="B841" s="1" t="s">
        <v>9</v>
      </c>
      <c r="C841" s="1" t="s">
        <v>22</v>
      </c>
      <c r="D841" s="1" t="s">
        <v>23</v>
      </c>
      <c r="E841" s="1" t="s">
        <v>12</v>
      </c>
      <c r="F841" s="1">
        <v>39</v>
      </c>
      <c r="G841" s="1">
        <v>41</v>
      </c>
      <c r="H841" s="1">
        <v>32</v>
      </c>
      <c r="I841">
        <f t="shared" si="17"/>
        <v>112</v>
      </c>
    </row>
    <row r="842" spans="1:9" ht="13.2" hidden="1" x14ac:dyDescent="0.25">
      <c r="A842" s="1" t="s">
        <v>8</v>
      </c>
      <c r="B842" s="1" t="s">
        <v>21</v>
      </c>
      <c r="C842" s="1" t="s">
        <v>20</v>
      </c>
      <c r="D842" s="1" t="s">
        <v>11</v>
      </c>
      <c r="E842" s="1" t="s">
        <v>12</v>
      </c>
      <c r="F842" s="1">
        <v>66</v>
      </c>
      <c r="G842" s="1">
        <v>68</v>
      </c>
      <c r="H842" s="1">
        <v>67</v>
      </c>
      <c r="I842">
        <f t="shared" si="17"/>
        <v>201</v>
      </c>
    </row>
    <row r="843" spans="1:9" ht="13.2" hidden="1" x14ac:dyDescent="0.25">
      <c r="A843" s="1" t="s">
        <v>8</v>
      </c>
      <c r="B843" s="1" t="s">
        <v>13</v>
      </c>
      <c r="C843" s="1" t="s">
        <v>20</v>
      </c>
      <c r="D843" s="1" t="s">
        <v>11</v>
      </c>
      <c r="E843" s="1" t="s">
        <v>17</v>
      </c>
      <c r="F843" s="1">
        <v>72</v>
      </c>
      <c r="G843" s="1">
        <v>80</v>
      </c>
      <c r="H843" s="1">
        <v>86</v>
      </c>
      <c r="I843">
        <f t="shared" si="17"/>
        <v>238</v>
      </c>
    </row>
    <row r="844" spans="1:9" ht="13.2" hidden="1" x14ac:dyDescent="0.25">
      <c r="A844" s="1" t="s">
        <v>19</v>
      </c>
      <c r="B844" s="1" t="s">
        <v>9</v>
      </c>
      <c r="C844" s="1" t="s">
        <v>22</v>
      </c>
      <c r="D844" s="1" t="s">
        <v>11</v>
      </c>
      <c r="E844" s="1" t="s">
        <v>12</v>
      </c>
      <c r="F844" s="1">
        <v>53</v>
      </c>
      <c r="G844" s="1">
        <v>46</v>
      </c>
      <c r="H844" s="1">
        <v>45</v>
      </c>
      <c r="I844">
        <f t="shared" si="17"/>
        <v>144</v>
      </c>
    </row>
    <row r="845" spans="1:9" ht="13.2" hidden="1" x14ac:dyDescent="0.25">
      <c r="A845" s="1" t="s">
        <v>8</v>
      </c>
      <c r="B845" s="1" t="s">
        <v>15</v>
      </c>
      <c r="C845" s="1" t="s">
        <v>20</v>
      </c>
      <c r="D845" s="1" t="s">
        <v>11</v>
      </c>
      <c r="E845" s="1" t="s">
        <v>17</v>
      </c>
      <c r="F845" s="1">
        <v>84</v>
      </c>
      <c r="G845" s="1">
        <v>95</v>
      </c>
      <c r="H845" s="1">
        <v>95</v>
      </c>
      <c r="I845">
        <f t="shared" si="17"/>
        <v>274</v>
      </c>
    </row>
    <row r="846" spans="1:9" ht="13.2" hidden="1" x14ac:dyDescent="0.25">
      <c r="A846" s="1" t="s">
        <v>8</v>
      </c>
      <c r="B846" s="1" t="s">
        <v>13</v>
      </c>
      <c r="C846" s="1" t="s">
        <v>16</v>
      </c>
      <c r="D846" s="1" t="s">
        <v>23</v>
      </c>
      <c r="E846" s="1" t="s">
        <v>12</v>
      </c>
      <c r="F846" s="1">
        <v>52</v>
      </c>
      <c r="G846" s="1">
        <v>65</v>
      </c>
      <c r="H846" s="1">
        <v>67</v>
      </c>
      <c r="I846">
        <f t="shared" si="17"/>
        <v>184</v>
      </c>
    </row>
    <row r="847" spans="1:9" ht="13.2" hidden="1" x14ac:dyDescent="0.25">
      <c r="A847" s="1" t="s">
        <v>8</v>
      </c>
      <c r="B847" s="1" t="s">
        <v>9</v>
      </c>
      <c r="C847" s="1" t="s">
        <v>22</v>
      </c>
      <c r="D847" s="1" t="s">
        <v>23</v>
      </c>
      <c r="E847" s="1" t="s">
        <v>12</v>
      </c>
      <c r="F847" s="1">
        <v>71</v>
      </c>
      <c r="G847" s="1">
        <v>82</v>
      </c>
      <c r="H847" s="1">
        <v>75</v>
      </c>
      <c r="I847">
        <f t="shared" si="17"/>
        <v>228</v>
      </c>
    </row>
    <row r="848" spans="1:9" ht="13.2" hidden="1" x14ac:dyDescent="0.25">
      <c r="A848" s="1" t="s">
        <v>8</v>
      </c>
      <c r="B848" s="1" t="s">
        <v>15</v>
      </c>
      <c r="C848" s="1" t="s">
        <v>14</v>
      </c>
      <c r="D848" s="1" t="s">
        <v>11</v>
      </c>
      <c r="E848" s="1" t="s">
        <v>12</v>
      </c>
      <c r="F848" s="1">
        <v>80</v>
      </c>
      <c r="G848" s="1">
        <v>85</v>
      </c>
      <c r="H848" s="1">
        <v>83</v>
      </c>
      <c r="I848">
        <f t="shared" si="17"/>
        <v>248</v>
      </c>
    </row>
    <row r="849" spans="1:9" ht="13.2" hidden="1" x14ac:dyDescent="0.25">
      <c r="A849" s="1" t="s">
        <v>8</v>
      </c>
      <c r="B849" s="1" t="s">
        <v>18</v>
      </c>
      <c r="C849" s="1" t="s">
        <v>20</v>
      </c>
      <c r="D849" s="1" t="s">
        <v>23</v>
      </c>
      <c r="E849" s="1" t="s">
        <v>12</v>
      </c>
      <c r="F849" s="1">
        <v>30</v>
      </c>
      <c r="G849" s="1">
        <v>51</v>
      </c>
      <c r="H849" s="1">
        <v>46</v>
      </c>
      <c r="I849">
        <f t="shared" si="17"/>
        <v>127</v>
      </c>
    </row>
    <row r="850" spans="1:9" ht="13.2" hidden="1" x14ac:dyDescent="0.25">
      <c r="A850" s="1" t="s">
        <v>8</v>
      </c>
      <c r="B850" s="1" t="s">
        <v>9</v>
      </c>
      <c r="C850" s="1" t="s">
        <v>22</v>
      </c>
      <c r="D850" s="1" t="s">
        <v>11</v>
      </c>
      <c r="E850" s="1" t="s">
        <v>17</v>
      </c>
      <c r="F850" s="1">
        <v>51</v>
      </c>
      <c r="G850" s="1">
        <v>57</v>
      </c>
      <c r="H850" s="1">
        <v>63</v>
      </c>
      <c r="I850">
        <f t="shared" si="17"/>
        <v>171</v>
      </c>
    </row>
    <row r="851" spans="1:9" ht="13.2" hidden="1" x14ac:dyDescent="0.25">
      <c r="A851" s="1" t="s">
        <v>19</v>
      </c>
      <c r="B851" s="1" t="s">
        <v>21</v>
      </c>
      <c r="C851" s="1" t="s">
        <v>22</v>
      </c>
      <c r="D851" s="1" t="s">
        <v>23</v>
      </c>
      <c r="E851" s="1" t="s">
        <v>12</v>
      </c>
      <c r="F851" s="1">
        <v>72</v>
      </c>
      <c r="G851" s="1">
        <v>73</v>
      </c>
      <c r="H851" s="1">
        <v>66</v>
      </c>
      <c r="I851">
        <f t="shared" si="17"/>
        <v>211</v>
      </c>
    </row>
    <row r="852" spans="1:9" ht="13.2" hidden="1" x14ac:dyDescent="0.25">
      <c r="A852" s="1" t="s">
        <v>19</v>
      </c>
      <c r="B852" s="1" t="s">
        <v>18</v>
      </c>
      <c r="C852" s="1" t="s">
        <v>14</v>
      </c>
      <c r="D852" s="1" t="s">
        <v>23</v>
      </c>
      <c r="E852" s="1" t="s">
        <v>12</v>
      </c>
      <c r="F852" s="1">
        <v>77</v>
      </c>
      <c r="G852" s="1">
        <v>73</v>
      </c>
      <c r="H852" s="1">
        <v>68</v>
      </c>
      <c r="I852">
        <f t="shared" si="17"/>
        <v>218</v>
      </c>
    </row>
    <row r="853" spans="1:9" ht="13.2" hidden="1" x14ac:dyDescent="0.25">
      <c r="A853" s="1" t="s">
        <v>8</v>
      </c>
      <c r="B853" s="1" t="s">
        <v>15</v>
      </c>
      <c r="C853" s="1" t="s">
        <v>14</v>
      </c>
      <c r="D853" s="1" t="s">
        <v>11</v>
      </c>
      <c r="E853" s="1" t="s">
        <v>12</v>
      </c>
      <c r="F853" s="1">
        <v>64</v>
      </c>
      <c r="G853" s="1">
        <v>75</v>
      </c>
      <c r="H853" s="1">
        <v>70</v>
      </c>
      <c r="I853">
        <f t="shared" si="17"/>
        <v>209</v>
      </c>
    </row>
    <row r="854" spans="1:9" ht="13.2" hidden="1" x14ac:dyDescent="0.25">
      <c r="A854" s="1" t="s">
        <v>19</v>
      </c>
      <c r="B854" s="1" t="s">
        <v>18</v>
      </c>
      <c r="C854" s="1" t="s">
        <v>16</v>
      </c>
      <c r="D854" s="1" t="s">
        <v>11</v>
      </c>
      <c r="E854" s="1" t="s">
        <v>17</v>
      </c>
      <c r="F854" s="1">
        <v>100</v>
      </c>
      <c r="G854" s="1">
        <v>100</v>
      </c>
      <c r="H854" s="1">
        <v>98</v>
      </c>
      <c r="I854">
        <f t="shared" si="17"/>
        <v>298</v>
      </c>
    </row>
    <row r="855" spans="1:9" ht="13.2" hidden="1" x14ac:dyDescent="0.25">
      <c r="A855" s="1" t="s">
        <v>19</v>
      </c>
      <c r="B855" s="1" t="s">
        <v>9</v>
      </c>
      <c r="C855" s="1" t="s">
        <v>14</v>
      </c>
      <c r="D855" s="1" t="s">
        <v>23</v>
      </c>
      <c r="E855" s="1" t="s">
        <v>12</v>
      </c>
      <c r="F855" s="1">
        <v>75</v>
      </c>
      <c r="G855" s="1">
        <v>70</v>
      </c>
      <c r="H855" s="1">
        <v>74</v>
      </c>
      <c r="I855">
        <f t="shared" si="17"/>
        <v>219</v>
      </c>
    </row>
    <row r="856" spans="1:9" ht="13.2" hidden="1" x14ac:dyDescent="0.25">
      <c r="A856" s="1" t="s">
        <v>19</v>
      </c>
      <c r="B856" s="1" t="s">
        <v>18</v>
      </c>
      <c r="C856" s="1" t="s">
        <v>10</v>
      </c>
      <c r="D856" s="1" t="s">
        <v>23</v>
      </c>
      <c r="E856" s="1" t="s">
        <v>12</v>
      </c>
      <c r="F856" s="1">
        <v>29</v>
      </c>
      <c r="G856" s="1">
        <v>31</v>
      </c>
      <c r="H856" s="1">
        <v>21</v>
      </c>
      <c r="I856">
        <f t="shared" si="17"/>
        <v>81</v>
      </c>
    </row>
    <row r="857" spans="1:9" ht="13.2" hidden="1" x14ac:dyDescent="0.25">
      <c r="A857" s="1" t="s">
        <v>8</v>
      </c>
      <c r="B857" s="1" t="s">
        <v>15</v>
      </c>
      <c r="C857" s="1" t="s">
        <v>10</v>
      </c>
      <c r="D857" s="1" t="s">
        <v>11</v>
      </c>
      <c r="E857" s="1" t="s">
        <v>17</v>
      </c>
      <c r="F857" s="1">
        <v>43</v>
      </c>
      <c r="G857" s="1">
        <v>63</v>
      </c>
      <c r="H857" s="1">
        <v>63</v>
      </c>
      <c r="I857">
        <f t="shared" si="17"/>
        <v>169</v>
      </c>
    </row>
    <row r="858" spans="1:9" ht="13.2" hidden="1" x14ac:dyDescent="0.25">
      <c r="A858" s="1" t="s">
        <v>8</v>
      </c>
      <c r="B858" s="1" t="s">
        <v>13</v>
      </c>
      <c r="C858" s="1" t="s">
        <v>10</v>
      </c>
      <c r="D858" s="1" t="s">
        <v>11</v>
      </c>
      <c r="E858" s="1" t="s">
        <v>17</v>
      </c>
      <c r="F858" s="1">
        <v>79</v>
      </c>
      <c r="G858" s="1">
        <v>82</v>
      </c>
      <c r="H858" s="1">
        <v>82</v>
      </c>
      <c r="I858">
        <f t="shared" si="17"/>
        <v>243</v>
      </c>
    </row>
    <row r="859" spans="1:9" ht="13.2" hidden="1" x14ac:dyDescent="0.25">
      <c r="A859" s="1" t="s">
        <v>8</v>
      </c>
      <c r="B859" s="1" t="s">
        <v>21</v>
      </c>
      <c r="C859" s="1" t="s">
        <v>14</v>
      </c>
      <c r="D859" s="1" t="s">
        <v>11</v>
      </c>
      <c r="E859" s="1" t="s">
        <v>17</v>
      </c>
      <c r="F859" s="1">
        <v>69</v>
      </c>
      <c r="G859" s="1">
        <v>73</v>
      </c>
      <c r="H859" s="1">
        <v>73</v>
      </c>
      <c r="I859">
        <f t="shared" si="17"/>
        <v>215</v>
      </c>
    </row>
    <row r="860" spans="1:9" ht="13.2" hidden="1" x14ac:dyDescent="0.25">
      <c r="A860" s="1" t="s">
        <v>19</v>
      </c>
      <c r="B860" s="1" t="s">
        <v>18</v>
      </c>
      <c r="C860" s="1" t="s">
        <v>10</v>
      </c>
      <c r="D860" s="1" t="s">
        <v>11</v>
      </c>
      <c r="E860" s="1" t="s">
        <v>12</v>
      </c>
      <c r="F860" s="1">
        <v>70</v>
      </c>
      <c r="G860" s="1">
        <v>65</v>
      </c>
      <c r="H860" s="1">
        <v>60</v>
      </c>
      <c r="I860">
        <f t="shared" si="17"/>
        <v>195</v>
      </c>
    </row>
    <row r="861" spans="1:9" ht="13.2" hidden="1" x14ac:dyDescent="0.25">
      <c r="A861" s="1" t="s">
        <v>19</v>
      </c>
      <c r="B861" s="1" t="s">
        <v>13</v>
      </c>
      <c r="C861" s="1" t="s">
        <v>16</v>
      </c>
      <c r="D861" s="1" t="s">
        <v>11</v>
      </c>
      <c r="E861" s="1" t="s">
        <v>17</v>
      </c>
      <c r="F861" s="1">
        <v>92</v>
      </c>
      <c r="G861" s="1">
        <v>87</v>
      </c>
      <c r="H861" s="1">
        <v>89</v>
      </c>
      <c r="I861">
        <f t="shared" si="17"/>
        <v>268</v>
      </c>
    </row>
    <row r="862" spans="1:9" ht="13.2" hidden="1" x14ac:dyDescent="0.25">
      <c r="A862" s="1" t="s">
        <v>19</v>
      </c>
      <c r="B862" s="1" t="s">
        <v>18</v>
      </c>
      <c r="C862" s="1" t="s">
        <v>10</v>
      </c>
      <c r="D862" s="1" t="s">
        <v>11</v>
      </c>
      <c r="E862" s="1" t="s">
        <v>17</v>
      </c>
      <c r="F862" s="1">
        <v>57</v>
      </c>
      <c r="G862" s="1">
        <v>70</v>
      </c>
      <c r="H862" s="1">
        <v>66</v>
      </c>
      <c r="I862">
        <f t="shared" si="17"/>
        <v>193</v>
      </c>
    </row>
    <row r="863" spans="1:9" ht="13.2" hidden="1" x14ac:dyDescent="0.25">
      <c r="A863" s="1" t="s">
        <v>8</v>
      </c>
      <c r="B863" s="1" t="s">
        <v>15</v>
      </c>
      <c r="C863" s="1" t="s">
        <v>16</v>
      </c>
      <c r="D863" s="1" t="s">
        <v>23</v>
      </c>
      <c r="E863" s="1" t="s">
        <v>12</v>
      </c>
      <c r="F863" s="1">
        <v>53</v>
      </c>
      <c r="G863" s="1">
        <v>67</v>
      </c>
      <c r="H863" s="1">
        <v>67</v>
      </c>
      <c r="I863">
        <f t="shared" si="17"/>
        <v>187</v>
      </c>
    </row>
    <row r="864" spans="1:9" ht="13.2" hidden="1" x14ac:dyDescent="0.25">
      <c r="A864" s="1" t="s">
        <v>19</v>
      </c>
      <c r="B864" s="1" t="s">
        <v>9</v>
      </c>
      <c r="C864" s="1" t="s">
        <v>20</v>
      </c>
      <c r="D864" s="1" t="s">
        <v>11</v>
      </c>
      <c r="E864" s="1" t="s">
        <v>17</v>
      </c>
      <c r="F864" s="1">
        <v>90</v>
      </c>
      <c r="G864" s="1">
        <v>87</v>
      </c>
      <c r="H864" s="1">
        <v>82</v>
      </c>
      <c r="I864">
        <f t="shared" si="17"/>
        <v>259</v>
      </c>
    </row>
    <row r="865" spans="1:9" ht="13.2" hidden="1" x14ac:dyDescent="0.25">
      <c r="A865" s="1" t="s">
        <v>8</v>
      </c>
      <c r="B865" s="1" t="s">
        <v>15</v>
      </c>
      <c r="C865" s="1" t="s">
        <v>20</v>
      </c>
      <c r="D865" s="1" t="s">
        <v>11</v>
      </c>
      <c r="E865" s="1" t="s">
        <v>12</v>
      </c>
      <c r="F865" s="1">
        <v>51</v>
      </c>
      <c r="G865" s="1">
        <v>60</v>
      </c>
      <c r="H865" s="1">
        <v>59</v>
      </c>
      <c r="I865">
        <f t="shared" si="17"/>
        <v>170</v>
      </c>
    </row>
    <row r="866" spans="1:9" ht="13.2" hidden="1" x14ac:dyDescent="0.25">
      <c r="A866" s="1" t="s">
        <v>19</v>
      </c>
      <c r="B866" s="1" t="s">
        <v>9</v>
      </c>
      <c r="C866" s="1" t="s">
        <v>10</v>
      </c>
      <c r="D866" s="1" t="s">
        <v>11</v>
      </c>
      <c r="E866" s="1" t="s">
        <v>17</v>
      </c>
      <c r="F866" s="1">
        <v>58</v>
      </c>
      <c r="G866" s="1">
        <v>60</v>
      </c>
      <c r="H866" s="1">
        <v>60</v>
      </c>
      <c r="I866">
        <f t="shared" si="17"/>
        <v>178</v>
      </c>
    </row>
    <row r="867" spans="1:9" ht="13.2" hidden="1" x14ac:dyDescent="0.25">
      <c r="A867" s="1" t="s">
        <v>8</v>
      </c>
      <c r="B867" s="1" t="s">
        <v>21</v>
      </c>
      <c r="C867" s="1" t="s">
        <v>22</v>
      </c>
      <c r="D867" s="1" t="s">
        <v>11</v>
      </c>
      <c r="E867" s="1" t="s">
        <v>12</v>
      </c>
      <c r="F867" s="1">
        <v>58</v>
      </c>
      <c r="G867" s="1">
        <v>66</v>
      </c>
      <c r="H867" s="1">
        <v>64</v>
      </c>
      <c r="I867">
        <f t="shared" si="17"/>
        <v>188</v>
      </c>
    </row>
    <row r="868" spans="1:9" ht="13.2" hidden="1" x14ac:dyDescent="0.25">
      <c r="A868" s="1" t="s">
        <v>8</v>
      </c>
      <c r="B868" s="1" t="s">
        <v>18</v>
      </c>
      <c r="C868" s="1" t="s">
        <v>20</v>
      </c>
      <c r="D868" s="1" t="s">
        <v>11</v>
      </c>
      <c r="E868" s="1" t="s">
        <v>12</v>
      </c>
      <c r="F868" s="1">
        <v>76</v>
      </c>
      <c r="G868" s="1">
        <v>81</v>
      </c>
      <c r="H868" s="1">
        <v>85</v>
      </c>
      <c r="I868">
        <f t="shared" si="17"/>
        <v>242</v>
      </c>
    </row>
    <row r="869" spans="1:9" ht="13.2" hidden="1" x14ac:dyDescent="0.25">
      <c r="A869" s="1" t="s">
        <v>8</v>
      </c>
      <c r="B869" s="1" t="s">
        <v>9</v>
      </c>
      <c r="C869" s="1" t="s">
        <v>22</v>
      </c>
      <c r="D869" s="1" t="s">
        <v>23</v>
      </c>
      <c r="E869" s="1" t="s">
        <v>17</v>
      </c>
      <c r="F869" s="1">
        <v>39</v>
      </c>
      <c r="G869" s="1">
        <v>52</v>
      </c>
      <c r="H869" s="1">
        <v>45</v>
      </c>
      <c r="I869">
        <f t="shared" si="17"/>
        <v>136</v>
      </c>
    </row>
    <row r="870" spans="1:9" ht="13.2" hidden="1" x14ac:dyDescent="0.25">
      <c r="A870" s="1" t="s">
        <v>19</v>
      </c>
      <c r="B870" s="1" t="s">
        <v>9</v>
      </c>
      <c r="C870" s="1" t="s">
        <v>14</v>
      </c>
      <c r="D870" s="1" t="s">
        <v>11</v>
      </c>
      <c r="E870" s="1" t="s">
        <v>17</v>
      </c>
      <c r="F870" s="1">
        <v>60</v>
      </c>
      <c r="G870" s="1">
        <v>68</v>
      </c>
      <c r="H870" s="1">
        <v>69</v>
      </c>
      <c r="I870">
        <f t="shared" si="17"/>
        <v>197</v>
      </c>
    </row>
    <row r="871" spans="1:9" ht="13.2" hidden="1" x14ac:dyDescent="0.25">
      <c r="A871" s="1" t="s">
        <v>8</v>
      </c>
      <c r="B871" s="1" t="s">
        <v>13</v>
      </c>
      <c r="C871" s="1" t="s">
        <v>20</v>
      </c>
      <c r="D871" s="1" t="s">
        <v>11</v>
      </c>
      <c r="E871" s="1" t="s">
        <v>17</v>
      </c>
      <c r="F871" s="1">
        <v>90</v>
      </c>
      <c r="G871" s="1">
        <v>97</v>
      </c>
      <c r="H871" s="1">
        <v>99</v>
      </c>
      <c r="I871">
        <f t="shared" si="17"/>
        <v>286</v>
      </c>
    </row>
    <row r="872" spans="1:9" ht="13.2" hidden="1" x14ac:dyDescent="0.25">
      <c r="A872" s="1" t="s">
        <v>8</v>
      </c>
      <c r="B872" s="1" t="s">
        <v>18</v>
      </c>
      <c r="C872" s="1" t="s">
        <v>20</v>
      </c>
      <c r="D872" s="1" t="s">
        <v>11</v>
      </c>
      <c r="E872" s="1" t="s">
        <v>12</v>
      </c>
      <c r="F872" s="1">
        <v>49</v>
      </c>
      <c r="G872" s="1">
        <v>50</v>
      </c>
      <c r="H872" s="1">
        <v>49</v>
      </c>
      <c r="I872">
        <f t="shared" si="17"/>
        <v>148</v>
      </c>
    </row>
    <row r="873" spans="1:9" ht="13.2" hidden="1" x14ac:dyDescent="0.25">
      <c r="A873" s="1" t="s">
        <v>19</v>
      </c>
      <c r="B873" s="1" t="s">
        <v>9</v>
      </c>
      <c r="C873" s="1" t="s">
        <v>14</v>
      </c>
      <c r="D873" s="1" t="s">
        <v>11</v>
      </c>
      <c r="E873" s="1" t="s">
        <v>12</v>
      </c>
      <c r="F873" s="1">
        <v>53</v>
      </c>
      <c r="G873" s="1">
        <v>37</v>
      </c>
      <c r="H873" s="1">
        <v>48</v>
      </c>
      <c r="I873">
        <f t="shared" si="17"/>
        <v>138</v>
      </c>
    </row>
    <row r="874" spans="1:9" ht="13.2" hidden="1" x14ac:dyDescent="0.25">
      <c r="A874" s="1" t="s">
        <v>19</v>
      </c>
      <c r="B874" s="1" t="s">
        <v>18</v>
      </c>
      <c r="C874" s="1" t="s">
        <v>16</v>
      </c>
      <c r="D874" s="1" t="s">
        <v>11</v>
      </c>
      <c r="E874" s="1" t="s">
        <v>12</v>
      </c>
      <c r="F874" s="1">
        <v>55</v>
      </c>
      <c r="G874" s="1">
        <v>63</v>
      </c>
      <c r="H874" s="1">
        <v>59</v>
      </c>
      <c r="I874">
        <f t="shared" si="17"/>
        <v>177</v>
      </c>
    </row>
    <row r="875" spans="1:9" ht="13.2" hidden="1" x14ac:dyDescent="0.25">
      <c r="A875" s="1" t="s">
        <v>19</v>
      </c>
      <c r="B875" s="1" t="s">
        <v>18</v>
      </c>
      <c r="C875" s="1" t="s">
        <v>14</v>
      </c>
      <c r="D875" s="1" t="s">
        <v>11</v>
      </c>
      <c r="E875" s="1" t="s">
        <v>12</v>
      </c>
      <c r="F875" s="1">
        <v>84</v>
      </c>
      <c r="G875" s="1">
        <v>91</v>
      </c>
      <c r="H875" s="1">
        <v>84</v>
      </c>
      <c r="I875">
        <f t="shared" si="17"/>
        <v>259</v>
      </c>
    </row>
    <row r="876" spans="1:9" ht="13.2" hidden="1" x14ac:dyDescent="0.25">
      <c r="A876" s="1" t="s">
        <v>8</v>
      </c>
      <c r="B876" s="1" t="s">
        <v>21</v>
      </c>
      <c r="C876" s="1" t="s">
        <v>22</v>
      </c>
      <c r="D876" s="1" t="s">
        <v>11</v>
      </c>
      <c r="E876" s="1" t="s">
        <v>17</v>
      </c>
      <c r="F876" s="1">
        <v>88</v>
      </c>
      <c r="G876" s="1">
        <v>74</v>
      </c>
      <c r="H876" s="1">
        <v>81</v>
      </c>
      <c r="I876">
        <f t="shared" si="17"/>
        <v>243</v>
      </c>
    </row>
    <row r="877" spans="1:9" ht="13.2" hidden="1" x14ac:dyDescent="0.25">
      <c r="A877" s="1" t="s">
        <v>8</v>
      </c>
      <c r="B877" s="1" t="s">
        <v>13</v>
      </c>
      <c r="C877" s="1" t="s">
        <v>10</v>
      </c>
      <c r="D877" s="1" t="s">
        <v>11</v>
      </c>
      <c r="E877" s="1" t="s">
        <v>12</v>
      </c>
      <c r="F877" s="1">
        <v>77</v>
      </c>
      <c r="G877" s="1">
        <v>84</v>
      </c>
      <c r="H877" s="1">
        <v>79</v>
      </c>
      <c r="I877">
        <f t="shared" si="17"/>
        <v>240</v>
      </c>
    </row>
    <row r="878" spans="1:9" ht="13.2" hidden="1" x14ac:dyDescent="0.25">
      <c r="A878" s="1" t="s">
        <v>8</v>
      </c>
      <c r="B878" s="1" t="s">
        <v>9</v>
      </c>
      <c r="C878" s="1" t="s">
        <v>22</v>
      </c>
      <c r="D878" s="1" t="s">
        <v>11</v>
      </c>
      <c r="E878" s="1" t="s">
        <v>12</v>
      </c>
      <c r="F878" s="1">
        <v>60</v>
      </c>
      <c r="G878" s="1">
        <v>67</v>
      </c>
      <c r="H878" s="1">
        <v>65</v>
      </c>
      <c r="I878">
        <f t="shared" si="17"/>
        <v>192</v>
      </c>
    </row>
    <row r="879" spans="1:9" ht="13.2" hidden="1" x14ac:dyDescent="0.25">
      <c r="A879" s="1" t="s">
        <v>8</v>
      </c>
      <c r="B879" s="1" t="s">
        <v>13</v>
      </c>
      <c r="C879" s="1" t="s">
        <v>16</v>
      </c>
      <c r="D879" s="1" t="s">
        <v>23</v>
      </c>
      <c r="E879" s="1" t="s">
        <v>12</v>
      </c>
      <c r="F879" s="1">
        <v>51</v>
      </c>
      <c r="G879" s="1">
        <v>71</v>
      </c>
      <c r="H879" s="1">
        <v>68</v>
      </c>
      <c r="I879">
        <f t="shared" si="17"/>
        <v>190</v>
      </c>
    </row>
    <row r="880" spans="1:9" ht="13.2" hidden="1" x14ac:dyDescent="0.25">
      <c r="A880" s="1" t="s">
        <v>19</v>
      </c>
      <c r="B880" s="1" t="s">
        <v>18</v>
      </c>
      <c r="C880" s="1" t="s">
        <v>16</v>
      </c>
      <c r="D880" s="1" t="s">
        <v>23</v>
      </c>
      <c r="E880" s="1" t="s">
        <v>12</v>
      </c>
      <c r="F880" s="1">
        <v>72</v>
      </c>
      <c r="G880" s="1">
        <v>78</v>
      </c>
      <c r="H880" s="1">
        <v>69</v>
      </c>
      <c r="I880">
        <f t="shared" si="17"/>
        <v>219</v>
      </c>
    </row>
    <row r="881" spans="1:9" ht="13.2" hidden="1" x14ac:dyDescent="0.25">
      <c r="A881" s="1" t="s">
        <v>8</v>
      </c>
      <c r="B881" s="1" t="s">
        <v>13</v>
      </c>
      <c r="C881" s="1" t="s">
        <v>10</v>
      </c>
      <c r="D881" s="1" t="s">
        <v>11</v>
      </c>
      <c r="E881" s="1" t="s">
        <v>12</v>
      </c>
      <c r="F881" s="1">
        <v>78</v>
      </c>
      <c r="G881" s="1">
        <v>94</v>
      </c>
      <c r="H881" s="1">
        <v>94</v>
      </c>
      <c r="I881">
        <f t="shared" si="17"/>
        <v>266</v>
      </c>
    </row>
    <row r="882" spans="1:9" ht="13.2" hidden="1" x14ac:dyDescent="0.25">
      <c r="A882" s="1" t="s">
        <v>19</v>
      </c>
      <c r="B882" s="1" t="s">
        <v>18</v>
      </c>
      <c r="C882" s="1" t="s">
        <v>22</v>
      </c>
      <c r="D882" s="1" t="s">
        <v>11</v>
      </c>
      <c r="E882" s="1" t="s">
        <v>12</v>
      </c>
      <c r="F882" s="1">
        <v>50</v>
      </c>
      <c r="G882" s="1">
        <v>46</v>
      </c>
      <c r="H882" s="1">
        <v>45</v>
      </c>
      <c r="I882">
        <f t="shared" si="17"/>
        <v>141</v>
      </c>
    </row>
    <row r="883" spans="1:9" ht="13.2" hidden="1" x14ac:dyDescent="0.25">
      <c r="A883" s="1" t="s">
        <v>19</v>
      </c>
      <c r="B883" s="1" t="s">
        <v>13</v>
      </c>
      <c r="C883" s="1" t="s">
        <v>22</v>
      </c>
      <c r="D883" s="1" t="s">
        <v>11</v>
      </c>
      <c r="E883" s="1" t="s">
        <v>12</v>
      </c>
      <c r="F883" s="1">
        <v>77</v>
      </c>
      <c r="G883" s="1">
        <v>78</v>
      </c>
      <c r="H883" s="1">
        <v>74</v>
      </c>
      <c r="I883">
        <f t="shared" si="17"/>
        <v>229</v>
      </c>
    </row>
    <row r="884" spans="1:9" ht="13.2" hidden="1" x14ac:dyDescent="0.25">
      <c r="A884" s="1" t="s">
        <v>19</v>
      </c>
      <c r="B884" s="1" t="s">
        <v>13</v>
      </c>
      <c r="C884" s="1" t="s">
        <v>16</v>
      </c>
      <c r="D884" s="1" t="s">
        <v>11</v>
      </c>
      <c r="E884" s="1" t="s">
        <v>12</v>
      </c>
      <c r="F884" s="1">
        <v>51</v>
      </c>
      <c r="G884" s="1">
        <v>51</v>
      </c>
      <c r="H884" s="1">
        <v>52</v>
      </c>
      <c r="I884">
        <f t="shared" si="17"/>
        <v>154</v>
      </c>
    </row>
    <row r="885" spans="1:9" ht="13.2" hidden="1" x14ac:dyDescent="0.25">
      <c r="A885" s="1" t="s">
        <v>19</v>
      </c>
      <c r="B885" s="1" t="s">
        <v>18</v>
      </c>
      <c r="C885" s="1" t="s">
        <v>22</v>
      </c>
      <c r="D885" s="1" t="s">
        <v>11</v>
      </c>
      <c r="E885" s="1" t="s">
        <v>12</v>
      </c>
      <c r="F885" s="1">
        <v>62</v>
      </c>
      <c r="G885" s="1">
        <v>59</v>
      </c>
      <c r="H885" s="1">
        <v>59</v>
      </c>
      <c r="I885">
        <f t="shared" si="17"/>
        <v>180</v>
      </c>
    </row>
    <row r="886" spans="1:9" ht="13.2" hidden="1" x14ac:dyDescent="0.25">
      <c r="A886" s="1" t="s">
        <v>19</v>
      </c>
      <c r="B886" s="1" t="s">
        <v>9</v>
      </c>
      <c r="C886" s="1" t="s">
        <v>20</v>
      </c>
      <c r="D886" s="1" t="s">
        <v>23</v>
      </c>
      <c r="E886" s="1" t="s">
        <v>12</v>
      </c>
      <c r="F886" s="1">
        <v>56</v>
      </c>
      <c r="G886" s="1">
        <v>53</v>
      </c>
      <c r="H886" s="1">
        <v>55</v>
      </c>
      <c r="I886">
        <f t="shared" si="17"/>
        <v>164</v>
      </c>
    </row>
    <row r="887" spans="1:9" ht="13.2" hidden="1" x14ac:dyDescent="0.25">
      <c r="A887" s="1" t="s">
        <v>8</v>
      </c>
      <c r="B887" s="1" t="s">
        <v>18</v>
      </c>
      <c r="C887" s="1" t="s">
        <v>20</v>
      </c>
      <c r="D887" s="1" t="s">
        <v>23</v>
      </c>
      <c r="E887" s="1" t="s">
        <v>12</v>
      </c>
      <c r="F887" s="1">
        <v>36</v>
      </c>
      <c r="G887" s="1">
        <v>42</v>
      </c>
      <c r="H887" s="1">
        <v>50</v>
      </c>
      <c r="I887">
        <f t="shared" si="17"/>
        <v>128</v>
      </c>
    </row>
    <row r="888" spans="1:9" ht="13.2" hidden="1" x14ac:dyDescent="0.25">
      <c r="A888" s="1" t="s">
        <v>19</v>
      </c>
      <c r="B888" s="1" t="s">
        <v>9</v>
      </c>
      <c r="C888" s="1" t="s">
        <v>14</v>
      </c>
      <c r="D888" s="1" t="s">
        <v>11</v>
      </c>
      <c r="E888" s="1" t="s">
        <v>12</v>
      </c>
      <c r="F888" s="1">
        <v>88</v>
      </c>
      <c r="G888" s="1">
        <v>78</v>
      </c>
      <c r="H888" s="1">
        <v>78</v>
      </c>
      <c r="I888">
        <f t="shared" si="17"/>
        <v>244</v>
      </c>
    </row>
    <row r="889" spans="1:9" ht="13.2" hidden="1" x14ac:dyDescent="0.25">
      <c r="A889" s="1" t="s">
        <v>8</v>
      </c>
      <c r="B889" s="1" t="s">
        <v>13</v>
      </c>
      <c r="C889" s="1" t="s">
        <v>14</v>
      </c>
      <c r="D889" s="1" t="s">
        <v>11</v>
      </c>
      <c r="E889" s="1" t="s">
        <v>12</v>
      </c>
      <c r="F889" s="1">
        <v>69</v>
      </c>
      <c r="G889" s="1">
        <v>75</v>
      </c>
      <c r="H889" s="1">
        <v>78</v>
      </c>
      <c r="I889">
        <f t="shared" si="17"/>
        <v>222</v>
      </c>
    </row>
    <row r="890" spans="1:9" ht="13.2" hidden="1" x14ac:dyDescent="0.25">
      <c r="A890" s="1" t="s">
        <v>19</v>
      </c>
      <c r="B890" s="1" t="s">
        <v>9</v>
      </c>
      <c r="C890" s="1" t="s">
        <v>22</v>
      </c>
      <c r="D890" s="1" t="s">
        <v>23</v>
      </c>
      <c r="E890" s="1" t="s">
        <v>12</v>
      </c>
      <c r="F890" s="1">
        <v>40</v>
      </c>
      <c r="G890" s="1">
        <v>41</v>
      </c>
      <c r="H890" s="1">
        <v>40</v>
      </c>
      <c r="I890">
        <f t="shared" si="17"/>
        <v>121</v>
      </c>
    </row>
    <row r="891" spans="1:9" ht="13.2" hidden="1" x14ac:dyDescent="0.25">
      <c r="A891" s="1" t="s">
        <v>19</v>
      </c>
      <c r="B891" s="1" t="s">
        <v>9</v>
      </c>
      <c r="C891" s="1" t="s">
        <v>14</v>
      </c>
      <c r="D891" s="1" t="s">
        <v>11</v>
      </c>
      <c r="E891" s="1" t="s">
        <v>12</v>
      </c>
      <c r="F891" s="1">
        <v>91</v>
      </c>
      <c r="G891" s="1">
        <v>82</v>
      </c>
      <c r="H891" s="1">
        <v>79</v>
      </c>
      <c r="I891">
        <f t="shared" si="17"/>
        <v>252</v>
      </c>
    </row>
    <row r="892" spans="1:9" ht="13.2" hidden="1" x14ac:dyDescent="0.25">
      <c r="A892" s="1" t="s">
        <v>19</v>
      </c>
      <c r="B892" s="1" t="s">
        <v>18</v>
      </c>
      <c r="C892" s="1" t="s">
        <v>22</v>
      </c>
      <c r="D892" s="1" t="s">
        <v>23</v>
      </c>
      <c r="E892" s="1" t="s">
        <v>17</v>
      </c>
      <c r="F892" s="1">
        <v>68</v>
      </c>
      <c r="G892" s="1">
        <v>68</v>
      </c>
      <c r="H892" s="1">
        <v>66</v>
      </c>
      <c r="I892">
        <f t="shared" si="17"/>
        <v>202</v>
      </c>
    </row>
    <row r="893" spans="1:9" ht="13.2" hidden="1" x14ac:dyDescent="0.25">
      <c r="A893" s="1" t="s">
        <v>8</v>
      </c>
      <c r="B893" s="1" t="s">
        <v>13</v>
      </c>
      <c r="C893" s="1" t="s">
        <v>22</v>
      </c>
      <c r="D893" s="1" t="s">
        <v>11</v>
      </c>
      <c r="E893" s="1" t="s">
        <v>12</v>
      </c>
      <c r="F893" s="1">
        <v>55</v>
      </c>
      <c r="G893" s="1">
        <v>67</v>
      </c>
      <c r="H893" s="1">
        <v>65</v>
      </c>
      <c r="I893">
        <f t="shared" si="17"/>
        <v>187</v>
      </c>
    </row>
    <row r="894" spans="1:9" ht="13.2" hidden="1" x14ac:dyDescent="0.25">
      <c r="A894" s="1" t="s">
        <v>19</v>
      </c>
      <c r="B894" s="1" t="s">
        <v>18</v>
      </c>
      <c r="C894" s="1" t="s">
        <v>14</v>
      </c>
      <c r="D894" s="1" t="s">
        <v>23</v>
      </c>
      <c r="E894" s="1" t="s">
        <v>12</v>
      </c>
      <c r="F894" s="1">
        <v>51</v>
      </c>
      <c r="G894" s="1">
        <v>50</v>
      </c>
      <c r="H894" s="1">
        <v>47</v>
      </c>
      <c r="I894">
        <f t="shared" si="17"/>
        <v>148</v>
      </c>
    </row>
    <row r="895" spans="1:9" ht="13.2" hidden="1" x14ac:dyDescent="0.25">
      <c r="A895" s="1" t="s">
        <v>19</v>
      </c>
      <c r="B895" s="1" t="s">
        <v>13</v>
      </c>
      <c r="C895" s="1" t="s">
        <v>10</v>
      </c>
      <c r="D895" s="1" t="s">
        <v>23</v>
      </c>
      <c r="E895" s="1" t="s">
        <v>17</v>
      </c>
      <c r="F895" s="1">
        <v>61</v>
      </c>
      <c r="G895" s="1">
        <v>57</v>
      </c>
      <c r="H895" s="1">
        <v>63</v>
      </c>
      <c r="I895">
        <f t="shared" si="17"/>
        <v>181</v>
      </c>
    </row>
    <row r="896" spans="1:9" ht="13.2" hidden="1" x14ac:dyDescent="0.25">
      <c r="A896" s="1" t="s">
        <v>8</v>
      </c>
      <c r="B896" s="1" t="s">
        <v>15</v>
      </c>
      <c r="C896" s="1" t="s">
        <v>14</v>
      </c>
      <c r="D896" s="1" t="s">
        <v>23</v>
      </c>
      <c r="E896" s="1" t="s">
        <v>17</v>
      </c>
      <c r="F896" s="1">
        <v>66</v>
      </c>
      <c r="G896" s="1">
        <v>91</v>
      </c>
      <c r="H896" s="1">
        <v>87</v>
      </c>
      <c r="I896">
        <f t="shared" si="17"/>
        <v>244</v>
      </c>
    </row>
    <row r="897" spans="1:9" ht="13.2" hidden="1" x14ac:dyDescent="0.25">
      <c r="A897" s="1" t="s">
        <v>19</v>
      </c>
      <c r="B897" s="1" t="s">
        <v>21</v>
      </c>
      <c r="C897" s="1" t="s">
        <v>16</v>
      </c>
      <c r="D897" s="1" t="s">
        <v>11</v>
      </c>
      <c r="E897" s="1" t="s">
        <v>12</v>
      </c>
      <c r="F897" s="1">
        <v>87</v>
      </c>
      <c r="G897" s="1">
        <v>82</v>
      </c>
      <c r="H897" s="1">
        <v>81</v>
      </c>
      <c r="I897">
        <f t="shared" si="17"/>
        <v>250</v>
      </c>
    </row>
    <row r="898" spans="1:9" ht="13.2" hidden="1" x14ac:dyDescent="0.25">
      <c r="A898" s="1" t="s">
        <v>8</v>
      </c>
      <c r="B898" s="1" t="s">
        <v>13</v>
      </c>
      <c r="C898" s="1" t="s">
        <v>16</v>
      </c>
      <c r="D898" s="1" t="s">
        <v>11</v>
      </c>
      <c r="E898" s="1" t="s">
        <v>17</v>
      </c>
      <c r="F898" s="1">
        <v>74</v>
      </c>
      <c r="G898" s="1">
        <v>80</v>
      </c>
      <c r="H898" s="1">
        <v>83</v>
      </c>
      <c r="I898">
        <f t="shared" si="17"/>
        <v>237</v>
      </c>
    </row>
    <row r="899" spans="1:9" ht="13.2" hidden="1" x14ac:dyDescent="0.25">
      <c r="A899" s="1" t="s">
        <v>19</v>
      </c>
      <c r="B899" s="1" t="s">
        <v>9</v>
      </c>
      <c r="C899" s="1" t="s">
        <v>22</v>
      </c>
      <c r="D899" s="1" t="s">
        <v>23</v>
      </c>
      <c r="E899" s="1" t="s">
        <v>12</v>
      </c>
      <c r="F899" s="1">
        <v>65</v>
      </c>
      <c r="G899" s="1">
        <v>70</v>
      </c>
      <c r="H899" s="1">
        <v>62</v>
      </c>
      <c r="I899">
        <f t="shared" ref="I899:I962" si="18">SUM(F899:H899)</f>
        <v>197</v>
      </c>
    </row>
    <row r="900" spans="1:9" ht="13.2" hidden="1" x14ac:dyDescent="0.25">
      <c r="A900" s="1" t="s">
        <v>8</v>
      </c>
      <c r="B900" s="1" t="s">
        <v>15</v>
      </c>
      <c r="C900" s="1" t="s">
        <v>16</v>
      </c>
      <c r="D900" s="1" t="s">
        <v>11</v>
      </c>
      <c r="E900" s="1" t="s">
        <v>17</v>
      </c>
      <c r="F900" s="1">
        <v>66</v>
      </c>
      <c r="G900" s="1">
        <v>77</v>
      </c>
      <c r="H900" s="1">
        <v>82</v>
      </c>
      <c r="I900">
        <f t="shared" si="18"/>
        <v>225</v>
      </c>
    </row>
    <row r="901" spans="1:9" ht="13.2" hidden="1" x14ac:dyDescent="0.25">
      <c r="A901" s="1" t="s">
        <v>19</v>
      </c>
      <c r="B901" s="1" t="s">
        <v>13</v>
      </c>
      <c r="C901" s="1" t="s">
        <v>14</v>
      </c>
      <c r="D901" s="1" t="s">
        <v>11</v>
      </c>
      <c r="E901" s="1" t="s">
        <v>17</v>
      </c>
      <c r="F901" s="1">
        <v>59</v>
      </c>
      <c r="G901" s="1">
        <v>53</v>
      </c>
      <c r="H901" s="1">
        <v>59</v>
      </c>
      <c r="I901">
        <f t="shared" si="18"/>
        <v>171</v>
      </c>
    </row>
    <row r="902" spans="1:9" ht="13.2" hidden="1" x14ac:dyDescent="0.25">
      <c r="A902" s="1" t="s">
        <v>8</v>
      </c>
      <c r="B902" s="1" t="s">
        <v>21</v>
      </c>
      <c r="C902" s="1" t="s">
        <v>20</v>
      </c>
      <c r="D902" s="1" t="s">
        <v>11</v>
      </c>
      <c r="E902" s="1" t="s">
        <v>12</v>
      </c>
      <c r="F902" s="1">
        <v>64</v>
      </c>
      <c r="G902" s="1">
        <v>72</v>
      </c>
      <c r="H902" s="1">
        <v>65</v>
      </c>
      <c r="I902">
        <f t="shared" si="18"/>
        <v>201</v>
      </c>
    </row>
    <row r="903" spans="1:9" ht="13.2" hidden="1" x14ac:dyDescent="0.25">
      <c r="A903" s="1" t="s">
        <v>8</v>
      </c>
      <c r="B903" s="1" t="s">
        <v>13</v>
      </c>
      <c r="C903" s="1" t="s">
        <v>14</v>
      </c>
      <c r="D903" s="1" t="s">
        <v>23</v>
      </c>
      <c r="E903" s="1" t="s">
        <v>17</v>
      </c>
      <c r="F903" s="1">
        <v>69</v>
      </c>
      <c r="G903" s="1">
        <v>85</v>
      </c>
      <c r="H903" s="1">
        <v>89</v>
      </c>
      <c r="I903">
        <f t="shared" si="18"/>
        <v>243</v>
      </c>
    </row>
    <row r="904" spans="1:9" ht="13.2" hidden="1" x14ac:dyDescent="0.25">
      <c r="A904" s="1" t="s">
        <v>8</v>
      </c>
      <c r="B904" s="1" t="s">
        <v>9</v>
      </c>
      <c r="C904" s="1" t="s">
        <v>16</v>
      </c>
      <c r="D904" s="1" t="s">
        <v>23</v>
      </c>
      <c r="E904" s="1" t="s">
        <v>12</v>
      </c>
      <c r="F904" s="1">
        <v>67</v>
      </c>
      <c r="G904" s="1">
        <v>80</v>
      </c>
      <c r="H904" s="1">
        <v>76</v>
      </c>
      <c r="I904">
        <f t="shared" si="18"/>
        <v>223</v>
      </c>
    </row>
    <row r="905" spans="1:9" ht="13.2" hidden="1" x14ac:dyDescent="0.25">
      <c r="A905" s="1" t="s">
        <v>19</v>
      </c>
      <c r="B905" s="1" t="s">
        <v>13</v>
      </c>
      <c r="C905" s="1" t="s">
        <v>22</v>
      </c>
      <c r="D905" s="1" t="s">
        <v>11</v>
      </c>
      <c r="E905" s="1" t="s">
        <v>17</v>
      </c>
      <c r="F905" s="1">
        <v>82</v>
      </c>
      <c r="G905" s="1">
        <v>77</v>
      </c>
      <c r="H905" s="1">
        <v>78</v>
      </c>
      <c r="I905">
        <f t="shared" si="18"/>
        <v>237</v>
      </c>
    </row>
    <row r="906" spans="1:9" ht="13.2" hidden="1" x14ac:dyDescent="0.25">
      <c r="A906" s="1" t="s">
        <v>19</v>
      </c>
      <c r="B906" s="1" t="s">
        <v>18</v>
      </c>
      <c r="C906" s="1" t="s">
        <v>16</v>
      </c>
      <c r="D906" s="1" t="s">
        <v>23</v>
      </c>
      <c r="E906" s="1" t="s">
        <v>17</v>
      </c>
      <c r="F906" s="1">
        <v>76</v>
      </c>
      <c r="G906" s="1">
        <v>70</v>
      </c>
      <c r="H906" s="1">
        <v>72</v>
      </c>
      <c r="I906">
        <f t="shared" si="18"/>
        <v>218</v>
      </c>
    </row>
    <row r="907" spans="1:9" ht="13.2" hidden="1" x14ac:dyDescent="0.25">
      <c r="A907" s="1" t="s">
        <v>8</v>
      </c>
      <c r="B907" s="1" t="s">
        <v>9</v>
      </c>
      <c r="C907" s="1" t="s">
        <v>14</v>
      </c>
      <c r="D907" s="1" t="s">
        <v>11</v>
      </c>
      <c r="E907" s="1" t="s">
        <v>12</v>
      </c>
      <c r="F907" s="1">
        <v>48</v>
      </c>
      <c r="G907" s="1">
        <v>52</v>
      </c>
      <c r="H907" s="1">
        <v>55</v>
      </c>
      <c r="I907">
        <f t="shared" si="18"/>
        <v>155</v>
      </c>
    </row>
    <row r="908" spans="1:9" ht="13.2" hidden="1" x14ac:dyDescent="0.25">
      <c r="A908" s="1" t="s">
        <v>8</v>
      </c>
      <c r="B908" s="1" t="s">
        <v>18</v>
      </c>
      <c r="C908" s="1" t="s">
        <v>22</v>
      </c>
      <c r="D908" s="1" t="s">
        <v>23</v>
      </c>
      <c r="E908" s="1" t="s">
        <v>12</v>
      </c>
      <c r="F908" s="1">
        <v>29</v>
      </c>
      <c r="G908" s="1">
        <v>39</v>
      </c>
      <c r="H908" s="1">
        <v>37</v>
      </c>
      <c r="I908">
        <f t="shared" si="18"/>
        <v>105</v>
      </c>
    </row>
    <row r="909" spans="1:9" ht="13.2" hidden="1" x14ac:dyDescent="0.25">
      <c r="A909" s="1" t="s">
        <v>19</v>
      </c>
      <c r="B909" s="1" t="s">
        <v>13</v>
      </c>
      <c r="C909" s="1" t="s">
        <v>16</v>
      </c>
      <c r="D909" s="1" t="s">
        <v>11</v>
      </c>
      <c r="E909" s="1" t="s">
        <v>17</v>
      </c>
      <c r="F909" s="1">
        <v>74</v>
      </c>
      <c r="G909" s="1">
        <v>72</v>
      </c>
      <c r="H909" s="1">
        <v>74</v>
      </c>
      <c r="I909">
        <f t="shared" si="18"/>
        <v>220</v>
      </c>
    </row>
    <row r="910" spans="1:9" ht="13.2" hidden="1" x14ac:dyDescent="0.25">
      <c r="A910" s="1" t="s">
        <v>19</v>
      </c>
      <c r="B910" s="1" t="s">
        <v>18</v>
      </c>
      <c r="C910" s="1" t="s">
        <v>14</v>
      </c>
      <c r="D910" s="1" t="s">
        <v>11</v>
      </c>
      <c r="E910" s="1" t="s">
        <v>12</v>
      </c>
      <c r="F910" s="1">
        <v>58</v>
      </c>
      <c r="G910" s="1">
        <v>53</v>
      </c>
      <c r="H910" s="1">
        <v>52</v>
      </c>
      <c r="I910">
        <f t="shared" si="18"/>
        <v>163</v>
      </c>
    </row>
    <row r="911" spans="1:9" ht="13.2" hidden="1" x14ac:dyDescent="0.25">
      <c r="A911" s="1" t="s">
        <v>8</v>
      </c>
      <c r="B911" s="1" t="s">
        <v>13</v>
      </c>
      <c r="C911" s="1" t="s">
        <v>10</v>
      </c>
      <c r="D911" s="1" t="s">
        <v>23</v>
      </c>
      <c r="E911" s="1" t="s">
        <v>12</v>
      </c>
      <c r="F911" s="1">
        <v>54</v>
      </c>
      <c r="G911" s="1">
        <v>66</v>
      </c>
      <c r="H911" s="1">
        <v>67</v>
      </c>
      <c r="I911">
        <f t="shared" si="18"/>
        <v>187</v>
      </c>
    </row>
    <row r="912" spans="1:9" ht="13.2" hidden="1" x14ac:dyDescent="0.25">
      <c r="A912" s="1" t="s">
        <v>19</v>
      </c>
      <c r="B912" s="1" t="s">
        <v>9</v>
      </c>
      <c r="C912" s="1" t="s">
        <v>24</v>
      </c>
      <c r="D912" s="1" t="s">
        <v>23</v>
      </c>
      <c r="E912" s="1" t="s">
        <v>12</v>
      </c>
      <c r="F912" s="1">
        <v>50</v>
      </c>
      <c r="G912" s="1">
        <v>45</v>
      </c>
      <c r="H912" s="1">
        <v>49</v>
      </c>
      <c r="I912">
        <f t="shared" si="18"/>
        <v>144</v>
      </c>
    </row>
    <row r="913" spans="1:9" ht="13.2" hidden="1" x14ac:dyDescent="0.25">
      <c r="A913" s="1" t="s">
        <v>19</v>
      </c>
      <c r="B913" s="1" t="s">
        <v>9</v>
      </c>
      <c r="C913" s="1" t="s">
        <v>24</v>
      </c>
      <c r="D913" s="1" t="s">
        <v>23</v>
      </c>
      <c r="E913" s="1" t="s">
        <v>17</v>
      </c>
      <c r="F913" s="1">
        <v>58</v>
      </c>
      <c r="G913" s="1">
        <v>60</v>
      </c>
      <c r="H913" s="1">
        <v>61</v>
      </c>
      <c r="I913">
        <f t="shared" si="18"/>
        <v>179</v>
      </c>
    </row>
    <row r="914" spans="1:9" ht="13.2" hidden="1" x14ac:dyDescent="0.25">
      <c r="A914" s="1" t="s">
        <v>19</v>
      </c>
      <c r="B914" s="1" t="s">
        <v>18</v>
      </c>
      <c r="C914" s="1" t="s">
        <v>22</v>
      </c>
      <c r="D914" s="1" t="s">
        <v>11</v>
      </c>
      <c r="E914" s="1" t="s">
        <v>12</v>
      </c>
      <c r="F914" s="1">
        <v>80</v>
      </c>
      <c r="G914" s="1">
        <v>77</v>
      </c>
      <c r="H914" s="1">
        <v>69</v>
      </c>
      <c r="I914">
        <f t="shared" si="18"/>
        <v>226</v>
      </c>
    </row>
    <row r="915" spans="1:9" ht="13.2" hidden="1" x14ac:dyDescent="0.25">
      <c r="A915" s="1" t="s">
        <v>8</v>
      </c>
      <c r="B915" s="1" t="s">
        <v>15</v>
      </c>
      <c r="C915" s="1" t="s">
        <v>22</v>
      </c>
      <c r="D915" s="1" t="s">
        <v>11</v>
      </c>
      <c r="E915" s="1" t="s">
        <v>17</v>
      </c>
      <c r="F915" s="1">
        <v>56</v>
      </c>
      <c r="G915" s="1">
        <v>59</v>
      </c>
      <c r="H915" s="1">
        <v>60</v>
      </c>
      <c r="I915">
        <f t="shared" si="18"/>
        <v>175</v>
      </c>
    </row>
    <row r="916" spans="1:9" ht="13.2" hidden="1" x14ac:dyDescent="0.25">
      <c r="A916" s="1" t="s">
        <v>8</v>
      </c>
      <c r="B916" s="1" t="s">
        <v>18</v>
      </c>
      <c r="C916" s="1" t="s">
        <v>22</v>
      </c>
      <c r="D916" s="1" t="s">
        <v>23</v>
      </c>
      <c r="E916" s="1" t="s">
        <v>12</v>
      </c>
      <c r="F916" s="1">
        <v>29</v>
      </c>
      <c r="G916" s="1">
        <v>35</v>
      </c>
      <c r="H916" s="1">
        <v>40</v>
      </c>
      <c r="I916">
        <f t="shared" si="18"/>
        <v>104</v>
      </c>
    </row>
    <row r="917" spans="1:9" ht="13.2" hidden="1" x14ac:dyDescent="0.25">
      <c r="A917" s="1" t="s">
        <v>8</v>
      </c>
      <c r="B917" s="1" t="s">
        <v>18</v>
      </c>
      <c r="C917" s="1" t="s">
        <v>14</v>
      </c>
      <c r="D917" s="1" t="s">
        <v>23</v>
      </c>
      <c r="E917" s="1" t="s">
        <v>12</v>
      </c>
      <c r="F917" s="1">
        <v>62</v>
      </c>
      <c r="G917" s="1">
        <v>70</v>
      </c>
      <c r="H917" s="1">
        <v>68</v>
      </c>
      <c r="I917">
        <f t="shared" si="18"/>
        <v>200</v>
      </c>
    </row>
    <row r="918" spans="1:9" ht="13.2" hidden="1" x14ac:dyDescent="0.25">
      <c r="A918" s="1" t="s">
        <v>19</v>
      </c>
      <c r="B918" s="1" t="s">
        <v>18</v>
      </c>
      <c r="C918" s="1" t="s">
        <v>22</v>
      </c>
      <c r="D918" s="1" t="s">
        <v>11</v>
      </c>
      <c r="E918" s="1" t="s">
        <v>12</v>
      </c>
      <c r="F918" s="1">
        <v>52</v>
      </c>
      <c r="G918" s="1">
        <v>44</v>
      </c>
      <c r="H918" s="1">
        <v>45</v>
      </c>
      <c r="I918">
        <f t="shared" si="18"/>
        <v>141</v>
      </c>
    </row>
    <row r="919" spans="1:9" ht="13.2" hidden="1" x14ac:dyDescent="0.25">
      <c r="A919" s="1" t="s">
        <v>19</v>
      </c>
      <c r="B919" s="1" t="s">
        <v>18</v>
      </c>
      <c r="C919" s="1" t="s">
        <v>10</v>
      </c>
      <c r="D919" s="1" t="s">
        <v>23</v>
      </c>
      <c r="E919" s="1" t="s">
        <v>17</v>
      </c>
      <c r="F919" s="1">
        <v>44</v>
      </c>
      <c r="G919" s="1">
        <v>45</v>
      </c>
      <c r="H919" s="1">
        <v>44</v>
      </c>
      <c r="I919">
        <f t="shared" si="18"/>
        <v>133</v>
      </c>
    </row>
    <row r="920" spans="1:9" ht="13.2" hidden="1" x14ac:dyDescent="0.25">
      <c r="A920" s="1" t="s">
        <v>8</v>
      </c>
      <c r="B920" s="1" t="s">
        <v>9</v>
      </c>
      <c r="C920" s="1" t="s">
        <v>24</v>
      </c>
      <c r="D920" s="1" t="s">
        <v>23</v>
      </c>
      <c r="E920" s="1" t="s">
        <v>12</v>
      </c>
      <c r="F920" s="1">
        <v>66</v>
      </c>
      <c r="G920" s="1">
        <v>64</v>
      </c>
      <c r="H920" s="1">
        <v>66</v>
      </c>
      <c r="I920">
        <f t="shared" si="18"/>
        <v>196</v>
      </c>
    </row>
    <row r="921" spans="1:9" ht="13.2" hidden="1" x14ac:dyDescent="0.25">
      <c r="A921" s="1" t="s">
        <v>8</v>
      </c>
      <c r="B921" s="1" t="s">
        <v>9</v>
      </c>
      <c r="C921" s="1" t="s">
        <v>16</v>
      </c>
      <c r="D921" s="1" t="s">
        <v>23</v>
      </c>
      <c r="E921" s="1" t="s">
        <v>12</v>
      </c>
      <c r="F921" s="1">
        <v>41</v>
      </c>
      <c r="G921" s="1">
        <v>48</v>
      </c>
      <c r="H921" s="1">
        <v>48</v>
      </c>
      <c r="I921">
        <f t="shared" si="18"/>
        <v>137</v>
      </c>
    </row>
    <row r="922" spans="1:9" ht="13.2" hidden="1" x14ac:dyDescent="0.25">
      <c r="A922" s="1" t="s">
        <v>19</v>
      </c>
      <c r="B922" s="1" t="s">
        <v>13</v>
      </c>
      <c r="C922" s="1" t="s">
        <v>10</v>
      </c>
      <c r="D922" s="1" t="s">
        <v>23</v>
      </c>
      <c r="E922" s="1" t="s">
        <v>17</v>
      </c>
      <c r="F922" s="1">
        <v>47</v>
      </c>
      <c r="G922" s="1">
        <v>63</v>
      </c>
      <c r="H922" s="1">
        <v>61</v>
      </c>
      <c r="I922">
        <f t="shared" si="18"/>
        <v>171</v>
      </c>
    </row>
    <row r="923" spans="1:9" ht="13.2" hidden="1" x14ac:dyDescent="0.25">
      <c r="A923" s="1" t="s">
        <v>8</v>
      </c>
      <c r="B923" s="1" t="s">
        <v>13</v>
      </c>
      <c r="C923" s="1" t="s">
        <v>14</v>
      </c>
      <c r="D923" s="1" t="s">
        <v>23</v>
      </c>
      <c r="E923" s="1" t="s">
        <v>12</v>
      </c>
      <c r="F923" s="1">
        <v>48</v>
      </c>
      <c r="G923" s="1">
        <v>48</v>
      </c>
      <c r="H923" s="1">
        <v>52</v>
      </c>
      <c r="I923">
        <f t="shared" si="18"/>
        <v>148</v>
      </c>
    </row>
    <row r="924" spans="1:9" ht="13.2" hidden="1" x14ac:dyDescent="0.25">
      <c r="A924" s="1" t="s">
        <v>19</v>
      </c>
      <c r="B924" s="1" t="s">
        <v>13</v>
      </c>
      <c r="C924" s="1" t="s">
        <v>14</v>
      </c>
      <c r="D924" s="1" t="s">
        <v>11</v>
      </c>
      <c r="E924" s="1" t="s">
        <v>12</v>
      </c>
      <c r="F924" s="1">
        <v>79</v>
      </c>
      <c r="G924" s="1">
        <v>65</v>
      </c>
      <c r="H924" s="1">
        <v>67</v>
      </c>
      <c r="I924">
        <f t="shared" si="18"/>
        <v>211</v>
      </c>
    </row>
    <row r="925" spans="1:9" ht="13.2" hidden="1" x14ac:dyDescent="0.25">
      <c r="A925" s="1" t="s">
        <v>19</v>
      </c>
      <c r="B925" s="1" t="s">
        <v>18</v>
      </c>
      <c r="C925" s="1" t="s">
        <v>10</v>
      </c>
      <c r="D925" s="1" t="s">
        <v>23</v>
      </c>
      <c r="E925" s="1" t="s">
        <v>12</v>
      </c>
      <c r="F925" s="1">
        <v>56</v>
      </c>
      <c r="G925" s="1">
        <v>52</v>
      </c>
      <c r="H925" s="1">
        <v>44</v>
      </c>
      <c r="I925">
        <f t="shared" si="18"/>
        <v>152</v>
      </c>
    </row>
    <row r="926" spans="1:9" ht="13.2" hidden="1" x14ac:dyDescent="0.25">
      <c r="A926" s="1" t="s">
        <v>19</v>
      </c>
      <c r="B926" s="1" t="s">
        <v>9</v>
      </c>
      <c r="C926" s="1" t="s">
        <v>14</v>
      </c>
      <c r="D926" s="1" t="s">
        <v>11</v>
      </c>
      <c r="E926" s="1" t="s">
        <v>12</v>
      </c>
      <c r="F926" s="1">
        <v>63</v>
      </c>
      <c r="G926" s="1">
        <v>58</v>
      </c>
      <c r="H926" s="1">
        <v>57</v>
      </c>
      <c r="I926">
        <f t="shared" si="18"/>
        <v>178</v>
      </c>
    </row>
    <row r="927" spans="1:9" ht="13.2" hidden="1" x14ac:dyDescent="0.25">
      <c r="A927" s="1" t="s">
        <v>8</v>
      </c>
      <c r="B927" s="1" t="s">
        <v>9</v>
      </c>
      <c r="C927" s="1" t="s">
        <v>22</v>
      </c>
      <c r="D927" s="1" t="s">
        <v>11</v>
      </c>
      <c r="E927" s="1" t="s">
        <v>12</v>
      </c>
      <c r="F927" s="1">
        <v>56</v>
      </c>
      <c r="G927" s="1">
        <v>67</v>
      </c>
      <c r="H927" s="1">
        <v>62</v>
      </c>
      <c r="I927">
        <f t="shared" si="18"/>
        <v>185</v>
      </c>
    </row>
    <row r="928" spans="1:9" ht="13.2" hidden="1" x14ac:dyDescent="0.25">
      <c r="A928" s="1" t="s">
        <v>19</v>
      </c>
      <c r="B928" s="1" t="s">
        <v>18</v>
      </c>
      <c r="C928" s="1" t="s">
        <v>14</v>
      </c>
      <c r="D928" s="1" t="s">
        <v>11</v>
      </c>
      <c r="E928" s="1" t="s">
        <v>17</v>
      </c>
      <c r="F928" s="1">
        <v>74</v>
      </c>
      <c r="G928" s="1">
        <v>71</v>
      </c>
      <c r="H928" s="1">
        <v>71</v>
      </c>
      <c r="I928">
        <f t="shared" si="18"/>
        <v>216</v>
      </c>
    </row>
    <row r="929" spans="1:9" ht="13.2" hidden="1" x14ac:dyDescent="0.25">
      <c r="A929" s="1" t="s">
        <v>19</v>
      </c>
      <c r="B929" s="1" t="s">
        <v>9</v>
      </c>
      <c r="C929" s="1" t="s">
        <v>14</v>
      </c>
      <c r="D929" s="1" t="s">
        <v>11</v>
      </c>
      <c r="E929" s="1" t="s">
        <v>12</v>
      </c>
      <c r="F929" s="1">
        <v>51</v>
      </c>
      <c r="G929" s="1">
        <v>44</v>
      </c>
      <c r="H929" s="1">
        <v>49</v>
      </c>
      <c r="I929">
        <f t="shared" si="18"/>
        <v>144</v>
      </c>
    </row>
    <row r="930" spans="1:9" ht="13.2" hidden="1" x14ac:dyDescent="0.25">
      <c r="A930" s="1" t="s">
        <v>19</v>
      </c>
      <c r="B930" s="1" t="s">
        <v>15</v>
      </c>
      <c r="C930" s="1" t="s">
        <v>24</v>
      </c>
      <c r="D930" s="1" t="s">
        <v>11</v>
      </c>
      <c r="E930" s="1" t="s">
        <v>17</v>
      </c>
      <c r="F930" s="1">
        <v>92</v>
      </c>
      <c r="G930" s="1">
        <v>96</v>
      </c>
      <c r="H930" s="1">
        <v>93</v>
      </c>
      <c r="I930">
        <f t="shared" si="18"/>
        <v>281</v>
      </c>
    </row>
    <row r="931" spans="1:9" ht="13.2" hidden="1" x14ac:dyDescent="0.25">
      <c r="A931" s="1" t="s">
        <v>8</v>
      </c>
      <c r="B931" s="1" t="s">
        <v>13</v>
      </c>
      <c r="C931" s="1" t="s">
        <v>24</v>
      </c>
      <c r="D931" s="1" t="s">
        <v>23</v>
      </c>
      <c r="E931" s="1" t="s">
        <v>17</v>
      </c>
      <c r="F931" s="1">
        <v>59</v>
      </c>
      <c r="G931" s="1">
        <v>71</v>
      </c>
      <c r="H931" s="1">
        <v>72</v>
      </c>
      <c r="I931">
        <f t="shared" si="18"/>
        <v>202</v>
      </c>
    </row>
    <row r="932" spans="1:9" ht="13.2" hidden="1" x14ac:dyDescent="0.25">
      <c r="A932" s="1" t="s">
        <v>19</v>
      </c>
      <c r="B932" s="1" t="s">
        <v>21</v>
      </c>
      <c r="C932" s="1" t="s">
        <v>22</v>
      </c>
      <c r="D932" s="1" t="s">
        <v>23</v>
      </c>
      <c r="E932" s="1" t="s">
        <v>12</v>
      </c>
      <c r="F932" s="1">
        <v>73</v>
      </c>
      <c r="G932" s="1">
        <v>69</v>
      </c>
      <c r="H932" s="1">
        <v>62</v>
      </c>
      <c r="I932">
        <f t="shared" si="18"/>
        <v>204</v>
      </c>
    </row>
    <row r="933" spans="1:9" ht="13.2" hidden="1" x14ac:dyDescent="0.25">
      <c r="A933" s="1" t="s">
        <v>19</v>
      </c>
      <c r="B933" s="1" t="s">
        <v>13</v>
      </c>
      <c r="C933" s="1" t="s">
        <v>16</v>
      </c>
      <c r="D933" s="1" t="s">
        <v>23</v>
      </c>
      <c r="E933" s="1" t="s">
        <v>17</v>
      </c>
      <c r="F933" s="1">
        <v>72</v>
      </c>
      <c r="G933" s="1">
        <v>73</v>
      </c>
      <c r="H933" s="1">
        <v>72</v>
      </c>
      <c r="I933">
        <f t="shared" si="18"/>
        <v>217</v>
      </c>
    </row>
    <row r="934" spans="1:9" ht="13.2" hidden="1" x14ac:dyDescent="0.25">
      <c r="A934" s="1" t="s">
        <v>19</v>
      </c>
      <c r="B934" s="1" t="s">
        <v>13</v>
      </c>
      <c r="C934" s="1" t="s">
        <v>22</v>
      </c>
      <c r="D934" s="1" t="s">
        <v>23</v>
      </c>
      <c r="E934" s="1" t="s">
        <v>17</v>
      </c>
      <c r="F934" s="1">
        <v>79</v>
      </c>
      <c r="G934" s="1">
        <v>78</v>
      </c>
      <c r="H934" s="1">
        <v>77</v>
      </c>
      <c r="I934">
        <f t="shared" si="18"/>
        <v>234</v>
      </c>
    </row>
    <row r="935" spans="1:9" ht="13.2" hidden="1" x14ac:dyDescent="0.25">
      <c r="A935" s="1" t="s">
        <v>19</v>
      </c>
      <c r="B935" s="1" t="s">
        <v>13</v>
      </c>
      <c r="C935" s="1" t="s">
        <v>24</v>
      </c>
      <c r="D935" s="1" t="s">
        <v>23</v>
      </c>
      <c r="E935" s="1" t="s">
        <v>12</v>
      </c>
      <c r="F935" s="1">
        <v>75</v>
      </c>
      <c r="G935" s="1">
        <v>64</v>
      </c>
      <c r="H935" s="1">
        <v>70</v>
      </c>
      <c r="I935">
        <f t="shared" si="18"/>
        <v>209</v>
      </c>
    </row>
    <row r="936" spans="1:9" ht="13.2" hidden="1" x14ac:dyDescent="0.25">
      <c r="A936" s="1" t="s">
        <v>19</v>
      </c>
      <c r="B936" s="1" t="s">
        <v>18</v>
      </c>
      <c r="C936" s="1" t="s">
        <v>16</v>
      </c>
      <c r="D936" s="1" t="s">
        <v>23</v>
      </c>
      <c r="E936" s="1" t="s">
        <v>17</v>
      </c>
      <c r="F936" s="1">
        <v>53</v>
      </c>
      <c r="G936" s="1">
        <v>55</v>
      </c>
      <c r="H936" s="1">
        <v>55</v>
      </c>
      <c r="I936">
        <f t="shared" si="18"/>
        <v>163</v>
      </c>
    </row>
    <row r="937" spans="1:9" ht="13.2" hidden="1" x14ac:dyDescent="0.25">
      <c r="A937" s="1" t="s">
        <v>8</v>
      </c>
      <c r="B937" s="1" t="s">
        <v>13</v>
      </c>
      <c r="C937" s="1" t="s">
        <v>24</v>
      </c>
      <c r="D937" s="1" t="s">
        <v>11</v>
      </c>
      <c r="E937" s="1" t="s">
        <v>12</v>
      </c>
      <c r="F937" s="1">
        <v>79</v>
      </c>
      <c r="G937" s="1">
        <v>74</v>
      </c>
      <c r="H937" s="1">
        <v>81</v>
      </c>
      <c r="I937">
        <f t="shared" si="18"/>
        <v>234</v>
      </c>
    </row>
    <row r="938" spans="1:9" ht="13.2" hidden="1" x14ac:dyDescent="0.25">
      <c r="A938" s="1" t="s">
        <v>19</v>
      </c>
      <c r="B938" s="1" t="s">
        <v>18</v>
      </c>
      <c r="C938" s="1" t="s">
        <v>10</v>
      </c>
      <c r="D938" s="1" t="s">
        <v>11</v>
      </c>
      <c r="E938" s="1" t="s">
        <v>12</v>
      </c>
      <c r="F938" s="1">
        <v>54</v>
      </c>
      <c r="G938" s="1">
        <v>52</v>
      </c>
      <c r="H938" s="1">
        <v>41</v>
      </c>
      <c r="I938">
        <f t="shared" si="18"/>
        <v>147</v>
      </c>
    </row>
    <row r="939" spans="1:9" ht="13.2" hidden="1" x14ac:dyDescent="0.25">
      <c r="A939" s="1" t="s">
        <v>19</v>
      </c>
      <c r="B939" s="1" t="s">
        <v>15</v>
      </c>
      <c r="C939" s="1" t="s">
        <v>22</v>
      </c>
      <c r="D939" s="1" t="s">
        <v>11</v>
      </c>
      <c r="E939" s="1" t="s">
        <v>12</v>
      </c>
      <c r="F939" s="1">
        <v>71</v>
      </c>
      <c r="G939" s="1">
        <v>61</v>
      </c>
      <c r="H939" s="1">
        <v>61</v>
      </c>
      <c r="I939">
        <f t="shared" si="18"/>
        <v>193</v>
      </c>
    </row>
    <row r="940" spans="1:9" ht="13.2" hidden="1" x14ac:dyDescent="0.25">
      <c r="A940" s="1" t="s">
        <v>19</v>
      </c>
      <c r="B940" s="1" t="s">
        <v>18</v>
      </c>
      <c r="C940" s="1" t="s">
        <v>10</v>
      </c>
      <c r="D940" s="1" t="s">
        <v>23</v>
      </c>
      <c r="E940" s="1" t="s">
        <v>12</v>
      </c>
      <c r="F940" s="1">
        <v>33</v>
      </c>
      <c r="G940" s="1">
        <v>44</v>
      </c>
      <c r="H940" s="1">
        <v>28</v>
      </c>
      <c r="I940">
        <f t="shared" si="18"/>
        <v>105</v>
      </c>
    </row>
    <row r="941" spans="1:9" ht="13.2" hidden="1" x14ac:dyDescent="0.25">
      <c r="A941" s="1" t="s">
        <v>8</v>
      </c>
      <c r="B941" s="1" t="s">
        <v>13</v>
      </c>
      <c r="C941" s="1" t="s">
        <v>14</v>
      </c>
      <c r="D941" s="1" t="s">
        <v>11</v>
      </c>
      <c r="E941" s="1" t="s">
        <v>17</v>
      </c>
      <c r="F941" s="1">
        <v>82</v>
      </c>
      <c r="G941" s="1">
        <v>83</v>
      </c>
      <c r="H941" s="1">
        <v>87</v>
      </c>
      <c r="I941">
        <f t="shared" si="18"/>
        <v>252</v>
      </c>
    </row>
    <row r="942" spans="1:9" ht="13.2" hidden="1" x14ac:dyDescent="0.25">
      <c r="A942" s="1" t="s">
        <v>19</v>
      </c>
      <c r="B942" s="1" t="s">
        <v>13</v>
      </c>
      <c r="C942" s="1" t="s">
        <v>16</v>
      </c>
      <c r="D942" s="1" t="s">
        <v>11</v>
      </c>
      <c r="E942" s="1" t="s">
        <v>12</v>
      </c>
      <c r="F942" s="1">
        <v>84</v>
      </c>
      <c r="G942" s="1">
        <v>81</v>
      </c>
      <c r="H942" s="1">
        <v>82</v>
      </c>
      <c r="I942">
        <f t="shared" si="18"/>
        <v>247</v>
      </c>
    </row>
    <row r="943" spans="1:9" ht="13.2" hidden="1" x14ac:dyDescent="0.25">
      <c r="A943" s="1" t="s">
        <v>19</v>
      </c>
      <c r="B943" s="1" t="s">
        <v>21</v>
      </c>
      <c r="C943" s="1" t="s">
        <v>16</v>
      </c>
      <c r="D943" s="1" t="s">
        <v>23</v>
      </c>
      <c r="E943" s="1" t="s">
        <v>17</v>
      </c>
      <c r="F943" s="1">
        <v>74</v>
      </c>
      <c r="G943" s="1">
        <v>81</v>
      </c>
      <c r="H943" s="1">
        <v>76</v>
      </c>
      <c r="I943">
        <f t="shared" si="18"/>
        <v>231</v>
      </c>
    </row>
    <row r="944" spans="1:9" ht="13.2" hidden="1" x14ac:dyDescent="0.25">
      <c r="A944" s="1" t="s">
        <v>8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62</v>
      </c>
      <c r="G944" s="1">
        <v>70</v>
      </c>
      <c r="H944" s="1">
        <v>73</v>
      </c>
      <c r="I944">
        <f t="shared" si="18"/>
        <v>205</v>
      </c>
    </row>
    <row r="945" spans="1:9" ht="13.2" hidden="1" x14ac:dyDescent="0.25">
      <c r="A945" s="1" t="s">
        <v>8</v>
      </c>
      <c r="B945" s="1" t="s">
        <v>21</v>
      </c>
      <c r="C945" s="1" t="s">
        <v>14</v>
      </c>
      <c r="D945" s="1" t="s">
        <v>11</v>
      </c>
      <c r="E945" s="1" t="s">
        <v>17</v>
      </c>
      <c r="F945" s="1">
        <v>72</v>
      </c>
      <c r="G945" s="1">
        <v>70</v>
      </c>
      <c r="H945" s="1">
        <v>71</v>
      </c>
      <c r="I945">
        <f t="shared" si="18"/>
        <v>213</v>
      </c>
    </row>
    <row r="946" spans="1:9" ht="13.2" hidden="1" x14ac:dyDescent="0.25">
      <c r="A946" s="1" t="s">
        <v>19</v>
      </c>
      <c r="B946" s="1" t="s">
        <v>21</v>
      </c>
      <c r="C946" s="1" t="s">
        <v>10</v>
      </c>
      <c r="D946" s="1" t="s">
        <v>11</v>
      </c>
      <c r="E946" s="1" t="s">
        <v>12</v>
      </c>
      <c r="F946" s="1">
        <v>78</v>
      </c>
      <c r="G946" s="1">
        <v>70</v>
      </c>
      <c r="H946" s="1">
        <v>70</v>
      </c>
      <c r="I946">
        <f t="shared" si="18"/>
        <v>218</v>
      </c>
    </row>
    <row r="947" spans="1:9" ht="13.2" hidden="1" x14ac:dyDescent="0.25">
      <c r="A947" s="1" t="s">
        <v>19</v>
      </c>
      <c r="B947" s="1" t="s">
        <v>18</v>
      </c>
      <c r="C947" s="1" t="s">
        <v>10</v>
      </c>
      <c r="D947" s="1" t="s">
        <v>11</v>
      </c>
      <c r="E947" s="1" t="s">
        <v>12</v>
      </c>
      <c r="F947" s="1">
        <v>85</v>
      </c>
      <c r="G947" s="1">
        <v>84</v>
      </c>
      <c r="H947" s="1">
        <v>77</v>
      </c>
      <c r="I947">
        <f t="shared" si="18"/>
        <v>246</v>
      </c>
    </row>
    <row r="948" spans="1:9" ht="13.2" hidden="1" x14ac:dyDescent="0.25">
      <c r="A948" s="1" t="s">
        <v>19</v>
      </c>
      <c r="B948" s="1" t="s">
        <v>18</v>
      </c>
      <c r="C948" s="1" t="s">
        <v>16</v>
      </c>
      <c r="D948" s="1" t="s">
        <v>11</v>
      </c>
      <c r="E948" s="1" t="s">
        <v>12</v>
      </c>
      <c r="F948" s="1">
        <v>57</v>
      </c>
      <c r="G948" s="1">
        <v>54</v>
      </c>
      <c r="H948" s="1">
        <v>51</v>
      </c>
      <c r="I948">
        <f t="shared" si="18"/>
        <v>162</v>
      </c>
    </row>
    <row r="949" spans="1:9" ht="13.2" hidden="1" x14ac:dyDescent="0.25">
      <c r="A949" s="1" t="s">
        <v>19</v>
      </c>
      <c r="B949" s="1" t="s">
        <v>13</v>
      </c>
      <c r="C949" s="1" t="s">
        <v>14</v>
      </c>
      <c r="D949" s="1" t="s">
        <v>11</v>
      </c>
      <c r="E949" s="1" t="s">
        <v>12</v>
      </c>
      <c r="F949" s="1">
        <v>69</v>
      </c>
      <c r="G949" s="1">
        <v>58</v>
      </c>
      <c r="H949" s="1">
        <v>62</v>
      </c>
      <c r="I949">
        <f t="shared" si="18"/>
        <v>189</v>
      </c>
    </row>
    <row r="950" spans="1:9" ht="13.2" hidden="1" x14ac:dyDescent="0.25">
      <c r="A950" s="1" t="s">
        <v>8</v>
      </c>
      <c r="B950" s="1" t="s">
        <v>13</v>
      </c>
      <c r="C950" s="1" t="s">
        <v>22</v>
      </c>
      <c r="D950" s="1" t="s">
        <v>11</v>
      </c>
      <c r="E950" s="1" t="s">
        <v>17</v>
      </c>
      <c r="F950" s="1">
        <v>62</v>
      </c>
      <c r="G950" s="1">
        <v>79</v>
      </c>
      <c r="H950" s="1">
        <v>80</v>
      </c>
      <c r="I950">
        <f t="shared" si="18"/>
        <v>221</v>
      </c>
    </row>
    <row r="951" spans="1:9" ht="13.2" hidden="1" x14ac:dyDescent="0.25">
      <c r="A951" s="1" t="s">
        <v>19</v>
      </c>
      <c r="B951" s="1" t="s">
        <v>9</v>
      </c>
      <c r="C951" s="1" t="s">
        <v>24</v>
      </c>
      <c r="D951" s="1" t="s">
        <v>23</v>
      </c>
      <c r="E951" s="1" t="s">
        <v>12</v>
      </c>
      <c r="F951" s="1">
        <v>67</v>
      </c>
      <c r="G951" s="1">
        <v>70</v>
      </c>
      <c r="H951" s="1">
        <v>64</v>
      </c>
      <c r="I951">
        <f t="shared" si="18"/>
        <v>201</v>
      </c>
    </row>
    <row r="952" spans="1:9" ht="13.2" hidden="1" x14ac:dyDescent="0.25">
      <c r="A952" s="1" t="s">
        <v>19</v>
      </c>
      <c r="B952" s="1" t="s">
        <v>15</v>
      </c>
      <c r="C952" s="1" t="s">
        <v>20</v>
      </c>
      <c r="D952" s="1" t="s">
        <v>23</v>
      </c>
      <c r="E952" s="1" t="s">
        <v>12</v>
      </c>
      <c r="F952" s="1">
        <v>44</v>
      </c>
      <c r="G952" s="1">
        <v>25</v>
      </c>
      <c r="H952" s="1">
        <v>31</v>
      </c>
      <c r="I952">
        <f t="shared" si="18"/>
        <v>100</v>
      </c>
    </row>
    <row r="953" spans="1:9" ht="13.2" hidden="1" x14ac:dyDescent="0.25">
      <c r="A953" s="1" t="s">
        <v>8</v>
      </c>
      <c r="B953" s="1" t="s">
        <v>13</v>
      </c>
      <c r="C953" s="1" t="s">
        <v>10</v>
      </c>
      <c r="D953" s="1" t="s">
        <v>11</v>
      </c>
      <c r="E953" s="1" t="s">
        <v>12</v>
      </c>
      <c r="F953" s="1">
        <v>52</v>
      </c>
      <c r="G953" s="1">
        <v>61</v>
      </c>
      <c r="H953" s="1">
        <v>60</v>
      </c>
      <c r="I953">
        <f t="shared" si="18"/>
        <v>173</v>
      </c>
    </row>
    <row r="954" spans="1:9" ht="13.2" hidden="1" x14ac:dyDescent="0.25">
      <c r="A954" s="1" t="s">
        <v>19</v>
      </c>
      <c r="B954" s="1" t="s">
        <v>9</v>
      </c>
      <c r="C954" s="1" t="s">
        <v>14</v>
      </c>
      <c r="D954" s="1" t="s">
        <v>11</v>
      </c>
      <c r="E954" s="1" t="s">
        <v>17</v>
      </c>
      <c r="F954" s="1">
        <v>67</v>
      </c>
      <c r="G954" s="1">
        <v>68</v>
      </c>
      <c r="H954" s="1">
        <v>64</v>
      </c>
      <c r="I954">
        <f t="shared" si="18"/>
        <v>199</v>
      </c>
    </row>
    <row r="955" spans="1:9" ht="13.2" hidden="1" x14ac:dyDescent="0.25">
      <c r="A955" s="1" t="s">
        <v>8</v>
      </c>
      <c r="B955" s="1" t="s">
        <v>18</v>
      </c>
      <c r="C955" s="1" t="s">
        <v>22</v>
      </c>
      <c r="D955" s="1" t="s">
        <v>23</v>
      </c>
      <c r="E955" s="1" t="s">
        <v>12</v>
      </c>
      <c r="F955" s="1">
        <v>56</v>
      </c>
      <c r="G955" s="1">
        <v>66</v>
      </c>
      <c r="H955" s="1">
        <v>69</v>
      </c>
      <c r="I955">
        <f t="shared" si="18"/>
        <v>191</v>
      </c>
    </row>
    <row r="956" spans="1:9" ht="13.2" hidden="1" x14ac:dyDescent="0.25">
      <c r="A956" s="1" t="s">
        <v>19</v>
      </c>
      <c r="B956" s="1" t="s">
        <v>15</v>
      </c>
      <c r="C956" s="1" t="s">
        <v>20</v>
      </c>
      <c r="D956" s="1" t="s">
        <v>11</v>
      </c>
      <c r="E956" s="1" t="s">
        <v>12</v>
      </c>
      <c r="F956" s="1">
        <v>73</v>
      </c>
      <c r="G956" s="1">
        <v>66</v>
      </c>
      <c r="H956" s="1">
        <v>63</v>
      </c>
      <c r="I956">
        <f t="shared" si="18"/>
        <v>202</v>
      </c>
    </row>
    <row r="957" spans="1:9" ht="13.2" hidden="1" x14ac:dyDescent="0.25">
      <c r="A957" s="1" t="s">
        <v>8</v>
      </c>
      <c r="B957" s="1" t="s">
        <v>21</v>
      </c>
      <c r="C957" s="1" t="s">
        <v>10</v>
      </c>
      <c r="D957" s="1" t="s">
        <v>11</v>
      </c>
      <c r="E957" s="1" t="s">
        <v>12</v>
      </c>
      <c r="F957" s="1">
        <v>85</v>
      </c>
      <c r="G957" s="1">
        <v>86</v>
      </c>
      <c r="H957" s="1">
        <v>80</v>
      </c>
      <c r="I957">
        <f t="shared" si="18"/>
        <v>251</v>
      </c>
    </row>
    <row r="958" spans="1:9" ht="13.2" hidden="1" x14ac:dyDescent="0.25">
      <c r="A958" s="1" t="s">
        <v>19</v>
      </c>
      <c r="B958" s="1" t="s">
        <v>21</v>
      </c>
      <c r="C958" s="1" t="s">
        <v>10</v>
      </c>
      <c r="D958" s="1" t="s">
        <v>11</v>
      </c>
      <c r="E958" s="1" t="s">
        <v>17</v>
      </c>
      <c r="F958" s="1">
        <v>82</v>
      </c>
      <c r="G958" s="1">
        <v>72</v>
      </c>
      <c r="H958" s="1">
        <v>74</v>
      </c>
      <c r="I958">
        <f t="shared" si="18"/>
        <v>228</v>
      </c>
    </row>
    <row r="959" spans="1:9" ht="13.2" hidden="1" x14ac:dyDescent="0.25">
      <c r="A959" s="1" t="s">
        <v>19</v>
      </c>
      <c r="B959" s="1" t="s">
        <v>15</v>
      </c>
      <c r="C959" s="1" t="s">
        <v>20</v>
      </c>
      <c r="D959" s="1" t="s">
        <v>11</v>
      </c>
      <c r="E959" s="1" t="s">
        <v>17</v>
      </c>
      <c r="F959" s="1">
        <v>98</v>
      </c>
      <c r="G959" s="1">
        <v>100</v>
      </c>
      <c r="H959" s="1">
        <v>97</v>
      </c>
      <c r="I959">
        <f t="shared" si="18"/>
        <v>295</v>
      </c>
    </row>
    <row r="960" spans="1:9" ht="13.2" hidden="1" x14ac:dyDescent="0.25">
      <c r="A960" s="1" t="s">
        <v>19</v>
      </c>
      <c r="B960" s="1" t="s">
        <v>18</v>
      </c>
      <c r="C960" s="1" t="s">
        <v>16</v>
      </c>
      <c r="D960" s="1" t="s">
        <v>23</v>
      </c>
      <c r="E960" s="1" t="s">
        <v>17</v>
      </c>
      <c r="F960" s="1">
        <v>39</v>
      </c>
      <c r="G960" s="1">
        <v>38</v>
      </c>
      <c r="H960" s="1">
        <v>40</v>
      </c>
      <c r="I960">
        <f t="shared" si="18"/>
        <v>117</v>
      </c>
    </row>
    <row r="961" spans="1:9" ht="13.2" hidden="1" x14ac:dyDescent="0.25">
      <c r="A961" s="1" t="s">
        <v>19</v>
      </c>
      <c r="B961" s="1" t="s">
        <v>13</v>
      </c>
      <c r="C961" s="1" t="s">
        <v>16</v>
      </c>
      <c r="D961" s="1" t="s">
        <v>11</v>
      </c>
      <c r="E961" s="1" t="s">
        <v>12</v>
      </c>
      <c r="F961" s="1">
        <v>49</v>
      </c>
      <c r="G961" s="1">
        <v>45</v>
      </c>
      <c r="H961" s="1">
        <v>52</v>
      </c>
      <c r="I961">
        <f t="shared" si="18"/>
        <v>146</v>
      </c>
    </row>
    <row r="962" spans="1:9" ht="13.2" hidden="1" x14ac:dyDescent="0.25">
      <c r="A962" s="1" t="s">
        <v>8</v>
      </c>
      <c r="B962" s="1" t="s">
        <v>18</v>
      </c>
      <c r="C962" s="1" t="s">
        <v>10</v>
      </c>
      <c r="D962" s="1" t="s">
        <v>11</v>
      </c>
      <c r="E962" s="1" t="s">
        <v>17</v>
      </c>
      <c r="F962" s="1">
        <v>71</v>
      </c>
      <c r="G962" s="1">
        <v>83</v>
      </c>
      <c r="H962" s="1">
        <v>89</v>
      </c>
      <c r="I962">
        <f t="shared" si="18"/>
        <v>243</v>
      </c>
    </row>
    <row r="963" spans="1:9" ht="13.2" hidden="1" x14ac:dyDescent="0.25">
      <c r="A963" s="1" t="s">
        <v>19</v>
      </c>
      <c r="B963" s="1" t="s">
        <v>21</v>
      </c>
      <c r="C963" s="1" t="s">
        <v>14</v>
      </c>
      <c r="D963" s="1" t="s">
        <v>23</v>
      </c>
      <c r="E963" s="1" t="s">
        <v>12</v>
      </c>
      <c r="F963" s="1">
        <v>86</v>
      </c>
      <c r="G963" s="1">
        <v>73</v>
      </c>
      <c r="H963" s="1">
        <v>73</v>
      </c>
      <c r="I963">
        <f t="shared" ref="I963:I1001" si="19">SUM(F963:H963)</f>
        <v>232</v>
      </c>
    </row>
    <row r="964" spans="1:9" ht="13.2" hidden="1" x14ac:dyDescent="0.25">
      <c r="A964" s="1" t="s">
        <v>8</v>
      </c>
      <c r="B964" s="1" t="s">
        <v>9</v>
      </c>
      <c r="C964" s="1" t="s">
        <v>10</v>
      </c>
      <c r="D964" s="1" t="s">
        <v>11</v>
      </c>
      <c r="E964" s="1" t="s">
        <v>17</v>
      </c>
      <c r="F964" s="1">
        <v>59</v>
      </c>
      <c r="G964" s="1">
        <v>75</v>
      </c>
      <c r="H964" s="1">
        <v>77</v>
      </c>
      <c r="I964">
        <f t="shared" si="19"/>
        <v>211</v>
      </c>
    </row>
    <row r="965" spans="1:9" ht="13.2" hidden="1" x14ac:dyDescent="0.25">
      <c r="A965" s="1" t="s">
        <v>19</v>
      </c>
      <c r="B965" s="1" t="s">
        <v>9</v>
      </c>
      <c r="C965" s="1" t="s">
        <v>16</v>
      </c>
      <c r="D965" s="1" t="s">
        <v>11</v>
      </c>
      <c r="E965" s="1" t="s">
        <v>12</v>
      </c>
      <c r="F965" s="1">
        <v>84</v>
      </c>
      <c r="G965" s="1">
        <v>79</v>
      </c>
      <c r="H965" s="1">
        <v>78</v>
      </c>
      <c r="I965">
        <f t="shared" si="19"/>
        <v>241</v>
      </c>
    </row>
    <row r="966" spans="1:9" ht="13.2" hidden="1" x14ac:dyDescent="0.25">
      <c r="A966" s="1" t="s">
        <v>19</v>
      </c>
      <c r="B966" s="1" t="s">
        <v>21</v>
      </c>
      <c r="C966" s="1" t="s">
        <v>16</v>
      </c>
      <c r="D966" s="1" t="s">
        <v>11</v>
      </c>
      <c r="E966" s="1" t="s">
        <v>12</v>
      </c>
      <c r="F966" s="1">
        <v>84</v>
      </c>
      <c r="G966" s="1">
        <v>72</v>
      </c>
      <c r="H966" s="1">
        <v>68</v>
      </c>
      <c r="I966">
        <f t="shared" si="19"/>
        <v>224</v>
      </c>
    </row>
    <row r="967" spans="1:9" ht="13.2" hidden="1" x14ac:dyDescent="0.25">
      <c r="A967" s="1" t="s">
        <v>8</v>
      </c>
      <c r="B967" s="1" t="s">
        <v>9</v>
      </c>
      <c r="C967" s="1" t="s">
        <v>20</v>
      </c>
      <c r="D967" s="1" t="s">
        <v>23</v>
      </c>
      <c r="E967" s="1" t="s">
        <v>17</v>
      </c>
      <c r="F967" s="1">
        <v>44</v>
      </c>
      <c r="G967" s="1">
        <v>54</v>
      </c>
      <c r="H967" s="1">
        <v>54</v>
      </c>
      <c r="I967">
        <f t="shared" si="19"/>
        <v>152</v>
      </c>
    </row>
    <row r="968" spans="1:9" ht="13.2" hidden="1" x14ac:dyDescent="0.25">
      <c r="A968" s="1" t="s">
        <v>8</v>
      </c>
      <c r="B968" s="1" t="s">
        <v>18</v>
      </c>
      <c r="C968" s="1" t="s">
        <v>22</v>
      </c>
      <c r="D968" s="1" t="s">
        <v>11</v>
      </c>
      <c r="E968" s="1" t="s">
        <v>12</v>
      </c>
      <c r="F968" s="1">
        <v>60</v>
      </c>
      <c r="G968" s="1">
        <v>73</v>
      </c>
      <c r="H968" s="1">
        <v>70</v>
      </c>
      <c r="I968">
        <f t="shared" si="19"/>
        <v>203</v>
      </c>
    </row>
    <row r="969" spans="1:9" ht="13.2" hidden="1" x14ac:dyDescent="0.25">
      <c r="A969" s="1" t="s">
        <v>8</v>
      </c>
      <c r="B969" s="1" t="s">
        <v>15</v>
      </c>
      <c r="C969" s="1" t="s">
        <v>14</v>
      </c>
      <c r="D969" s="1" t="s">
        <v>11</v>
      </c>
      <c r="E969" s="1" t="s">
        <v>12</v>
      </c>
      <c r="F969" s="1">
        <v>48</v>
      </c>
      <c r="G969" s="1">
        <v>50</v>
      </c>
      <c r="H969" s="1">
        <v>53</v>
      </c>
      <c r="I969">
        <f t="shared" si="19"/>
        <v>151</v>
      </c>
    </row>
    <row r="970" spans="1:9" ht="13.2" hidden="1" x14ac:dyDescent="0.25">
      <c r="A970" s="1" t="s">
        <v>8</v>
      </c>
      <c r="B970" s="1" t="s">
        <v>18</v>
      </c>
      <c r="C970" s="1" t="s">
        <v>16</v>
      </c>
      <c r="D970" s="1" t="s">
        <v>11</v>
      </c>
      <c r="E970" s="1" t="s">
        <v>12</v>
      </c>
      <c r="F970" s="1">
        <v>56</v>
      </c>
      <c r="G970" s="1">
        <v>63</v>
      </c>
      <c r="H970" s="1">
        <v>58</v>
      </c>
      <c r="I970">
        <f t="shared" si="19"/>
        <v>177</v>
      </c>
    </row>
    <row r="971" spans="1:9" ht="13.2" hidden="1" x14ac:dyDescent="0.25">
      <c r="A971" s="1" t="s">
        <v>19</v>
      </c>
      <c r="B971" s="1" t="s">
        <v>13</v>
      </c>
      <c r="C971" s="1" t="s">
        <v>10</v>
      </c>
      <c r="D971" s="1" t="s">
        <v>11</v>
      </c>
      <c r="E971" s="1" t="s">
        <v>17</v>
      </c>
      <c r="F971" s="1">
        <v>83</v>
      </c>
      <c r="G971" s="1">
        <v>73</v>
      </c>
      <c r="H971" s="1">
        <v>69</v>
      </c>
      <c r="I971">
        <f t="shared" si="19"/>
        <v>225</v>
      </c>
    </row>
    <row r="972" spans="1:9" ht="13.2" hidden="1" x14ac:dyDescent="0.25">
      <c r="A972" s="1" t="s">
        <v>19</v>
      </c>
      <c r="B972" s="1" t="s">
        <v>18</v>
      </c>
      <c r="C972" s="1" t="s">
        <v>22</v>
      </c>
      <c r="D972" s="1" t="s">
        <v>11</v>
      </c>
      <c r="E972" s="1" t="s">
        <v>12</v>
      </c>
      <c r="F972" s="1">
        <v>47</v>
      </c>
      <c r="G972" s="1">
        <v>49</v>
      </c>
      <c r="H972" s="1">
        <v>47</v>
      </c>
      <c r="I972">
        <f t="shared" si="19"/>
        <v>143</v>
      </c>
    </row>
    <row r="973" spans="1:9" ht="13.2" hidden="1" x14ac:dyDescent="0.25">
      <c r="A973" s="1" t="s">
        <v>19</v>
      </c>
      <c r="B973" s="1" t="s">
        <v>13</v>
      </c>
      <c r="C973" s="1" t="s">
        <v>22</v>
      </c>
      <c r="D973" s="1" t="s">
        <v>23</v>
      </c>
      <c r="E973" s="1" t="s">
        <v>12</v>
      </c>
      <c r="F973" s="1">
        <v>56</v>
      </c>
      <c r="G973" s="1">
        <v>45</v>
      </c>
      <c r="H973" s="1">
        <v>49</v>
      </c>
      <c r="I973">
        <f t="shared" si="19"/>
        <v>150</v>
      </c>
    </row>
    <row r="974" spans="1:9" ht="13.2" hidden="1" x14ac:dyDescent="0.25">
      <c r="A974" s="1" t="s">
        <v>19</v>
      </c>
      <c r="B974" s="1" t="s">
        <v>13</v>
      </c>
      <c r="C974" s="1" t="s">
        <v>14</v>
      </c>
      <c r="D974" s="1" t="s">
        <v>23</v>
      </c>
      <c r="E974" s="1" t="s">
        <v>17</v>
      </c>
      <c r="F974" s="1">
        <v>65</v>
      </c>
      <c r="G974" s="1">
        <v>67</v>
      </c>
      <c r="H974" s="1">
        <v>69</v>
      </c>
      <c r="I974">
        <f t="shared" si="19"/>
        <v>201</v>
      </c>
    </row>
    <row r="975" spans="1:9" ht="13.2" hidden="1" x14ac:dyDescent="0.25">
      <c r="A975" s="1" t="s">
        <v>8</v>
      </c>
      <c r="B975" s="1" t="s">
        <v>18</v>
      </c>
      <c r="C975" s="1" t="s">
        <v>24</v>
      </c>
      <c r="D975" s="1" t="s">
        <v>11</v>
      </c>
      <c r="E975" s="1" t="s">
        <v>17</v>
      </c>
      <c r="F975" s="1">
        <v>74</v>
      </c>
      <c r="G975" s="1">
        <v>91</v>
      </c>
      <c r="H975" s="1">
        <v>89</v>
      </c>
      <c r="I975">
        <f t="shared" si="19"/>
        <v>254</v>
      </c>
    </row>
    <row r="976" spans="1:9" ht="13.2" hidden="1" x14ac:dyDescent="0.25">
      <c r="A976" s="1" t="s">
        <v>8</v>
      </c>
      <c r="B976" s="1" t="s">
        <v>9</v>
      </c>
      <c r="C976" s="1" t="s">
        <v>14</v>
      </c>
      <c r="D976" s="1" t="s">
        <v>23</v>
      </c>
      <c r="E976" s="1" t="s">
        <v>17</v>
      </c>
      <c r="F976" s="1">
        <v>53</v>
      </c>
      <c r="G976" s="1">
        <v>64</v>
      </c>
      <c r="H976" s="1">
        <v>62</v>
      </c>
      <c r="I976">
        <f t="shared" si="19"/>
        <v>179</v>
      </c>
    </row>
    <row r="977" spans="1:9" ht="13.2" hidden="1" x14ac:dyDescent="0.25">
      <c r="A977" s="1" t="s">
        <v>8</v>
      </c>
      <c r="B977" s="1" t="s">
        <v>18</v>
      </c>
      <c r="C977" s="1" t="s">
        <v>16</v>
      </c>
      <c r="D977" s="1" t="s">
        <v>23</v>
      </c>
      <c r="E977" s="1" t="s">
        <v>12</v>
      </c>
      <c r="F977" s="1">
        <v>71</v>
      </c>
      <c r="G977" s="1">
        <v>83</v>
      </c>
      <c r="H977" s="1">
        <v>86</v>
      </c>
      <c r="I977">
        <f t="shared" si="19"/>
        <v>240</v>
      </c>
    </row>
    <row r="978" spans="1:9" ht="13.2" hidden="1" x14ac:dyDescent="0.25">
      <c r="A978" s="1" t="s">
        <v>8</v>
      </c>
      <c r="B978" s="1" t="s">
        <v>13</v>
      </c>
      <c r="C978" s="1" t="s">
        <v>14</v>
      </c>
      <c r="D978" s="1" t="s">
        <v>11</v>
      </c>
      <c r="E978" s="1" t="s">
        <v>17</v>
      </c>
      <c r="F978" s="1">
        <v>71</v>
      </c>
      <c r="G978" s="1">
        <v>79</v>
      </c>
      <c r="H978" s="1">
        <v>77</v>
      </c>
      <c r="I978">
        <f t="shared" si="19"/>
        <v>227</v>
      </c>
    </row>
    <row r="979" spans="1:9" ht="13.2" hidden="1" x14ac:dyDescent="0.25">
      <c r="A979" s="1" t="s">
        <v>19</v>
      </c>
      <c r="B979" s="1" t="s">
        <v>13</v>
      </c>
      <c r="C979" s="1" t="s">
        <v>22</v>
      </c>
      <c r="D979" s="1" t="s">
        <v>11</v>
      </c>
      <c r="E979" s="1" t="s">
        <v>12</v>
      </c>
      <c r="F979" s="1">
        <v>66</v>
      </c>
      <c r="G979" s="1">
        <v>63</v>
      </c>
      <c r="H979" s="1">
        <v>63</v>
      </c>
      <c r="I979">
        <f t="shared" si="19"/>
        <v>192</v>
      </c>
    </row>
    <row r="980" spans="1:9" ht="13.2" hidden="1" x14ac:dyDescent="0.25">
      <c r="A980" s="1" t="s">
        <v>8</v>
      </c>
      <c r="B980" s="1" t="s">
        <v>13</v>
      </c>
      <c r="C980" s="1" t="s">
        <v>14</v>
      </c>
      <c r="D980" s="1" t="s">
        <v>23</v>
      </c>
      <c r="E980" s="1" t="s">
        <v>12</v>
      </c>
      <c r="F980" s="1">
        <v>46</v>
      </c>
      <c r="G980" s="1">
        <v>62</v>
      </c>
      <c r="H980" s="1">
        <v>58</v>
      </c>
      <c r="I980">
        <f t="shared" si="19"/>
        <v>166</v>
      </c>
    </row>
    <row r="981" spans="1:9" ht="13.2" hidden="1" x14ac:dyDescent="0.25">
      <c r="A981" s="1" t="s">
        <v>19</v>
      </c>
      <c r="B981" s="1" t="s">
        <v>21</v>
      </c>
      <c r="C981" s="1" t="s">
        <v>10</v>
      </c>
      <c r="D981" s="1" t="s">
        <v>23</v>
      </c>
      <c r="E981" s="1" t="s">
        <v>17</v>
      </c>
      <c r="F981" s="1">
        <v>85</v>
      </c>
      <c r="G981" s="1">
        <v>74</v>
      </c>
      <c r="H981" s="1">
        <v>75</v>
      </c>
      <c r="I981">
        <f t="shared" si="19"/>
        <v>234</v>
      </c>
    </row>
    <row r="982" spans="1:9" ht="13.2" hidden="1" x14ac:dyDescent="0.25">
      <c r="A982" s="1" t="s">
        <v>8</v>
      </c>
      <c r="B982" s="1" t="s">
        <v>9</v>
      </c>
      <c r="C982" s="1" t="s">
        <v>22</v>
      </c>
      <c r="D982" s="1" t="s">
        <v>11</v>
      </c>
      <c r="E982" s="1" t="s">
        <v>12</v>
      </c>
      <c r="F982" s="1">
        <v>53</v>
      </c>
      <c r="G982" s="1">
        <v>70</v>
      </c>
      <c r="H982" s="1">
        <v>72</v>
      </c>
      <c r="I982">
        <f t="shared" si="19"/>
        <v>195</v>
      </c>
    </row>
    <row r="983" spans="1:9" ht="13.2" hidden="1" x14ac:dyDescent="0.25">
      <c r="A983" s="1" t="s">
        <v>19</v>
      </c>
      <c r="B983" s="1" t="s">
        <v>18</v>
      </c>
      <c r="C983" s="1" t="s">
        <v>22</v>
      </c>
      <c r="D983" s="1" t="s">
        <v>23</v>
      </c>
      <c r="E983" s="1" t="s">
        <v>12</v>
      </c>
      <c r="F983" s="1">
        <v>65</v>
      </c>
      <c r="G983" s="1">
        <v>61</v>
      </c>
      <c r="H983" s="1">
        <v>53</v>
      </c>
      <c r="I983">
        <f t="shared" si="19"/>
        <v>179</v>
      </c>
    </row>
    <row r="984" spans="1:9" ht="13.2" hidden="1" x14ac:dyDescent="0.25">
      <c r="A984" s="1" t="s">
        <v>8</v>
      </c>
      <c r="B984" s="1" t="s">
        <v>18</v>
      </c>
      <c r="C984" s="1" t="s">
        <v>14</v>
      </c>
      <c r="D984" s="1" t="s">
        <v>11</v>
      </c>
      <c r="E984" s="1" t="s">
        <v>12</v>
      </c>
      <c r="F984" s="1">
        <v>59</v>
      </c>
      <c r="G984" s="1">
        <v>63</v>
      </c>
      <c r="H984" s="1">
        <v>61</v>
      </c>
      <c r="I984">
        <f t="shared" si="19"/>
        <v>183</v>
      </c>
    </row>
    <row r="985" spans="1:9" ht="13.2" hidden="1" x14ac:dyDescent="0.25">
      <c r="A985" s="1" t="s">
        <v>19</v>
      </c>
      <c r="B985" s="1" t="s">
        <v>9</v>
      </c>
      <c r="C985" s="1" t="s">
        <v>22</v>
      </c>
      <c r="D985" s="1" t="s">
        <v>11</v>
      </c>
      <c r="E985" s="1" t="s">
        <v>12</v>
      </c>
      <c r="F985" s="1">
        <v>88</v>
      </c>
      <c r="G985" s="1">
        <v>79</v>
      </c>
      <c r="H985" s="1">
        <v>76</v>
      </c>
      <c r="I985">
        <f t="shared" si="19"/>
        <v>243</v>
      </c>
    </row>
    <row r="986" spans="1:9" ht="13.2" hidden="1" x14ac:dyDescent="0.25">
      <c r="A986" s="1" t="s">
        <v>8</v>
      </c>
      <c r="B986" s="1" t="s">
        <v>13</v>
      </c>
      <c r="C986" s="1" t="s">
        <v>14</v>
      </c>
      <c r="D986" s="1" t="s">
        <v>11</v>
      </c>
      <c r="E986" s="1" t="s">
        <v>17</v>
      </c>
      <c r="F986" s="1">
        <v>55</v>
      </c>
      <c r="G986" s="1">
        <v>70</v>
      </c>
      <c r="H986" s="1">
        <v>72</v>
      </c>
      <c r="I986">
        <f t="shared" si="19"/>
        <v>197</v>
      </c>
    </row>
    <row r="987" spans="1:9" ht="13.2" hidden="1" x14ac:dyDescent="0.25">
      <c r="A987" s="1" t="s">
        <v>19</v>
      </c>
      <c r="B987" s="1" t="s">
        <v>18</v>
      </c>
      <c r="C987" s="1" t="s">
        <v>10</v>
      </c>
      <c r="D987" s="1" t="s">
        <v>11</v>
      </c>
      <c r="E987" s="1" t="s">
        <v>12</v>
      </c>
      <c r="F987" s="1">
        <v>75</v>
      </c>
      <c r="G987" s="1">
        <v>59</v>
      </c>
      <c r="H987" s="1">
        <v>57</v>
      </c>
      <c r="I987">
        <f t="shared" si="19"/>
        <v>191</v>
      </c>
    </row>
    <row r="988" spans="1:9" ht="13.2" hidden="1" x14ac:dyDescent="0.25">
      <c r="A988" s="1" t="s">
        <v>8</v>
      </c>
      <c r="B988" s="1" t="s">
        <v>18</v>
      </c>
      <c r="C988" s="1" t="s">
        <v>22</v>
      </c>
      <c r="D988" s="1" t="s">
        <v>11</v>
      </c>
      <c r="E988" s="1" t="s">
        <v>12</v>
      </c>
      <c r="F988" s="1">
        <v>64</v>
      </c>
      <c r="G988" s="1">
        <v>69</v>
      </c>
      <c r="H988" s="1">
        <v>69</v>
      </c>
      <c r="I988">
        <f t="shared" si="19"/>
        <v>202</v>
      </c>
    </row>
    <row r="989" spans="1:9" ht="13.2" hidden="1" x14ac:dyDescent="0.25">
      <c r="A989" s="1" t="s">
        <v>19</v>
      </c>
      <c r="B989" s="1" t="s">
        <v>13</v>
      </c>
      <c r="C989" s="1" t="s">
        <v>22</v>
      </c>
      <c r="D989" s="1" t="s">
        <v>11</v>
      </c>
      <c r="E989" s="1" t="s">
        <v>12</v>
      </c>
      <c r="F989" s="1">
        <v>53</v>
      </c>
      <c r="G989" s="1">
        <v>51</v>
      </c>
      <c r="H989" s="1">
        <v>48</v>
      </c>
      <c r="I989">
        <f t="shared" si="19"/>
        <v>152</v>
      </c>
    </row>
    <row r="990" spans="1:9" ht="13.2" hidden="1" x14ac:dyDescent="0.25">
      <c r="A990" s="1" t="s">
        <v>8</v>
      </c>
      <c r="B990" s="1" t="s">
        <v>13</v>
      </c>
      <c r="C990" s="1" t="s">
        <v>24</v>
      </c>
      <c r="D990" s="1" t="s">
        <v>11</v>
      </c>
      <c r="E990" s="1" t="s">
        <v>17</v>
      </c>
      <c r="F990" s="1">
        <v>85</v>
      </c>
      <c r="G990" s="1">
        <v>98</v>
      </c>
      <c r="H990" s="1">
        <v>100</v>
      </c>
      <c r="I990">
        <f t="shared" si="19"/>
        <v>283</v>
      </c>
    </row>
    <row r="991" spans="1:9" ht="13.2" hidden="1" x14ac:dyDescent="0.25">
      <c r="A991" s="1" t="s">
        <v>19</v>
      </c>
      <c r="B991" s="1" t="s">
        <v>21</v>
      </c>
      <c r="C991" s="1" t="s">
        <v>22</v>
      </c>
      <c r="D991" s="1" t="s">
        <v>11</v>
      </c>
      <c r="E991" s="1" t="s">
        <v>12</v>
      </c>
      <c r="F991" s="1">
        <v>90</v>
      </c>
      <c r="G991" s="1">
        <v>79</v>
      </c>
      <c r="H991" s="1">
        <v>71</v>
      </c>
      <c r="I991">
        <f t="shared" si="19"/>
        <v>240</v>
      </c>
    </row>
    <row r="992" spans="1:9" ht="13.2" hidden="1" x14ac:dyDescent="0.25">
      <c r="A992" s="1" t="s">
        <v>8</v>
      </c>
      <c r="B992" s="1" t="s">
        <v>13</v>
      </c>
      <c r="C992" s="1" t="s">
        <v>20</v>
      </c>
      <c r="D992" s="1" t="s">
        <v>11</v>
      </c>
      <c r="E992" s="1" t="s">
        <v>12</v>
      </c>
      <c r="F992" s="1">
        <v>47</v>
      </c>
      <c r="G992" s="1">
        <v>65</v>
      </c>
      <c r="H992" s="1">
        <v>61</v>
      </c>
      <c r="I992">
        <f t="shared" si="19"/>
        <v>173</v>
      </c>
    </row>
    <row r="993" spans="1:9" ht="13.2" hidden="1" x14ac:dyDescent="0.25">
      <c r="A993" s="1" t="s">
        <v>8</v>
      </c>
      <c r="B993" s="1" t="s">
        <v>9</v>
      </c>
      <c r="C993" s="1" t="s">
        <v>20</v>
      </c>
      <c r="D993" s="1" t="s">
        <v>11</v>
      </c>
      <c r="E993" s="1" t="s">
        <v>17</v>
      </c>
      <c r="F993" s="1">
        <v>56</v>
      </c>
      <c r="G993" s="1">
        <v>66</v>
      </c>
      <c r="H993" s="1">
        <v>71</v>
      </c>
      <c r="I993">
        <f t="shared" si="19"/>
        <v>193</v>
      </c>
    </row>
    <row r="994" spans="1:9" ht="13.2" hidden="1" x14ac:dyDescent="0.25">
      <c r="A994" s="1" t="s">
        <v>19</v>
      </c>
      <c r="B994" s="1" t="s">
        <v>13</v>
      </c>
      <c r="C994" s="1" t="s">
        <v>20</v>
      </c>
      <c r="D994" s="1" t="s">
        <v>11</v>
      </c>
      <c r="E994" s="1" t="s">
        <v>17</v>
      </c>
      <c r="F994" s="1">
        <v>84</v>
      </c>
      <c r="G994" s="1">
        <v>77</v>
      </c>
      <c r="H994" s="1">
        <v>88</v>
      </c>
      <c r="I994">
        <f t="shared" si="19"/>
        <v>249</v>
      </c>
    </row>
    <row r="995" spans="1:9" ht="13.2" hidden="1" x14ac:dyDescent="0.25">
      <c r="A995" s="1" t="s">
        <v>8</v>
      </c>
      <c r="B995" s="1" t="s">
        <v>9</v>
      </c>
      <c r="C995" s="1" t="s">
        <v>24</v>
      </c>
      <c r="D995" s="1" t="s">
        <v>23</v>
      </c>
      <c r="E995" s="1" t="s">
        <v>17</v>
      </c>
      <c r="F995" s="1">
        <v>47</v>
      </c>
      <c r="G995" s="1">
        <v>64</v>
      </c>
      <c r="H995" s="1">
        <v>61</v>
      </c>
      <c r="I995">
        <f t="shared" si="19"/>
        <v>172</v>
      </c>
    </row>
    <row r="996" spans="1:9" ht="13.2" hidden="1" x14ac:dyDescent="0.25">
      <c r="A996" s="1" t="s">
        <v>8</v>
      </c>
      <c r="B996" s="1" t="s">
        <v>9</v>
      </c>
      <c r="C996" s="1" t="s">
        <v>22</v>
      </c>
      <c r="D996" s="1" t="s">
        <v>23</v>
      </c>
      <c r="E996" s="1" t="s">
        <v>12</v>
      </c>
      <c r="F996" s="1">
        <v>57</v>
      </c>
      <c r="G996" s="1">
        <v>75</v>
      </c>
      <c r="H996" s="1">
        <v>66</v>
      </c>
      <c r="I996">
        <f t="shared" si="19"/>
        <v>198</v>
      </c>
    </row>
    <row r="997" spans="1:9" ht="13.2" hidden="1" x14ac:dyDescent="0.25">
      <c r="A997" s="1" t="s">
        <v>8</v>
      </c>
      <c r="B997" s="1" t="s">
        <v>13</v>
      </c>
      <c r="C997" s="1" t="s">
        <v>10</v>
      </c>
      <c r="D997" s="1" t="s">
        <v>23</v>
      </c>
      <c r="E997" s="1" t="s">
        <v>12</v>
      </c>
      <c r="F997" s="1">
        <v>29</v>
      </c>
      <c r="G997" s="1">
        <v>41</v>
      </c>
      <c r="H997" s="1">
        <v>35</v>
      </c>
      <c r="I997">
        <f t="shared" si="19"/>
        <v>105</v>
      </c>
    </row>
    <row r="998" spans="1:9" ht="13.2" hidden="1" x14ac:dyDescent="0.25">
      <c r="A998" s="1" t="s">
        <v>8</v>
      </c>
      <c r="B998" s="1" t="s">
        <v>13</v>
      </c>
      <c r="C998" s="1" t="s">
        <v>22</v>
      </c>
      <c r="D998" s="1" t="s">
        <v>11</v>
      </c>
      <c r="E998" s="1" t="s">
        <v>17</v>
      </c>
      <c r="F998" s="1">
        <v>80</v>
      </c>
      <c r="G998" s="1">
        <v>86</v>
      </c>
      <c r="H998" s="1">
        <v>92</v>
      </c>
      <c r="I998">
        <f t="shared" si="19"/>
        <v>258</v>
      </c>
    </row>
    <row r="999" spans="1:9" ht="13.2" hidden="1" x14ac:dyDescent="0.25">
      <c r="A999" s="1" t="s">
        <v>8</v>
      </c>
      <c r="B999" s="1" t="s">
        <v>21</v>
      </c>
      <c r="C999" s="1" t="s">
        <v>14</v>
      </c>
      <c r="D999" s="1" t="s">
        <v>11</v>
      </c>
      <c r="E999" s="1" t="s">
        <v>12</v>
      </c>
      <c r="F999" s="1">
        <v>76</v>
      </c>
      <c r="G999" s="1">
        <v>80</v>
      </c>
      <c r="H999" s="1">
        <v>77</v>
      </c>
      <c r="I999">
        <f t="shared" si="19"/>
        <v>233</v>
      </c>
    </row>
    <row r="1000" spans="1:9" ht="13.2" hidden="1" x14ac:dyDescent="0.25">
      <c r="A1000" s="1" t="s">
        <v>19</v>
      </c>
      <c r="B1000" s="1" t="s">
        <v>13</v>
      </c>
      <c r="C1000" s="1" t="s">
        <v>14</v>
      </c>
      <c r="D1000" s="1" t="s">
        <v>11</v>
      </c>
      <c r="E1000" s="1" t="s">
        <v>12</v>
      </c>
      <c r="F1000" s="1">
        <v>59</v>
      </c>
      <c r="G1000" s="1">
        <v>68</v>
      </c>
      <c r="H1000" s="1">
        <v>64</v>
      </c>
      <c r="I1000">
        <f t="shared" si="19"/>
        <v>191</v>
      </c>
    </row>
    <row r="1001" spans="1:9" ht="13.2" hidden="1" x14ac:dyDescent="0.25">
      <c r="A1001" s="1" t="s">
        <v>8</v>
      </c>
      <c r="B1001" s="1" t="s">
        <v>13</v>
      </c>
      <c r="C1001" s="1" t="s">
        <v>20</v>
      </c>
      <c r="D1001" s="1" t="s">
        <v>11</v>
      </c>
      <c r="E1001" s="1" t="s">
        <v>17</v>
      </c>
      <c r="F1001" s="1">
        <v>75</v>
      </c>
      <c r="G1001" s="1">
        <v>86</v>
      </c>
      <c r="H1001" s="1">
        <v>97</v>
      </c>
      <c r="I1001">
        <f t="shared" si="19"/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01"/>
  <sheetViews>
    <sheetView workbookViewId="0">
      <selection activeCell="E1" sqref="E1"/>
    </sheetView>
  </sheetViews>
  <sheetFormatPr defaultColWidth="12.6640625" defaultRowHeight="15.75" customHeight="1" x14ac:dyDescent="0.25"/>
  <cols>
    <col min="8" max="8" width="12.6640625" hidden="1" customWidth="1"/>
    <col min="9" max="9" width="19" hidden="1" customWidth="1"/>
    <col min="10" max="10" width="19" customWidth="1"/>
    <col min="13" max="13" width="22.88671875" customWidth="1"/>
    <col min="19" max="19" width="15.33203125" customWidth="1"/>
  </cols>
  <sheetData>
    <row r="1" spans="1:2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4" t="s">
        <v>44</v>
      </c>
      <c r="N1" s="4" t="s">
        <v>45</v>
      </c>
      <c r="O1" s="4"/>
      <c r="P1" s="4"/>
      <c r="Q1" s="4"/>
      <c r="R1" s="4"/>
      <c r="S1" s="1"/>
      <c r="T1" s="1"/>
    </row>
    <row r="2" spans="1:20" ht="13.2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67</v>
      </c>
      <c r="G2" s="1">
        <v>91</v>
      </c>
      <c r="H2" s="1">
        <v>84</v>
      </c>
      <c r="I2" s="1">
        <v>67</v>
      </c>
      <c r="J2" s="1">
        <v>14</v>
      </c>
      <c r="K2">
        <f>COUNTIF($F$2:$F$501, "&lt;="&amp;J2) / 500</f>
        <v>2E-3</v>
      </c>
      <c r="L2">
        <f>COUNTIF($G$2:$G$501, "&lt;="&amp;J2) / 500</f>
        <v>0</v>
      </c>
      <c r="M2">
        <f>ABS($K2 - $L2)</f>
        <v>2E-3</v>
      </c>
      <c r="N2">
        <f>MAX(M2:M75)</f>
        <v>0.10599999999999998</v>
      </c>
      <c r="O2" s="6"/>
      <c r="R2" s="2"/>
      <c r="S2" s="2"/>
      <c r="T2" s="3"/>
    </row>
    <row r="3" spans="1:20" ht="13.2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12</v>
      </c>
      <c r="F3" s="1">
        <v>63</v>
      </c>
      <c r="G3" s="1">
        <v>63</v>
      </c>
      <c r="H3" s="1">
        <v>67</v>
      </c>
      <c r="I3" s="1">
        <v>63</v>
      </c>
      <c r="J3" s="1">
        <v>19</v>
      </c>
      <c r="K3">
        <f t="shared" ref="K3:K66" si="0">COUNTIF($F$2:$F$501, "&lt;="&amp;J3) / 500</f>
        <v>4.0000000000000001E-3</v>
      </c>
      <c r="L3">
        <f t="shared" ref="L3:L66" si="1">COUNTIF($G$2:$G$501, "&lt;="&amp;J3) / 500</f>
        <v>0</v>
      </c>
      <c r="M3">
        <f t="shared" ref="M3:M66" si="2">ABS($K3 - $L3)</f>
        <v>4.0000000000000001E-3</v>
      </c>
      <c r="O3" s="6"/>
      <c r="R3" s="2"/>
      <c r="S3" s="2"/>
    </row>
    <row r="4" spans="1:20" ht="13.2" x14ac:dyDescent="0.25">
      <c r="A4" s="1" t="s">
        <v>8</v>
      </c>
      <c r="B4" s="1" t="s">
        <v>15</v>
      </c>
      <c r="C4" s="1" t="s">
        <v>16</v>
      </c>
      <c r="D4" s="1" t="s">
        <v>11</v>
      </c>
      <c r="E4" s="1" t="s">
        <v>17</v>
      </c>
      <c r="F4" s="1">
        <v>73</v>
      </c>
      <c r="G4" s="1">
        <v>83</v>
      </c>
      <c r="H4" s="1">
        <v>85</v>
      </c>
      <c r="I4" s="1">
        <v>73</v>
      </c>
      <c r="J4" s="1">
        <v>27</v>
      </c>
      <c r="K4">
        <f t="shared" si="0"/>
        <v>6.0000000000000001E-3</v>
      </c>
      <c r="L4">
        <f t="shared" si="1"/>
        <v>0</v>
      </c>
      <c r="M4">
        <f t="shared" si="2"/>
        <v>6.0000000000000001E-3</v>
      </c>
      <c r="O4" s="6"/>
      <c r="R4" s="2"/>
      <c r="S4" s="2"/>
    </row>
    <row r="5" spans="1:20" ht="13.2" x14ac:dyDescent="0.25">
      <c r="A5" s="1" t="s">
        <v>8</v>
      </c>
      <c r="B5" s="1" t="s">
        <v>18</v>
      </c>
      <c r="C5" s="1" t="s">
        <v>16</v>
      </c>
      <c r="D5" s="1" t="s">
        <v>11</v>
      </c>
      <c r="E5" s="1" t="s">
        <v>12</v>
      </c>
      <c r="F5" s="1">
        <v>85</v>
      </c>
      <c r="G5" s="1">
        <v>98</v>
      </c>
      <c r="H5" s="1">
        <v>95</v>
      </c>
      <c r="I5" s="1">
        <v>85</v>
      </c>
      <c r="J5" s="1">
        <v>28</v>
      </c>
      <c r="K5">
        <f t="shared" si="0"/>
        <v>1.2E-2</v>
      </c>
      <c r="L5">
        <f t="shared" si="1"/>
        <v>0</v>
      </c>
      <c r="M5">
        <f t="shared" si="2"/>
        <v>1.2E-2</v>
      </c>
      <c r="O5" s="6"/>
      <c r="R5" s="2"/>
      <c r="S5" s="2"/>
    </row>
    <row r="6" spans="1:20" ht="13.2" x14ac:dyDescent="0.25">
      <c r="A6" s="1" t="s">
        <v>19</v>
      </c>
      <c r="B6" s="1" t="s">
        <v>9</v>
      </c>
      <c r="C6" s="1" t="s">
        <v>20</v>
      </c>
      <c r="D6" s="1" t="s">
        <v>11</v>
      </c>
      <c r="E6" s="1" t="s">
        <v>12</v>
      </c>
      <c r="F6" s="1">
        <v>75</v>
      </c>
      <c r="G6" s="1">
        <v>57</v>
      </c>
      <c r="H6" s="1">
        <v>63</v>
      </c>
      <c r="I6" s="1">
        <v>75</v>
      </c>
      <c r="J6" s="1">
        <v>31</v>
      </c>
      <c r="K6">
        <f t="shared" si="0"/>
        <v>1.2E-2</v>
      </c>
      <c r="L6">
        <f t="shared" si="1"/>
        <v>2E-3</v>
      </c>
      <c r="M6">
        <f t="shared" si="2"/>
        <v>0.01</v>
      </c>
      <c r="O6" s="6"/>
      <c r="R6" s="2"/>
      <c r="S6" s="2"/>
    </row>
    <row r="7" spans="1:20" ht="13.2" x14ac:dyDescent="0.25">
      <c r="A7" s="1" t="s">
        <v>8</v>
      </c>
      <c r="B7" s="1" t="s">
        <v>21</v>
      </c>
      <c r="C7" s="1" t="s">
        <v>14</v>
      </c>
      <c r="D7" s="1" t="s">
        <v>11</v>
      </c>
      <c r="E7" s="1" t="s">
        <v>12</v>
      </c>
      <c r="F7" s="1">
        <v>85</v>
      </c>
      <c r="G7" s="1">
        <v>78</v>
      </c>
      <c r="H7" s="1">
        <v>74</v>
      </c>
      <c r="I7" s="1">
        <v>85</v>
      </c>
      <c r="J7" s="1">
        <v>32</v>
      </c>
      <c r="K7">
        <f t="shared" si="0"/>
        <v>1.4E-2</v>
      </c>
      <c r="L7">
        <f t="shared" si="1"/>
        <v>4.0000000000000001E-3</v>
      </c>
      <c r="M7">
        <f t="shared" si="2"/>
        <v>0.01</v>
      </c>
      <c r="O7" s="6"/>
      <c r="R7" s="2"/>
      <c r="S7" s="2"/>
    </row>
    <row r="8" spans="1:20" ht="13.2" x14ac:dyDescent="0.25">
      <c r="A8" s="1" t="s">
        <v>19</v>
      </c>
      <c r="B8" s="1" t="s">
        <v>15</v>
      </c>
      <c r="C8" s="1" t="s">
        <v>22</v>
      </c>
      <c r="D8" s="1" t="s">
        <v>23</v>
      </c>
      <c r="E8" s="1" t="s">
        <v>17</v>
      </c>
      <c r="F8" s="1">
        <v>40</v>
      </c>
      <c r="G8" s="1">
        <v>34</v>
      </c>
      <c r="H8" s="1">
        <v>30</v>
      </c>
      <c r="I8" s="1">
        <v>40</v>
      </c>
      <c r="J8" s="1">
        <v>33</v>
      </c>
      <c r="K8">
        <f t="shared" si="0"/>
        <v>1.4E-2</v>
      </c>
      <c r="L8">
        <f t="shared" si="1"/>
        <v>6.0000000000000001E-3</v>
      </c>
      <c r="M8">
        <f t="shared" si="2"/>
        <v>8.0000000000000002E-3</v>
      </c>
      <c r="O8" s="6"/>
      <c r="R8" s="2"/>
      <c r="S8" s="2"/>
    </row>
    <row r="9" spans="1:20" ht="13.2" x14ac:dyDescent="0.25">
      <c r="A9" s="1" t="s">
        <v>8</v>
      </c>
      <c r="B9" s="1" t="s">
        <v>21</v>
      </c>
      <c r="C9" s="1" t="s">
        <v>22</v>
      </c>
      <c r="D9" s="1" t="s">
        <v>11</v>
      </c>
      <c r="E9" s="1" t="s">
        <v>17</v>
      </c>
      <c r="F9" s="1">
        <v>57</v>
      </c>
      <c r="G9" s="1">
        <v>65</v>
      </c>
      <c r="H9" s="1">
        <v>68</v>
      </c>
      <c r="I9" s="1">
        <v>57</v>
      </c>
      <c r="J9" s="1">
        <v>34</v>
      </c>
      <c r="K9">
        <f t="shared" si="0"/>
        <v>0.02</v>
      </c>
      <c r="L9">
        <f t="shared" si="1"/>
        <v>1.2E-2</v>
      </c>
      <c r="M9">
        <f t="shared" si="2"/>
        <v>8.0000000000000002E-3</v>
      </c>
      <c r="O9" s="6"/>
      <c r="R9" s="2"/>
      <c r="S9" s="2"/>
    </row>
    <row r="10" spans="1:20" ht="13.2" x14ac:dyDescent="0.25">
      <c r="A10" s="1" t="s">
        <v>19</v>
      </c>
      <c r="B10" s="1" t="s">
        <v>13</v>
      </c>
      <c r="C10" s="1" t="s">
        <v>22</v>
      </c>
      <c r="D10" s="1" t="s">
        <v>11</v>
      </c>
      <c r="E10" s="1" t="s">
        <v>12</v>
      </c>
      <c r="F10" s="1">
        <v>81</v>
      </c>
      <c r="G10" s="1">
        <v>85</v>
      </c>
      <c r="H10" s="1">
        <v>81</v>
      </c>
      <c r="I10" s="1">
        <v>81</v>
      </c>
      <c r="J10" s="1">
        <v>35</v>
      </c>
      <c r="K10">
        <f t="shared" si="0"/>
        <v>0.03</v>
      </c>
      <c r="L10">
        <f t="shared" si="1"/>
        <v>1.4E-2</v>
      </c>
      <c r="M10">
        <f t="shared" si="2"/>
        <v>1.6E-2</v>
      </c>
      <c r="N10" s="5"/>
      <c r="R10" s="5"/>
    </row>
    <row r="11" spans="1:20" ht="13.2" x14ac:dyDescent="0.25">
      <c r="A11" s="1" t="s">
        <v>19</v>
      </c>
      <c r="B11" s="1" t="s">
        <v>21</v>
      </c>
      <c r="C11" s="1" t="s">
        <v>14</v>
      </c>
      <c r="D11" s="1" t="s">
        <v>23</v>
      </c>
      <c r="E11" s="1" t="s">
        <v>17</v>
      </c>
      <c r="F11" s="1">
        <v>95</v>
      </c>
      <c r="G11" s="1">
        <v>92</v>
      </c>
      <c r="H11" s="1">
        <v>92</v>
      </c>
      <c r="I11" s="1">
        <v>95</v>
      </c>
      <c r="J11" s="1">
        <v>36</v>
      </c>
      <c r="K11">
        <f t="shared" si="0"/>
        <v>3.4000000000000002E-2</v>
      </c>
      <c r="L11">
        <f t="shared" si="1"/>
        <v>1.4E-2</v>
      </c>
      <c r="M11">
        <f t="shared" si="2"/>
        <v>2.0000000000000004E-2</v>
      </c>
      <c r="R11" s="2"/>
    </row>
    <row r="12" spans="1:20" ht="13.2" x14ac:dyDescent="0.25">
      <c r="A12" s="1" t="s">
        <v>19</v>
      </c>
      <c r="B12" s="1" t="s">
        <v>9</v>
      </c>
      <c r="C12" s="1" t="s">
        <v>14</v>
      </c>
      <c r="D12" s="1" t="s">
        <v>11</v>
      </c>
      <c r="E12" s="1" t="s">
        <v>12</v>
      </c>
      <c r="F12" s="1">
        <v>73</v>
      </c>
      <c r="G12" s="1">
        <v>58</v>
      </c>
      <c r="H12" s="1">
        <v>61</v>
      </c>
      <c r="I12" s="1">
        <v>73</v>
      </c>
      <c r="J12" s="1">
        <v>37</v>
      </c>
      <c r="K12">
        <f t="shared" si="0"/>
        <v>3.7999999999999999E-2</v>
      </c>
      <c r="L12">
        <f t="shared" si="1"/>
        <v>0.02</v>
      </c>
      <c r="M12">
        <f t="shared" si="2"/>
        <v>1.7999999999999999E-2</v>
      </c>
    </row>
    <row r="13" spans="1:20" ht="13.2" x14ac:dyDescent="0.25">
      <c r="A13" s="1" t="s">
        <v>8</v>
      </c>
      <c r="B13" s="1" t="s">
        <v>13</v>
      </c>
      <c r="C13" s="1" t="s">
        <v>20</v>
      </c>
      <c r="D13" s="1" t="s">
        <v>23</v>
      </c>
      <c r="E13" s="1" t="s">
        <v>12</v>
      </c>
      <c r="F13" s="1">
        <v>45</v>
      </c>
      <c r="G13" s="1">
        <v>62</v>
      </c>
      <c r="H13" s="1">
        <v>55</v>
      </c>
      <c r="I13" s="1">
        <v>45</v>
      </c>
      <c r="J13" s="1">
        <v>38</v>
      </c>
      <c r="K13">
        <f t="shared" si="0"/>
        <v>4.2000000000000003E-2</v>
      </c>
      <c r="L13">
        <f t="shared" si="1"/>
        <v>2.1999999999999999E-2</v>
      </c>
      <c r="M13">
        <f t="shared" si="2"/>
        <v>2.0000000000000004E-2</v>
      </c>
    </row>
    <row r="14" spans="1:20" ht="13.2" x14ac:dyDescent="0.25">
      <c r="A14" s="1" t="s">
        <v>19</v>
      </c>
      <c r="B14" s="1" t="s">
        <v>13</v>
      </c>
      <c r="C14" s="1" t="s">
        <v>16</v>
      </c>
      <c r="D14" s="1" t="s">
        <v>23</v>
      </c>
      <c r="E14" s="1" t="s">
        <v>17</v>
      </c>
      <c r="F14" s="1">
        <v>94</v>
      </c>
      <c r="G14" s="1">
        <v>87</v>
      </c>
      <c r="H14" s="1">
        <v>90</v>
      </c>
      <c r="I14" s="1">
        <v>94</v>
      </c>
      <c r="J14" s="1">
        <v>39</v>
      </c>
      <c r="K14">
        <f t="shared" si="0"/>
        <v>5.3999999999999999E-2</v>
      </c>
      <c r="L14">
        <f t="shared" si="1"/>
        <v>2.5999999999999999E-2</v>
      </c>
      <c r="M14">
        <f t="shared" si="2"/>
        <v>2.8000000000000001E-2</v>
      </c>
    </row>
    <row r="15" spans="1:20" ht="13.2" x14ac:dyDescent="0.25">
      <c r="A15" s="1" t="s">
        <v>8</v>
      </c>
      <c r="B15" s="1" t="s">
        <v>21</v>
      </c>
      <c r="C15" s="1" t="s">
        <v>10</v>
      </c>
      <c r="D15" s="1" t="s">
        <v>23</v>
      </c>
      <c r="E15" s="1" t="s">
        <v>17</v>
      </c>
      <c r="F15" s="1">
        <v>72</v>
      </c>
      <c r="G15" s="1">
        <v>77</v>
      </c>
      <c r="H15" s="1">
        <v>75</v>
      </c>
      <c r="I15" s="1">
        <v>72</v>
      </c>
      <c r="J15" s="1">
        <v>40</v>
      </c>
      <c r="K15">
        <f t="shared" si="0"/>
        <v>0.06</v>
      </c>
      <c r="L15">
        <f t="shared" si="1"/>
        <v>2.8000000000000001E-2</v>
      </c>
      <c r="M15">
        <f t="shared" si="2"/>
        <v>3.2000000000000001E-2</v>
      </c>
    </row>
    <row r="16" spans="1:20" ht="13.2" x14ac:dyDescent="0.25">
      <c r="A16" s="1" t="s">
        <v>8</v>
      </c>
      <c r="B16" s="1" t="s">
        <v>13</v>
      </c>
      <c r="C16" s="1" t="s">
        <v>14</v>
      </c>
      <c r="D16" s="1" t="s">
        <v>11</v>
      </c>
      <c r="E16" s="1" t="s">
        <v>12</v>
      </c>
      <c r="F16" s="1">
        <v>52</v>
      </c>
      <c r="G16" s="1">
        <v>54</v>
      </c>
      <c r="H16" s="1">
        <v>54</v>
      </c>
      <c r="I16" s="1">
        <v>52</v>
      </c>
      <c r="J16" s="1">
        <v>41</v>
      </c>
      <c r="K16">
        <f t="shared" si="0"/>
        <v>6.8000000000000005E-2</v>
      </c>
      <c r="L16">
        <f t="shared" si="1"/>
        <v>0.03</v>
      </c>
      <c r="M16">
        <f t="shared" si="2"/>
        <v>3.8000000000000006E-2</v>
      </c>
    </row>
    <row r="17" spans="1:13" ht="13.2" x14ac:dyDescent="0.25">
      <c r="A17" s="1" t="s">
        <v>19</v>
      </c>
      <c r="B17" s="1" t="s">
        <v>21</v>
      </c>
      <c r="C17" s="1" t="s">
        <v>20</v>
      </c>
      <c r="D17" s="1" t="s">
        <v>23</v>
      </c>
      <c r="E17" s="1" t="s">
        <v>17</v>
      </c>
      <c r="F17" s="1">
        <v>98</v>
      </c>
      <c r="G17" s="1">
        <v>92</v>
      </c>
      <c r="H17" s="1">
        <v>96</v>
      </c>
      <c r="I17" s="1">
        <v>98</v>
      </c>
      <c r="J17" s="1">
        <v>42</v>
      </c>
      <c r="K17">
        <f t="shared" si="0"/>
        <v>7.5999999999999998E-2</v>
      </c>
      <c r="L17">
        <f t="shared" si="1"/>
        <v>3.4000000000000002E-2</v>
      </c>
      <c r="M17">
        <f t="shared" si="2"/>
        <v>4.1999999999999996E-2</v>
      </c>
    </row>
    <row r="18" spans="1:13" ht="13.2" x14ac:dyDescent="0.25">
      <c r="A18" s="1" t="s">
        <v>19</v>
      </c>
      <c r="B18" s="1" t="s">
        <v>13</v>
      </c>
      <c r="C18" s="1" t="s">
        <v>10</v>
      </c>
      <c r="D18" s="1" t="s">
        <v>11</v>
      </c>
      <c r="E18" s="1" t="s">
        <v>12</v>
      </c>
      <c r="F18" s="1">
        <v>66</v>
      </c>
      <c r="G18" s="1">
        <v>56</v>
      </c>
      <c r="H18" s="1">
        <v>53</v>
      </c>
      <c r="I18" s="1">
        <v>66</v>
      </c>
      <c r="J18" s="1">
        <v>43</v>
      </c>
      <c r="K18">
        <f t="shared" si="0"/>
        <v>8.5999999999999993E-2</v>
      </c>
      <c r="L18">
        <f t="shared" si="1"/>
        <v>4.2000000000000003E-2</v>
      </c>
      <c r="M18">
        <f t="shared" si="2"/>
        <v>4.3999999999999991E-2</v>
      </c>
    </row>
    <row r="19" spans="1:13" ht="13.2" x14ac:dyDescent="0.25">
      <c r="A19" s="1" t="s">
        <v>8</v>
      </c>
      <c r="B19" s="1" t="s">
        <v>9</v>
      </c>
      <c r="C19" s="1" t="s">
        <v>14</v>
      </c>
      <c r="D19" s="1" t="s">
        <v>11</v>
      </c>
      <c r="E19" s="1" t="s">
        <v>17</v>
      </c>
      <c r="F19" s="1">
        <v>46</v>
      </c>
      <c r="G19" s="1">
        <v>53</v>
      </c>
      <c r="H19" s="1">
        <v>56</v>
      </c>
      <c r="I19" s="1">
        <v>46</v>
      </c>
      <c r="J19" s="1">
        <v>44</v>
      </c>
      <c r="K19">
        <f t="shared" si="0"/>
        <v>0.1</v>
      </c>
      <c r="L19">
        <f t="shared" si="1"/>
        <v>4.3999999999999997E-2</v>
      </c>
      <c r="M19">
        <f t="shared" si="2"/>
        <v>5.6000000000000008E-2</v>
      </c>
    </row>
    <row r="20" spans="1:13" ht="13.2" x14ac:dyDescent="0.25">
      <c r="A20" s="1" t="s">
        <v>19</v>
      </c>
      <c r="B20" s="1" t="s">
        <v>18</v>
      </c>
      <c r="C20" s="1" t="s">
        <v>16</v>
      </c>
      <c r="D20" s="1" t="s">
        <v>11</v>
      </c>
      <c r="E20" s="1" t="s">
        <v>12</v>
      </c>
      <c r="F20" s="1">
        <v>77</v>
      </c>
      <c r="G20" s="1">
        <v>73</v>
      </c>
      <c r="H20" s="1">
        <v>68</v>
      </c>
      <c r="I20" s="1">
        <v>77</v>
      </c>
      <c r="J20" s="1">
        <v>45</v>
      </c>
      <c r="K20">
        <f t="shared" si="0"/>
        <v>0.12</v>
      </c>
      <c r="L20">
        <f t="shared" si="1"/>
        <v>5.1999999999999998E-2</v>
      </c>
      <c r="M20">
        <f t="shared" si="2"/>
        <v>6.8000000000000005E-2</v>
      </c>
    </row>
    <row r="21" spans="1:13" ht="13.2" x14ac:dyDescent="0.25">
      <c r="A21" s="1" t="s">
        <v>19</v>
      </c>
      <c r="B21" s="1" t="s">
        <v>21</v>
      </c>
      <c r="C21" s="1" t="s">
        <v>10</v>
      </c>
      <c r="D21" s="1" t="s">
        <v>11</v>
      </c>
      <c r="E21" s="1" t="s">
        <v>12</v>
      </c>
      <c r="F21" s="1">
        <v>79</v>
      </c>
      <c r="G21" s="1">
        <v>64</v>
      </c>
      <c r="H21" s="1">
        <v>60</v>
      </c>
      <c r="I21" s="1">
        <v>79</v>
      </c>
      <c r="J21" s="1">
        <v>46</v>
      </c>
      <c r="K21">
        <f t="shared" si="0"/>
        <v>0.13400000000000001</v>
      </c>
      <c r="L21">
        <f t="shared" si="1"/>
        <v>5.1999999999999998E-2</v>
      </c>
      <c r="M21">
        <f t="shared" si="2"/>
        <v>8.2000000000000017E-2</v>
      </c>
    </row>
    <row r="22" spans="1:13" ht="13.2" x14ac:dyDescent="0.25">
      <c r="A22" s="1" t="s">
        <v>19</v>
      </c>
      <c r="B22" s="1" t="s">
        <v>21</v>
      </c>
      <c r="C22" s="1" t="s">
        <v>16</v>
      </c>
      <c r="D22" s="1" t="s">
        <v>23</v>
      </c>
      <c r="E22" s="1" t="s">
        <v>12</v>
      </c>
      <c r="F22" s="1">
        <v>66</v>
      </c>
      <c r="G22" s="1">
        <v>58</v>
      </c>
      <c r="H22" s="1">
        <v>60</v>
      </c>
      <c r="I22" s="1">
        <v>66</v>
      </c>
      <c r="J22" s="1">
        <v>47</v>
      </c>
      <c r="K22">
        <f t="shared" si="0"/>
        <v>0.15</v>
      </c>
      <c r="L22">
        <f t="shared" si="1"/>
        <v>5.8000000000000003E-2</v>
      </c>
      <c r="M22">
        <f t="shared" si="2"/>
        <v>9.1999999999999998E-2</v>
      </c>
    </row>
    <row r="23" spans="1:13" ht="13.2" x14ac:dyDescent="0.25">
      <c r="A23" s="1" t="s">
        <v>8</v>
      </c>
      <c r="B23" s="1" t="s">
        <v>13</v>
      </c>
      <c r="C23" s="1" t="s">
        <v>10</v>
      </c>
      <c r="D23" s="1" t="s">
        <v>11</v>
      </c>
      <c r="E23" s="1" t="s">
        <v>12</v>
      </c>
      <c r="F23" s="1">
        <v>82</v>
      </c>
      <c r="G23" s="1">
        <v>88</v>
      </c>
      <c r="H23" s="1">
        <v>81</v>
      </c>
      <c r="I23" s="1">
        <v>82</v>
      </c>
      <c r="J23" s="1">
        <v>48</v>
      </c>
      <c r="K23">
        <f t="shared" si="0"/>
        <v>0.16200000000000001</v>
      </c>
      <c r="L23">
        <f t="shared" si="1"/>
        <v>7.3999999999999996E-2</v>
      </c>
      <c r="M23">
        <f t="shared" si="2"/>
        <v>8.8000000000000009E-2</v>
      </c>
    </row>
    <row r="24" spans="1:13" ht="13.2" x14ac:dyDescent="0.25">
      <c r="A24" s="1" t="s">
        <v>8</v>
      </c>
      <c r="B24" s="1" t="s">
        <v>18</v>
      </c>
      <c r="C24" s="1" t="s">
        <v>10</v>
      </c>
      <c r="D24" s="1" t="s">
        <v>11</v>
      </c>
      <c r="E24" s="1" t="s">
        <v>12</v>
      </c>
      <c r="F24" s="1">
        <v>53</v>
      </c>
      <c r="G24" s="1">
        <v>56</v>
      </c>
      <c r="H24" s="1">
        <v>56</v>
      </c>
      <c r="I24" s="1">
        <v>53</v>
      </c>
      <c r="J24" s="1">
        <v>49</v>
      </c>
      <c r="K24">
        <f t="shared" si="0"/>
        <v>0.17399999999999999</v>
      </c>
      <c r="L24">
        <f t="shared" si="1"/>
        <v>9.6000000000000002E-2</v>
      </c>
      <c r="M24">
        <f t="shared" si="2"/>
        <v>7.7999999999999986E-2</v>
      </c>
    </row>
    <row r="25" spans="1:13" ht="13.2" x14ac:dyDescent="0.25">
      <c r="A25" s="1" t="s">
        <v>8</v>
      </c>
      <c r="B25" s="1" t="s">
        <v>18</v>
      </c>
      <c r="C25" s="1" t="s">
        <v>16</v>
      </c>
      <c r="D25" s="1" t="s">
        <v>23</v>
      </c>
      <c r="E25" s="1" t="s">
        <v>12</v>
      </c>
      <c r="F25" s="1">
        <v>74</v>
      </c>
      <c r="G25" s="1">
        <v>82</v>
      </c>
      <c r="H25" s="1">
        <v>83</v>
      </c>
      <c r="I25" s="1">
        <v>74</v>
      </c>
      <c r="J25" s="1">
        <v>50</v>
      </c>
      <c r="K25">
        <f t="shared" si="0"/>
        <v>0.188</v>
      </c>
      <c r="L25">
        <f t="shared" si="1"/>
        <v>0.114</v>
      </c>
      <c r="M25">
        <f t="shared" si="2"/>
        <v>7.3999999999999996E-2</v>
      </c>
    </row>
    <row r="26" spans="1:13" ht="13.2" x14ac:dyDescent="0.25">
      <c r="A26" s="1" t="s">
        <v>8</v>
      </c>
      <c r="B26" s="1" t="s">
        <v>18</v>
      </c>
      <c r="C26" s="1" t="s">
        <v>20</v>
      </c>
      <c r="D26" s="1" t="s">
        <v>23</v>
      </c>
      <c r="E26" s="1" t="s">
        <v>17</v>
      </c>
      <c r="F26" s="1">
        <v>83</v>
      </c>
      <c r="G26" s="1">
        <v>97</v>
      </c>
      <c r="H26" s="1">
        <v>97</v>
      </c>
      <c r="I26" s="1">
        <v>83</v>
      </c>
      <c r="J26" s="1">
        <v>51</v>
      </c>
      <c r="K26">
        <f t="shared" si="0"/>
        <v>0.19800000000000001</v>
      </c>
      <c r="L26">
        <f t="shared" si="1"/>
        <v>0.13200000000000001</v>
      </c>
      <c r="M26">
        <f t="shared" si="2"/>
        <v>6.6000000000000003E-2</v>
      </c>
    </row>
    <row r="27" spans="1:13" ht="13.2" x14ac:dyDescent="0.25">
      <c r="A27" s="1" t="s">
        <v>8</v>
      </c>
      <c r="B27" s="1" t="s">
        <v>18</v>
      </c>
      <c r="C27" s="1" t="s">
        <v>22</v>
      </c>
      <c r="D27" s="1" t="s">
        <v>23</v>
      </c>
      <c r="E27" s="1" t="s">
        <v>17</v>
      </c>
      <c r="F27" s="1">
        <v>35</v>
      </c>
      <c r="G27" s="1">
        <v>49</v>
      </c>
      <c r="H27" s="1">
        <v>48</v>
      </c>
      <c r="I27" s="1">
        <v>35</v>
      </c>
      <c r="J27" s="1">
        <v>52</v>
      </c>
      <c r="K27">
        <f t="shared" si="0"/>
        <v>0.21199999999999999</v>
      </c>
      <c r="L27">
        <f t="shared" si="1"/>
        <v>0.14399999999999999</v>
      </c>
      <c r="M27">
        <f t="shared" si="2"/>
        <v>6.8000000000000005E-2</v>
      </c>
    </row>
    <row r="28" spans="1:13" ht="13.2" x14ac:dyDescent="0.25">
      <c r="A28" s="1" t="s">
        <v>19</v>
      </c>
      <c r="B28" s="1" t="s">
        <v>21</v>
      </c>
      <c r="C28" s="1" t="s">
        <v>14</v>
      </c>
      <c r="D28" s="1" t="s">
        <v>23</v>
      </c>
      <c r="E28" s="1" t="s">
        <v>12</v>
      </c>
      <c r="F28" s="1">
        <v>49</v>
      </c>
      <c r="G28" s="1">
        <v>55</v>
      </c>
      <c r="H28" s="1">
        <v>49</v>
      </c>
      <c r="I28" s="1">
        <v>49</v>
      </c>
      <c r="J28" s="1">
        <v>53</v>
      </c>
      <c r="K28">
        <f t="shared" si="0"/>
        <v>0.22800000000000001</v>
      </c>
      <c r="L28">
        <f t="shared" si="1"/>
        <v>0.16800000000000001</v>
      </c>
      <c r="M28">
        <f t="shared" si="2"/>
        <v>0.06</v>
      </c>
    </row>
    <row r="29" spans="1:13" ht="13.2" x14ac:dyDescent="0.25">
      <c r="A29" s="1" t="s">
        <v>8</v>
      </c>
      <c r="B29" s="1" t="s">
        <v>13</v>
      </c>
      <c r="C29" s="1" t="s">
        <v>14</v>
      </c>
      <c r="D29" s="1" t="s">
        <v>11</v>
      </c>
      <c r="E29" s="1" t="s">
        <v>17</v>
      </c>
      <c r="F29" s="1">
        <v>50</v>
      </c>
      <c r="G29" s="1">
        <v>56</v>
      </c>
      <c r="H29" s="1">
        <v>63</v>
      </c>
      <c r="I29" s="1">
        <v>50</v>
      </c>
      <c r="J29" s="1">
        <v>54</v>
      </c>
      <c r="K29">
        <f t="shared" si="0"/>
        <v>0.248</v>
      </c>
      <c r="L29">
        <f t="shared" si="1"/>
        <v>0.184</v>
      </c>
      <c r="M29">
        <f t="shared" si="2"/>
        <v>6.4000000000000001E-2</v>
      </c>
    </row>
    <row r="30" spans="1:13" ht="13.2" x14ac:dyDescent="0.25">
      <c r="A30" s="1" t="s">
        <v>8</v>
      </c>
      <c r="B30" s="1" t="s">
        <v>18</v>
      </c>
      <c r="C30" s="1" t="s">
        <v>16</v>
      </c>
      <c r="D30" s="1" t="s">
        <v>11</v>
      </c>
      <c r="E30" s="1" t="s">
        <v>12</v>
      </c>
      <c r="F30" s="1">
        <v>45</v>
      </c>
      <c r="G30" s="1">
        <v>54</v>
      </c>
      <c r="H30" s="1">
        <v>56</v>
      </c>
      <c r="I30" s="1">
        <v>45</v>
      </c>
      <c r="J30" s="1">
        <v>55</v>
      </c>
      <c r="K30">
        <f t="shared" si="0"/>
        <v>0.27400000000000002</v>
      </c>
      <c r="L30">
        <f t="shared" si="1"/>
        <v>0.21</v>
      </c>
      <c r="M30">
        <f t="shared" si="2"/>
        <v>6.4000000000000029E-2</v>
      </c>
    </row>
    <row r="31" spans="1:13" ht="13.2" x14ac:dyDescent="0.25">
      <c r="A31" s="1" t="s">
        <v>19</v>
      </c>
      <c r="B31" s="1" t="s">
        <v>9</v>
      </c>
      <c r="C31" s="1" t="s">
        <v>16</v>
      </c>
      <c r="D31" s="1" t="s">
        <v>11</v>
      </c>
      <c r="E31" s="1" t="s">
        <v>17</v>
      </c>
      <c r="F31" s="1">
        <v>81</v>
      </c>
      <c r="G31" s="1">
        <v>74</v>
      </c>
      <c r="H31" s="1">
        <v>72</v>
      </c>
      <c r="I31" s="1">
        <v>81</v>
      </c>
      <c r="J31" s="1">
        <v>56</v>
      </c>
      <c r="K31">
        <f t="shared" si="0"/>
        <v>0.29199999999999998</v>
      </c>
      <c r="L31">
        <f t="shared" si="1"/>
        <v>0.23</v>
      </c>
      <c r="M31">
        <f t="shared" si="2"/>
        <v>6.1999999999999972E-2</v>
      </c>
    </row>
    <row r="32" spans="1:13" ht="13.2" x14ac:dyDescent="0.25">
      <c r="A32" s="1" t="s">
        <v>19</v>
      </c>
      <c r="B32" s="1" t="s">
        <v>9</v>
      </c>
      <c r="C32" s="1" t="s">
        <v>16</v>
      </c>
      <c r="D32" s="1" t="s">
        <v>23</v>
      </c>
      <c r="E32" s="1" t="s">
        <v>12</v>
      </c>
      <c r="F32" s="1">
        <v>27</v>
      </c>
      <c r="G32" s="1">
        <v>37</v>
      </c>
      <c r="H32" s="1">
        <v>30</v>
      </c>
      <c r="I32" s="1">
        <v>27</v>
      </c>
      <c r="J32" s="1">
        <v>57</v>
      </c>
      <c r="K32">
        <f t="shared" si="0"/>
        <v>0.32</v>
      </c>
      <c r="L32">
        <f t="shared" si="1"/>
        <v>0.252</v>
      </c>
      <c r="M32">
        <f t="shared" si="2"/>
        <v>6.8000000000000005E-2</v>
      </c>
    </row>
    <row r="33" spans="1:13" ht="13.2" x14ac:dyDescent="0.25">
      <c r="A33" s="1" t="s">
        <v>8</v>
      </c>
      <c r="B33" s="1" t="s">
        <v>15</v>
      </c>
      <c r="C33" s="1" t="s">
        <v>22</v>
      </c>
      <c r="D33" s="1" t="s">
        <v>11</v>
      </c>
      <c r="E33" s="1" t="s">
        <v>12</v>
      </c>
      <c r="F33" s="1">
        <v>46</v>
      </c>
      <c r="G33" s="1">
        <v>57</v>
      </c>
      <c r="H33" s="1">
        <v>50</v>
      </c>
      <c r="I33" s="1">
        <v>46</v>
      </c>
      <c r="J33" s="1">
        <v>58</v>
      </c>
      <c r="K33">
        <f t="shared" si="0"/>
        <v>0.34</v>
      </c>
      <c r="L33">
        <f t="shared" si="1"/>
        <v>0.26600000000000001</v>
      </c>
      <c r="M33">
        <f t="shared" si="2"/>
        <v>7.400000000000001E-2</v>
      </c>
    </row>
    <row r="34" spans="1:13" ht="13.2" x14ac:dyDescent="0.25">
      <c r="A34" s="1" t="s">
        <v>8</v>
      </c>
      <c r="B34" s="1" t="s">
        <v>18</v>
      </c>
      <c r="C34" s="1" t="s">
        <v>16</v>
      </c>
      <c r="D34" s="1" t="s">
        <v>11</v>
      </c>
      <c r="E34" s="1" t="s">
        <v>12</v>
      </c>
      <c r="F34" s="1">
        <v>65</v>
      </c>
      <c r="G34" s="1">
        <v>68</v>
      </c>
      <c r="H34" s="1">
        <v>74</v>
      </c>
      <c r="I34" s="1">
        <v>65</v>
      </c>
      <c r="J34" s="1">
        <v>59</v>
      </c>
      <c r="K34">
        <f t="shared" si="0"/>
        <v>0.36</v>
      </c>
      <c r="L34">
        <f t="shared" si="1"/>
        <v>0.29399999999999998</v>
      </c>
      <c r="M34">
        <f t="shared" si="2"/>
        <v>6.6000000000000003E-2</v>
      </c>
    </row>
    <row r="35" spans="1:13" ht="13.2" x14ac:dyDescent="0.25">
      <c r="A35" s="1" t="s">
        <v>19</v>
      </c>
      <c r="B35" s="1" t="s">
        <v>9</v>
      </c>
      <c r="C35" s="1" t="s">
        <v>16</v>
      </c>
      <c r="D35" s="1" t="s">
        <v>11</v>
      </c>
      <c r="E35" s="1" t="s">
        <v>17</v>
      </c>
      <c r="F35" s="1">
        <v>63</v>
      </c>
      <c r="G35" s="1">
        <v>66</v>
      </c>
      <c r="H35" s="1">
        <v>58</v>
      </c>
      <c r="I35" s="1">
        <v>63</v>
      </c>
      <c r="J35" s="1">
        <v>60</v>
      </c>
      <c r="K35">
        <f t="shared" si="0"/>
        <v>0.40200000000000002</v>
      </c>
      <c r="L35">
        <f t="shared" si="1"/>
        <v>0.31</v>
      </c>
      <c r="M35">
        <f t="shared" si="2"/>
        <v>9.2000000000000026E-2</v>
      </c>
    </row>
    <row r="36" spans="1:13" ht="13.2" x14ac:dyDescent="0.25">
      <c r="A36" s="1" t="s">
        <v>8</v>
      </c>
      <c r="B36" s="1" t="s">
        <v>18</v>
      </c>
      <c r="C36" s="1" t="s">
        <v>14</v>
      </c>
      <c r="D36" s="1" t="s">
        <v>11</v>
      </c>
      <c r="E36" s="1" t="s">
        <v>17</v>
      </c>
      <c r="F36" s="1">
        <v>70</v>
      </c>
      <c r="G36" s="1">
        <v>87</v>
      </c>
      <c r="H36" s="1">
        <v>88</v>
      </c>
      <c r="I36" s="1">
        <v>70</v>
      </c>
      <c r="J36" s="1">
        <v>61</v>
      </c>
      <c r="K36">
        <f t="shared" si="0"/>
        <v>0.42799999999999999</v>
      </c>
      <c r="L36">
        <f t="shared" si="1"/>
        <v>0.32200000000000001</v>
      </c>
      <c r="M36">
        <f t="shared" si="2"/>
        <v>0.10599999999999998</v>
      </c>
    </row>
    <row r="37" spans="1:13" ht="13.2" x14ac:dyDescent="0.25">
      <c r="A37" s="1" t="s">
        <v>8</v>
      </c>
      <c r="B37" s="1" t="s">
        <v>13</v>
      </c>
      <c r="C37" s="1" t="s">
        <v>14</v>
      </c>
      <c r="D37" s="1" t="s">
        <v>23</v>
      </c>
      <c r="E37" s="1" t="s">
        <v>12</v>
      </c>
      <c r="F37" s="1">
        <v>72</v>
      </c>
      <c r="G37" s="1">
        <v>91</v>
      </c>
      <c r="H37" s="1">
        <v>89</v>
      </c>
      <c r="I37" s="1">
        <v>72</v>
      </c>
      <c r="J37" s="1">
        <v>62</v>
      </c>
      <c r="K37">
        <f t="shared" si="0"/>
        <v>0.44600000000000001</v>
      </c>
      <c r="L37">
        <f t="shared" si="1"/>
        <v>0.35599999999999998</v>
      </c>
      <c r="M37">
        <f t="shared" si="2"/>
        <v>9.0000000000000024E-2</v>
      </c>
    </row>
    <row r="38" spans="1:13" ht="13.2" x14ac:dyDescent="0.25">
      <c r="A38" s="1" t="s">
        <v>8</v>
      </c>
      <c r="B38" s="1" t="s">
        <v>13</v>
      </c>
      <c r="C38" s="1" t="s">
        <v>16</v>
      </c>
      <c r="D38" s="1" t="s">
        <v>11</v>
      </c>
      <c r="E38" s="1" t="s">
        <v>12</v>
      </c>
      <c r="F38" s="1">
        <v>57</v>
      </c>
      <c r="G38" s="1">
        <v>68</v>
      </c>
      <c r="H38" s="1">
        <v>71</v>
      </c>
      <c r="I38" s="1">
        <v>57</v>
      </c>
      <c r="J38" s="1">
        <v>63</v>
      </c>
      <c r="K38">
        <f t="shared" si="0"/>
        <v>0.46600000000000003</v>
      </c>
      <c r="L38">
        <f t="shared" si="1"/>
        <v>0.372</v>
      </c>
      <c r="M38">
        <f t="shared" si="2"/>
        <v>9.4000000000000028E-2</v>
      </c>
    </row>
    <row r="39" spans="1:13" ht="13.2" x14ac:dyDescent="0.25">
      <c r="A39" s="1" t="s">
        <v>19</v>
      </c>
      <c r="B39" s="1" t="s">
        <v>21</v>
      </c>
      <c r="C39" s="1" t="s">
        <v>10</v>
      </c>
      <c r="D39" s="1" t="s">
        <v>11</v>
      </c>
      <c r="E39" s="1" t="s">
        <v>12</v>
      </c>
      <c r="F39" s="1">
        <v>93</v>
      </c>
      <c r="G39" s="1">
        <v>85</v>
      </c>
      <c r="H39" s="1">
        <v>77</v>
      </c>
      <c r="I39" s="1">
        <v>93</v>
      </c>
      <c r="J39" s="1">
        <v>64</v>
      </c>
      <c r="K39">
        <f t="shared" si="0"/>
        <v>0.47799999999999998</v>
      </c>
      <c r="L39">
        <f t="shared" si="1"/>
        <v>0.39800000000000002</v>
      </c>
      <c r="M39">
        <f t="shared" si="2"/>
        <v>7.999999999999996E-2</v>
      </c>
    </row>
    <row r="40" spans="1:13" ht="13.2" x14ac:dyDescent="0.25">
      <c r="A40" s="1" t="s">
        <v>19</v>
      </c>
      <c r="B40" s="1" t="s">
        <v>18</v>
      </c>
      <c r="C40" s="1" t="s">
        <v>16</v>
      </c>
      <c r="D40" s="1" t="s">
        <v>11</v>
      </c>
      <c r="E40" s="1" t="s">
        <v>17</v>
      </c>
      <c r="F40" s="1">
        <v>84</v>
      </c>
      <c r="G40" s="1">
        <v>73</v>
      </c>
      <c r="H40" s="1">
        <v>77</v>
      </c>
      <c r="I40" s="1">
        <v>84</v>
      </c>
      <c r="J40" s="1">
        <v>65</v>
      </c>
      <c r="K40">
        <f t="shared" si="0"/>
        <v>0.504</v>
      </c>
      <c r="L40">
        <f t="shared" si="1"/>
        <v>0.438</v>
      </c>
      <c r="M40">
        <f t="shared" si="2"/>
        <v>6.6000000000000003E-2</v>
      </c>
    </row>
    <row r="41" spans="1:13" ht="13.2" x14ac:dyDescent="0.25">
      <c r="A41" s="1" t="s">
        <v>8</v>
      </c>
      <c r="B41" s="1" t="s">
        <v>13</v>
      </c>
      <c r="C41" s="1" t="s">
        <v>10</v>
      </c>
      <c r="D41" s="1" t="s">
        <v>11</v>
      </c>
      <c r="E41" s="1" t="s">
        <v>12</v>
      </c>
      <c r="F41" s="1">
        <v>72</v>
      </c>
      <c r="G41" s="1">
        <v>86</v>
      </c>
      <c r="H41" s="1">
        <v>82</v>
      </c>
      <c r="I41" s="1">
        <v>72</v>
      </c>
      <c r="J41" s="1">
        <v>66</v>
      </c>
      <c r="K41">
        <f t="shared" si="0"/>
        <v>0.52400000000000002</v>
      </c>
      <c r="L41">
        <f t="shared" si="1"/>
        <v>0.46200000000000002</v>
      </c>
      <c r="M41">
        <f t="shared" si="2"/>
        <v>6.2E-2</v>
      </c>
    </row>
    <row r="42" spans="1:13" ht="13.2" x14ac:dyDescent="0.25">
      <c r="A42" s="1" t="s">
        <v>19</v>
      </c>
      <c r="B42" s="1" t="s">
        <v>13</v>
      </c>
      <c r="C42" s="1" t="s">
        <v>14</v>
      </c>
      <c r="D42" s="1" t="s">
        <v>11</v>
      </c>
      <c r="E42" s="1" t="s">
        <v>12</v>
      </c>
      <c r="F42" s="1">
        <v>67</v>
      </c>
      <c r="G42" s="1">
        <v>59</v>
      </c>
      <c r="H42" s="1">
        <v>59</v>
      </c>
      <c r="I42" s="1">
        <v>67</v>
      </c>
      <c r="J42" s="1">
        <v>67</v>
      </c>
      <c r="K42">
        <f t="shared" si="0"/>
        <v>0.55800000000000005</v>
      </c>
      <c r="L42">
        <f t="shared" si="1"/>
        <v>0.48</v>
      </c>
      <c r="M42">
        <f t="shared" si="2"/>
        <v>7.8000000000000069E-2</v>
      </c>
    </row>
    <row r="43" spans="1:13" ht="13.2" x14ac:dyDescent="0.25">
      <c r="A43" s="1" t="s">
        <v>19</v>
      </c>
      <c r="B43" s="1" t="s">
        <v>13</v>
      </c>
      <c r="C43" s="1" t="s">
        <v>24</v>
      </c>
      <c r="D43" s="1" t="s">
        <v>11</v>
      </c>
      <c r="E43" s="1" t="s">
        <v>12</v>
      </c>
      <c r="F43" s="1">
        <v>62</v>
      </c>
      <c r="G43" s="1">
        <v>57</v>
      </c>
      <c r="H43" s="1">
        <v>52</v>
      </c>
      <c r="I43" s="1">
        <v>62</v>
      </c>
      <c r="J43" s="1">
        <v>68</v>
      </c>
      <c r="K43">
        <f t="shared" si="0"/>
        <v>0.57399999999999995</v>
      </c>
      <c r="L43">
        <f t="shared" si="1"/>
        <v>0.51600000000000001</v>
      </c>
      <c r="M43">
        <f t="shared" si="2"/>
        <v>5.799999999999994E-2</v>
      </c>
    </row>
    <row r="44" spans="1:13" ht="13.2" x14ac:dyDescent="0.25">
      <c r="A44" s="1" t="s">
        <v>8</v>
      </c>
      <c r="B44" s="1" t="s">
        <v>13</v>
      </c>
      <c r="C44" s="1" t="s">
        <v>16</v>
      </c>
      <c r="D44" s="1" t="s">
        <v>11</v>
      </c>
      <c r="E44" s="1" t="s">
        <v>12</v>
      </c>
      <c r="F44" s="1">
        <v>60</v>
      </c>
      <c r="G44" s="1">
        <v>59</v>
      </c>
      <c r="H44" s="1">
        <v>71</v>
      </c>
      <c r="I44" s="1">
        <v>60</v>
      </c>
      <c r="J44" s="1">
        <v>69</v>
      </c>
      <c r="K44">
        <f t="shared" si="0"/>
        <v>0.59</v>
      </c>
      <c r="L44">
        <f t="shared" si="1"/>
        <v>0.54600000000000004</v>
      </c>
      <c r="M44">
        <f t="shared" si="2"/>
        <v>4.3999999999999928E-2</v>
      </c>
    </row>
    <row r="45" spans="1:13" ht="13.2" x14ac:dyDescent="0.25">
      <c r="A45" s="1" t="s">
        <v>19</v>
      </c>
      <c r="B45" s="1" t="s">
        <v>13</v>
      </c>
      <c r="C45" s="1" t="s">
        <v>10</v>
      </c>
      <c r="D45" s="1" t="s">
        <v>23</v>
      </c>
      <c r="E45" s="1" t="s">
        <v>17</v>
      </c>
      <c r="F45" s="1">
        <v>67</v>
      </c>
      <c r="G45" s="1">
        <v>75</v>
      </c>
      <c r="H45" s="1">
        <v>75</v>
      </c>
      <c r="I45" s="1">
        <v>67</v>
      </c>
      <c r="J45" s="1">
        <v>70</v>
      </c>
      <c r="K45">
        <f t="shared" si="0"/>
        <v>0.61</v>
      </c>
      <c r="L45">
        <f t="shared" si="1"/>
        <v>0.56599999999999995</v>
      </c>
      <c r="M45">
        <f t="shared" si="2"/>
        <v>4.4000000000000039E-2</v>
      </c>
    </row>
    <row r="46" spans="1:13" ht="13.2" x14ac:dyDescent="0.25">
      <c r="A46" s="1" t="s">
        <v>19</v>
      </c>
      <c r="B46" s="1" t="s">
        <v>18</v>
      </c>
      <c r="C46" s="1" t="s">
        <v>14</v>
      </c>
      <c r="D46" s="1" t="s">
        <v>23</v>
      </c>
      <c r="E46" s="1" t="s">
        <v>12</v>
      </c>
      <c r="F46" s="1">
        <v>60</v>
      </c>
      <c r="G46" s="1">
        <v>57</v>
      </c>
      <c r="H46" s="1">
        <v>50</v>
      </c>
      <c r="I46" s="1">
        <v>60</v>
      </c>
      <c r="J46" s="1">
        <v>71</v>
      </c>
      <c r="K46">
        <f t="shared" si="0"/>
        <v>0.63</v>
      </c>
      <c r="L46">
        <f t="shared" si="1"/>
        <v>0.58799999999999997</v>
      </c>
      <c r="M46">
        <f t="shared" si="2"/>
        <v>4.2000000000000037E-2</v>
      </c>
    </row>
    <row r="47" spans="1:13" ht="13.2" x14ac:dyDescent="0.25">
      <c r="A47" s="1" t="s">
        <v>8</v>
      </c>
      <c r="B47" s="1" t="s">
        <v>18</v>
      </c>
      <c r="C47" s="1" t="s">
        <v>14</v>
      </c>
      <c r="D47" s="1" t="s">
        <v>11</v>
      </c>
      <c r="E47" s="1" t="s">
        <v>17</v>
      </c>
      <c r="F47" s="1">
        <v>86</v>
      </c>
      <c r="G47" s="1">
        <v>100</v>
      </c>
      <c r="H47" s="1">
        <v>100</v>
      </c>
      <c r="I47" s="1">
        <v>86</v>
      </c>
      <c r="J47" s="1">
        <v>72</v>
      </c>
      <c r="K47">
        <f t="shared" si="0"/>
        <v>0.65400000000000003</v>
      </c>
      <c r="L47">
        <f t="shared" si="1"/>
        <v>0.61</v>
      </c>
      <c r="M47">
        <f t="shared" si="2"/>
        <v>4.4000000000000039E-2</v>
      </c>
    </row>
    <row r="48" spans="1:13" ht="13.2" x14ac:dyDescent="0.25">
      <c r="A48" s="1" t="s">
        <v>19</v>
      </c>
      <c r="B48" s="1" t="s">
        <v>18</v>
      </c>
      <c r="C48" s="1" t="s">
        <v>16</v>
      </c>
      <c r="D48" s="1" t="s">
        <v>11</v>
      </c>
      <c r="E48" s="1" t="s">
        <v>17</v>
      </c>
      <c r="F48" s="1">
        <v>66</v>
      </c>
      <c r="G48" s="1">
        <v>68</v>
      </c>
      <c r="H48" s="1">
        <v>69</v>
      </c>
      <c r="I48" s="1">
        <v>66</v>
      </c>
      <c r="J48" s="1">
        <v>73</v>
      </c>
      <c r="K48">
        <f t="shared" si="0"/>
        <v>0.67400000000000004</v>
      </c>
      <c r="L48">
        <f t="shared" si="1"/>
        <v>0.64</v>
      </c>
      <c r="M48">
        <f t="shared" si="2"/>
        <v>3.400000000000003E-2</v>
      </c>
    </row>
    <row r="49" spans="1:13" ht="13.2" x14ac:dyDescent="0.25">
      <c r="A49" s="1" t="s">
        <v>8</v>
      </c>
      <c r="B49" s="1" t="s">
        <v>21</v>
      </c>
      <c r="C49" s="1" t="s">
        <v>14</v>
      </c>
      <c r="D49" s="1" t="s">
        <v>23</v>
      </c>
      <c r="E49" s="1" t="s">
        <v>12</v>
      </c>
      <c r="F49" s="1">
        <v>68</v>
      </c>
      <c r="G49" s="1">
        <v>65</v>
      </c>
      <c r="H49" s="1">
        <v>66</v>
      </c>
      <c r="I49" s="1">
        <v>68</v>
      </c>
      <c r="J49" s="1">
        <v>74</v>
      </c>
      <c r="K49">
        <f t="shared" si="0"/>
        <v>0.7</v>
      </c>
      <c r="L49">
        <f t="shared" si="1"/>
        <v>0.65400000000000003</v>
      </c>
      <c r="M49">
        <f t="shared" si="2"/>
        <v>4.599999999999993E-2</v>
      </c>
    </row>
    <row r="50" spans="1:13" ht="13.2" x14ac:dyDescent="0.25">
      <c r="A50" s="1" t="s">
        <v>19</v>
      </c>
      <c r="B50" s="1" t="s">
        <v>21</v>
      </c>
      <c r="C50" s="1" t="s">
        <v>16</v>
      </c>
      <c r="D50" s="1" t="s">
        <v>11</v>
      </c>
      <c r="E50" s="1" t="s">
        <v>12</v>
      </c>
      <c r="F50" s="1">
        <v>94</v>
      </c>
      <c r="G50" s="1">
        <v>90</v>
      </c>
      <c r="H50" s="1">
        <v>89</v>
      </c>
      <c r="I50" s="1">
        <v>94</v>
      </c>
      <c r="J50" s="1">
        <v>75</v>
      </c>
      <c r="K50">
        <f t="shared" si="0"/>
        <v>0.72599999999999998</v>
      </c>
      <c r="L50">
        <f t="shared" si="1"/>
        <v>0.66600000000000004</v>
      </c>
      <c r="M50">
        <f t="shared" si="2"/>
        <v>5.9999999999999942E-2</v>
      </c>
    </row>
    <row r="51" spans="1:13" ht="13.2" x14ac:dyDescent="0.25">
      <c r="A51" s="1" t="s">
        <v>8</v>
      </c>
      <c r="B51" s="1" t="s">
        <v>21</v>
      </c>
      <c r="C51" s="1" t="s">
        <v>10</v>
      </c>
      <c r="D51" s="1" t="s">
        <v>23</v>
      </c>
      <c r="E51" s="1" t="s">
        <v>17</v>
      </c>
      <c r="F51" s="1">
        <v>63</v>
      </c>
      <c r="G51" s="1">
        <v>69</v>
      </c>
      <c r="H51" s="1">
        <v>68</v>
      </c>
      <c r="I51" s="1">
        <v>63</v>
      </c>
      <c r="J51" s="1">
        <v>76</v>
      </c>
      <c r="K51">
        <f t="shared" si="0"/>
        <v>0.748</v>
      </c>
      <c r="L51">
        <f t="shared" si="1"/>
        <v>0.68200000000000005</v>
      </c>
      <c r="M51">
        <f t="shared" si="2"/>
        <v>6.5999999999999948E-2</v>
      </c>
    </row>
    <row r="52" spans="1:13" ht="13.2" x14ac:dyDescent="0.25">
      <c r="A52" s="1" t="s">
        <v>8</v>
      </c>
      <c r="B52" s="1" t="s">
        <v>18</v>
      </c>
      <c r="C52" s="1" t="s">
        <v>16</v>
      </c>
      <c r="D52" s="1" t="s">
        <v>11</v>
      </c>
      <c r="E52" s="1" t="s">
        <v>17</v>
      </c>
      <c r="F52" s="1">
        <v>76</v>
      </c>
      <c r="G52" s="1">
        <v>78</v>
      </c>
      <c r="H52" s="1">
        <v>82</v>
      </c>
      <c r="I52" s="1">
        <v>76</v>
      </c>
      <c r="J52" s="1">
        <v>77</v>
      </c>
      <c r="K52">
        <f t="shared" si="0"/>
        <v>0.76800000000000002</v>
      </c>
      <c r="L52">
        <f t="shared" si="1"/>
        <v>0.71399999999999997</v>
      </c>
      <c r="M52">
        <f t="shared" si="2"/>
        <v>5.4000000000000048E-2</v>
      </c>
    </row>
    <row r="53" spans="1:13" ht="13.2" x14ac:dyDescent="0.25">
      <c r="A53" s="1" t="s">
        <v>19</v>
      </c>
      <c r="B53" s="1" t="s">
        <v>21</v>
      </c>
      <c r="C53" s="1" t="s">
        <v>10</v>
      </c>
      <c r="D53" s="1" t="s">
        <v>11</v>
      </c>
      <c r="E53" s="1" t="s">
        <v>17</v>
      </c>
      <c r="F53" s="1">
        <v>81</v>
      </c>
      <c r="G53" s="1">
        <v>63</v>
      </c>
      <c r="H53" s="1">
        <v>62</v>
      </c>
      <c r="I53" s="1">
        <v>81</v>
      </c>
      <c r="J53" s="1">
        <v>78</v>
      </c>
      <c r="K53">
        <f t="shared" si="0"/>
        <v>0.77600000000000002</v>
      </c>
      <c r="L53">
        <f t="shared" si="1"/>
        <v>0.72799999999999998</v>
      </c>
      <c r="M53">
        <f t="shared" si="2"/>
        <v>4.8000000000000043E-2</v>
      </c>
    </row>
    <row r="54" spans="1:13" ht="13.2" x14ac:dyDescent="0.25">
      <c r="A54" s="1" t="s">
        <v>19</v>
      </c>
      <c r="B54" s="1" t="s">
        <v>18</v>
      </c>
      <c r="C54" s="1" t="s">
        <v>10</v>
      </c>
      <c r="D54" s="1" t="s">
        <v>11</v>
      </c>
      <c r="E54" s="1" t="s">
        <v>12</v>
      </c>
      <c r="F54" s="1">
        <v>72</v>
      </c>
      <c r="G54" s="1">
        <v>64</v>
      </c>
      <c r="H54" s="1">
        <v>61</v>
      </c>
      <c r="I54" s="1">
        <v>72</v>
      </c>
      <c r="J54" s="1">
        <v>79</v>
      </c>
      <c r="K54">
        <f t="shared" si="0"/>
        <v>0.79</v>
      </c>
      <c r="L54">
        <f t="shared" si="1"/>
        <v>0.748</v>
      </c>
      <c r="M54">
        <f t="shared" si="2"/>
        <v>4.2000000000000037E-2</v>
      </c>
    </row>
    <row r="55" spans="1:13" ht="13.2" x14ac:dyDescent="0.25">
      <c r="A55" s="1" t="s">
        <v>19</v>
      </c>
      <c r="B55" s="1" t="s">
        <v>13</v>
      </c>
      <c r="C55" s="1" t="s">
        <v>16</v>
      </c>
      <c r="D55" s="1" t="s">
        <v>11</v>
      </c>
      <c r="E55" s="1" t="s">
        <v>12</v>
      </c>
      <c r="F55" s="1">
        <v>62</v>
      </c>
      <c r="G55" s="1">
        <v>65</v>
      </c>
      <c r="H55" s="1">
        <v>60</v>
      </c>
      <c r="I55" s="1">
        <v>62</v>
      </c>
      <c r="J55" s="1">
        <v>80</v>
      </c>
      <c r="K55">
        <f t="shared" si="0"/>
        <v>0.81200000000000006</v>
      </c>
      <c r="L55">
        <f t="shared" si="1"/>
        <v>0.76600000000000001</v>
      </c>
      <c r="M55">
        <f t="shared" si="2"/>
        <v>4.6000000000000041E-2</v>
      </c>
    </row>
    <row r="56" spans="1:13" ht="13.2" x14ac:dyDescent="0.25">
      <c r="A56" s="1" t="s">
        <v>19</v>
      </c>
      <c r="B56" s="1" t="s">
        <v>9</v>
      </c>
      <c r="C56" s="1" t="s">
        <v>16</v>
      </c>
      <c r="D56" s="1" t="s">
        <v>23</v>
      </c>
      <c r="E56" s="1" t="s">
        <v>12</v>
      </c>
      <c r="F56" s="1">
        <v>45</v>
      </c>
      <c r="G56" s="1">
        <v>40</v>
      </c>
      <c r="H56" s="1">
        <v>43</v>
      </c>
      <c r="I56" s="1">
        <v>45</v>
      </c>
      <c r="J56" s="1">
        <v>81</v>
      </c>
      <c r="K56">
        <f t="shared" si="0"/>
        <v>0.83</v>
      </c>
      <c r="L56">
        <f t="shared" si="1"/>
        <v>0.77600000000000002</v>
      </c>
      <c r="M56">
        <f t="shared" si="2"/>
        <v>5.3999999999999937E-2</v>
      </c>
    </row>
    <row r="57" spans="1:13" ht="13.2" x14ac:dyDescent="0.25">
      <c r="A57" s="1" t="s">
        <v>19</v>
      </c>
      <c r="B57" s="1" t="s">
        <v>13</v>
      </c>
      <c r="C57" s="1" t="s">
        <v>22</v>
      </c>
      <c r="D57" s="1" t="s">
        <v>23</v>
      </c>
      <c r="E57" s="1" t="s">
        <v>12</v>
      </c>
      <c r="F57" s="1">
        <v>44</v>
      </c>
      <c r="G57" s="1">
        <v>48</v>
      </c>
      <c r="H57" s="1">
        <v>42</v>
      </c>
      <c r="I57" s="1">
        <v>44</v>
      </c>
      <c r="J57" s="1">
        <v>82</v>
      </c>
      <c r="K57">
        <f t="shared" si="0"/>
        <v>0.85</v>
      </c>
      <c r="L57">
        <f t="shared" si="1"/>
        <v>0.79200000000000004</v>
      </c>
      <c r="M57">
        <f t="shared" si="2"/>
        <v>5.799999999999994E-2</v>
      </c>
    </row>
    <row r="58" spans="1:13" ht="13.2" x14ac:dyDescent="0.25">
      <c r="A58" s="1" t="s">
        <v>8</v>
      </c>
      <c r="B58" s="1" t="s">
        <v>13</v>
      </c>
      <c r="C58" s="1" t="s">
        <v>10</v>
      </c>
      <c r="D58" s="1" t="s">
        <v>11</v>
      </c>
      <c r="E58" s="1" t="s">
        <v>12</v>
      </c>
      <c r="F58" s="1">
        <v>50</v>
      </c>
      <c r="G58" s="1">
        <v>50</v>
      </c>
      <c r="H58" s="1">
        <v>59</v>
      </c>
      <c r="I58" s="1">
        <v>50</v>
      </c>
      <c r="J58" s="1">
        <v>83</v>
      </c>
      <c r="K58">
        <f t="shared" si="0"/>
        <v>0.86199999999999999</v>
      </c>
      <c r="L58">
        <f t="shared" si="1"/>
        <v>0.81</v>
      </c>
      <c r="M58">
        <f t="shared" si="2"/>
        <v>5.1999999999999935E-2</v>
      </c>
    </row>
    <row r="59" spans="1:13" ht="13.2" x14ac:dyDescent="0.25">
      <c r="A59" s="1" t="s">
        <v>19</v>
      </c>
      <c r="B59" s="1" t="s">
        <v>13</v>
      </c>
      <c r="C59" s="1" t="s">
        <v>10</v>
      </c>
      <c r="D59" s="1" t="s">
        <v>23</v>
      </c>
      <c r="E59" s="1" t="s">
        <v>12</v>
      </c>
      <c r="F59" s="1">
        <v>73</v>
      </c>
      <c r="G59" s="1">
        <v>65</v>
      </c>
      <c r="H59" s="1">
        <v>63</v>
      </c>
      <c r="I59" s="1">
        <v>73</v>
      </c>
      <c r="J59" s="1">
        <v>84</v>
      </c>
      <c r="K59">
        <f t="shared" si="0"/>
        <v>0.878</v>
      </c>
      <c r="L59">
        <f t="shared" si="1"/>
        <v>0.82199999999999995</v>
      </c>
      <c r="M59">
        <f t="shared" si="2"/>
        <v>5.600000000000005E-2</v>
      </c>
    </row>
    <row r="60" spans="1:13" ht="13.2" x14ac:dyDescent="0.25">
      <c r="A60" s="1" t="s">
        <v>19</v>
      </c>
      <c r="B60" s="1" t="s">
        <v>18</v>
      </c>
      <c r="C60" s="1" t="s">
        <v>10</v>
      </c>
      <c r="D60" s="1" t="s">
        <v>23</v>
      </c>
      <c r="E60" s="1" t="s">
        <v>17</v>
      </c>
      <c r="F60" s="1">
        <v>84</v>
      </c>
      <c r="G60" s="1">
        <v>79</v>
      </c>
      <c r="H60" s="1">
        <v>81</v>
      </c>
      <c r="I60" s="1">
        <v>84</v>
      </c>
      <c r="J60" s="1">
        <v>85</v>
      </c>
      <c r="K60">
        <f t="shared" si="0"/>
        <v>0.89200000000000002</v>
      </c>
      <c r="L60">
        <f t="shared" si="1"/>
        <v>0.83399999999999996</v>
      </c>
      <c r="M60">
        <f t="shared" si="2"/>
        <v>5.8000000000000052E-2</v>
      </c>
    </row>
    <row r="61" spans="1:13" ht="13.2" x14ac:dyDescent="0.25">
      <c r="A61" s="1" t="s">
        <v>8</v>
      </c>
      <c r="B61" s="1" t="s">
        <v>21</v>
      </c>
      <c r="C61" s="1" t="s">
        <v>10</v>
      </c>
      <c r="D61" s="1" t="s">
        <v>23</v>
      </c>
      <c r="E61" s="1" t="s">
        <v>12</v>
      </c>
      <c r="F61" s="1">
        <v>60</v>
      </c>
      <c r="G61" s="1">
        <v>80</v>
      </c>
      <c r="H61" s="1">
        <v>69</v>
      </c>
      <c r="I61" s="1">
        <v>60</v>
      </c>
      <c r="J61" s="1">
        <v>86</v>
      </c>
      <c r="K61">
        <f t="shared" si="0"/>
        <v>0.90600000000000003</v>
      </c>
      <c r="L61">
        <f t="shared" si="1"/>
        <v>0.85199999999999998</v>
      </c>
      <c r="M61">
        <f t="shared" si="2"/>
        <v>5.4000000000000048E-2</v>
      </c>
    </row>
    <row r="62" spans="1:13" ht="13.2" x14ac:dyDescent="0.25">
      <c r="A62" s="1" t="s">
        <v>8</v>
      </c>
      <c r="B62" s="1" t="s">
        <v>21</v>
      </c>
      <c r="C62" s="1" t="s">
        <v>16</v>
      </c>
      <c r="D62" s="1" t="s">
        <v>23</v>
      </c>
      <c r="E62" s="1" t="s">
        <v>17</v>
      </c>
      <c r="F62" s="1">
        <v>95</v>
      </c>
      <c r="G62" s="1">
        <v>96</v>
      </c>
      <c r="H62" s="1">
        <v>100</v>
      </c>
      <c r="I62" s="1">
        <v>95</v>
      </c>
      <c r="J62" s="1">
        <v>87</v>
      </c>
      <c r="K62">
        <f t="shared" si="0"/>
        <v>0.91400000000000003</v>
      </c>
      <c r="L62">
        <f t="shared" si="1"/>
        <v>0.874</v>
      </c>
      <c r="M62">
        <f t="shared" si="2"/>
        <v>4.0000000000000036E-2</v>
      </c>
    </row>
    <row r="63" spans="1:13" ht="13.2" x14ac:dyDescent="0.25">
      <c r="A63" s="1" t="s">
        <v>19</v>
      </c>
      <c r="B63" s="1" t="s">
        <v>9</v>
      </c>
      <c r="C63" s="1" t="s">
        <v>10</v>
      </c>
      <c r="D63" s="1" t="s">
        <v>11</v>
      </c>
      <c r="E63" s="1" t="s">
        <v>17</v>
      </c>
      <c r="F63" s="1">
        <v>71</v>
      </c>
      <c r="G63" s="1">
        <v>73</v>
      </c>
      <c r="H63" s="1">
        <v>69</v>
      </c>
      <c r="I63" s="1">
        <v>71</v>
      </c>
      <c r="J63" s="1">
        <v>88</v>
      </c>
      <c r="K63">
        <f t="shared" si="0"/>
        <v>0.91800000000000004</v>
      </c>
      <c r="L63">
        <f t="shared" si="1"/>
        <v>0.89</v>
      </c>
      <c r="M63">
        <f t="shared" si="2"/>
        <v>2.8000000000000025E-2</v>
      </c>
    </row>
    <row r="64" spans="1:13" ht="13.2" x14ac:dyDescent="0.25">
      <c r="A64" s="1" t="s">
        <v>8</v>
      </c>
      <c r="B64" s="1" t="s">
        <v>18</v>
      </c>
      <c r="C64" s="1" t="s">
        <v>10</v>
      </c>
      <c r="D64" s="1" t="s">
        <v>11</v>
      </c>
      <c r="E64" s="1" t="s">
        <v>12</v>
      </c>
      <c r="F64" s="1">
        <v>56</v>
      </c>
      <c r="G64" s="1">
        <v>72</v>
      </c>
      <c r="H64" s="1">
        <v>68</v>
      </c>
      <c r="I64" s="1">
        <v>56</v>
      </c>
      <c r="J64" s="1">
        <v>89</v>
      </c>
      <c r="K64">
        <f t="shared" si="0"/>
        <v>0.92800000000000005</v>
      </c>
      <c r="L64">
        <f t="shared" si="1"/>
        <v>0.90400000000000003</v>
      </c>
      <c r="M64">
        <f t="shared" si="2"/>
        <v>2.4000000000000021E-2</v>
      </c>
    </row>
    <row r="65" spans="1:13" ht="13.2" x14ac:dyDescent="0.25">
      <c r="A65" s="1" t="s">
        <v>8</v>
      </c>
      <c r="B65" s="1" t="s">
        <v>15</v>
      </c>
      <c r="C65" s="1" t="s">
        <v>14</v>
      </c>
      <c r="D65" s="1" t="s">
        <v>23</v>
      </c>
      <c r="E65" s="1" t="s">
        <v>12</v>
      </c>
      <c r="F65" s="1">
        <v>61</v>
      </c>
      <c r="G65" s="1">
        <v>62</v>
      </c>
      <c r="H65" s="1">
        <v>68</v>
      </c>
      <c r="I65" s="1">
        <v>61</v>
      </c>
      <c r="J65" s="1">
        <v>90</v>
      </c>
      <c r="K65">
        <f t="shared" si="0"/>
        <v>0.93200000000000005</v>
      </c>
      <c r="L65">
        <f t="shared" si="1"/>
        <v>0.92200000000000004</v>
      </c>
      <c r="M65">
        <f t="shared" si="2"/>
        <v>1.0000000000000009E-2</v>
      </c>
    </row>
    <row r="66" spans="1:13" ht="13.2" x14ac:dyDescent="0.25">
      <c r="A66" s="1" t="s">
        <v>19</v>
      </c>
      <c r="B66" s="1" t="s">
        <v>21</v>
      </c>
      <c r="C66" s="1" t="s">
        <v>16</v>
      </c>
      <c r="D66" s="1" t="s">
        <v>11</v>
      </c>
      <c r="E66" s="1" t="s">
        <v>12</v>
      </c>
      <c r="F66" s="1">
        <v>100</v>
      </c>
      <c r="G66" s="1">
        <v>95</v>
      </c>
      <c r="H66" s="1">
        <v>94</v>
      </c>
      <c r="I66" s="1">
        <v>100</v>
      </c>
      <c r="J66" s="1">
        <v>91</v>
      </c>
      <c r="K66">
        <f t="shared" si="0"/>
        <v>0.93600000000000005</v>
      </c>
      <c r="L66">
        <f t="shared" si="1"/>
        <v>0.93600000000000005</v>
      </c>
      <c r="M66">
        <f t="shared" si="2"/>
        <v>0</v>
      </c>
    </row>
    <row r="67" spans="1:13" ht="13.2" x14ac:dyDescent="0.25">
      <c r="A67" s="1" t="s">
        <v>19</v>
      </c>
      <c r="B67" s="1" t="s">
        <v>21</v>
      </c>
      <c r="C67" s="1" t="s">
        <v>16</v>
      </c>
      <c r="D67" s="1" t="s">
        <v>11</v>
      </c>
      <c r="E67" s="1" t="s">
        <v>17</v>
      </c>
      <c r="F67" s="1">
        <v>100</v>
      </c>
      <c r="G67" s="1">
        <v>92</v>
      </c>
      <c r="H67" s="1">
        <v>94</v>
      </c>
      <c r="I67" s="1">
        <v>100</v>
      </c>
      <c r="J67" s="1">
        <v>92</v>
      </c>
      <c r="K67">
        <f t="shared" ref="K67:K75" si="3">COUNTIF($F$2:$F$501, "&lt;="&amp;J67) / 500</f>
        <v>0.94199999999999995</v>
      </c>
      <c r="L67">
        <f t="shared" ref="L67:L75" si="4">COUNTIF($G$2:$G$501, "&lt;="&amp;J67) / 500</f>
        <v>0.95</v>
      </c>
      <c r="M67">
        <f t="shared" ref="M67:M75" si="5">ABS($K67 - $L67)</f>
        <v>8.0000000000000071E-3</v>
      </c>
    </row>
    <row r="68" spans="1:13" ht="13.2" x14ac:dyDescent="0.25">
      <c r="A68" s="1" t="s">
        <v>19</v>
      </c>
      <c r="B68" s="1" t="s">
        <v>13</v>
      </c>
      <c r="C68" s="1" t="s">
        <v>10</v>
      </c>
      <c r="D68" s="1" t="s">
        <v>23</v>
      </c>
      <c r="E68" s="1" t="s">
        <v>12</v>
      </c>
      <c r="F68" s="1">
        <v>60</v>
      </c>
      <c r="G68" s="1">
        <v>64</v>
      </c>
      <c r="H68" s="1">
        <v>63</v>
      </c>
      <c r="I68" s="1">
        <v>60</v>
      </c>
      <c r="J68" s="1">
        <v>93</v>
      </c>
      <c r="K68">
        <f t="shared" si="3"/>
        <v>0.95199999999999996</v>
      </c>
      <c r="L68">
        <f t="shared" si="4"/>
        <v>0.95399999999999996</v>
      </c>
      <c r="M68">
        <f t="shared" si="5"/>
        <v>2.0000000000000018E-3</v>
      </c>
    </row>
    <row r="69" spans="1:13" ht="13.2" x14ac:dyDescent="0.25">
      <c r="A69" s="1" t="s">
        <v>19</v>
      </c>
      <c r="B69" s="1" t="s">
        <v>13</v>
      </c>
      <c r="C69" s="1" t="s">
        <v>24</v>
      </c>
      <c r="D69" s="1" t="s">
        <v>11</v>
      </c>
      <c r="E69" s="1" t="s">
        <v>17</v>
      </c>
      <c r="F69" s="1">
        <v>67</v>
      </c>
      <c r="G69" s="1">
        <v>67</v>
      </c>
      <c r="H69" s="1">
        <v>65</v>
      </c>
      <c r="I69" s="1">
        <v>67</v>
      </c>
      <c r="J69" s="1">
        <v>94</v>
      </c>
      <c r="K69">
        <f t="shared" si="3"/>
        <v>0.96</v>
      </c>
      <c r="L69">
        <f t="shared" si="4"/>
        <v>0.95799999999999996</v>
      </c>
      <c r="M69">
        <f t="shared" si="5"/>
        <v>2.0000000000000018E-3</v>
      </c>
    </row>
    <row r="70" spans="1:13" ht="13.2" x14ac:dyDescent="0.25">
      <c r="A70" s="1" t="s">
        <v>19</v>
      </c>
      <c r="B70" s="1" t="s">
        <v>18</v>
      </c>
      <c r="C70" s="1" t="s">
        <v>16</v>
      </c>
      <c r="D70" s="1" t="s">
        <v>11</v>
      </c>
      <c r="E70" s="1" t="s">
        <v>17</v>
      </c>
      <c r="F70" s="1">
        <v>80</v>
      </c>
      <c r="G70" s="1">
        <v>76</v>
      </c>
      <c r="H70" s="1">
        <v>76</v>
      </c>
      <c r="I70" s="1">
        <v>80</v>
      </c>
      <c r="J70" s="1">
        <v>95</v>
      </c>
      <c r="K70">
        <f t="shared" si="3"/>
        <v>0.96799999999999997</v>
      </c>
      <c r="L70">
        <f t="shared" si="4"/>
        <v>0.96199999999999997</v>
      </c>
      <c r="M70">
        <f t="shared" si="5"/>
        <v>6.0000000000000053E-3</v>
      </c>
    </row>
    <row r="71" spans="1:13" ht="13.2" x14ac:dyDescent="0.25">
      <c r="A71" s="1" t="s">
        <v>8</v>
      </c>
      <c r="B71" s="1" t="s">
        <v>9</v>
      </c>
      <c r="C71" s="1" t="s">
        <v>10</v>
      </c>
      <c r="D71" s="1" t="s">
        <v>11</v>
      </c>
      <c r="E71" s="1" t="s">
        <v>17</v>
      </c>
      <c r="F71" s="1">
        <v>77</v>
      </c>
      <c r="G71" s="1">
        <v>87</v>
      </c>
      <c r="H71" s="1">
        <v>91</v>
      </c>
      <c r="I71" s="1">
        <v>77</v>
      </c>
      <c r="J71" s="1">
        <v>96</v>
      </c>
      <c r="K71">
        <f t="shared" si="3"/>
        <v>0.97199999999999998</v>
      </c>
      <c r="L71">
        <f t="shared" si="4"/>
        <v>0.96599999999999997</v>
      </c>
      <c r="M71">
        <f t="shared" si="5"/>
        <v>6.0000000000000053E-3</v>
      </c>
    </row>
    <row r="72" spans="1:13" ht="13.2" x14ac:dyDescent="0.25">
      <c r="A72" s="1" t="s">
        <v>19</v>
      </c>
      <c r="B72" s="1" t="s">
        <v>18</v>
      </c>
      <c r="C72" s="1" t="s">
        <v>14</v>
      </c>
      <c r="D72" s="1" t="s">
        <v>11</v>
      </c>
      <c r="E72" s="1" t="s">
        <v>12</v>
      </c>
      <c r="F72" s="1">
        <v>70</v>
      </c>
      <c r="G72" s="1">
        <v>65</v>
      </c>
      <c r="H72" s="1">
        <v>64</v>
      </c>
      <c r="I72" s="1">
        <v>70</v>
      </c>
      <c r="J72" s="1">
        <v>97</v>
      </c>
      <c r="K72">
        <f t="shared" si="3"/>
        <v>0.97199999999999998</v>
      </c>
      <c r="L72">
        <f t="shared" si="4"/>
        <v>0.98</v>
      </c>
      <c r="M72">
        <f t="shared" si="5"/>
        <v>8.0000000000000071E-3</v>
      </c>
    </row>
    <row r="73" spans="1:13" ht="13.2" x14ac:dyDescent="0.25">
      <c r="A73" s="1" t="s">
        <v>8</v>
      </c>
      <c r="B73" s="1" t="s">
        <v>18</v>
      </c>
      <c r="C73" s="1" t="s">
        <v>14</v>
      </c>
      <c r="D73" s="1" t="s">
        <v>11</v>
      </c>
      <c r="E73" s="1" t="s">
        <v>17</v>
      </c>
      <c r="F73" s="1">
        <v>50</v>
      </c>
      <c r="G73" s="1">
        <v>64</v>
      </c>
      <c r="H73" s="1">
        <v>72</v>
      </c>
      <c r="I73" s="1">
        <v>50</v>
      </c>
      <c r="J73" s="1">
        <v>98</v>
      </c>
      <c r="K73">
        <f t="shared" si="3"/>
        <v>0.98</v>
      </c>
      <c r="L73">
        <f t="shared" si="4"/>
        <v>0.98199999999999998</v>
      </c>
      <c r="M73">
        <f t="shared" si="5"/>
        <v>2.0000000000000018E-3</v>
      </c>
    </row>
    <row r="74" spans="1:13" ht="13.2" x14ac:dyDescent="0.25">
      <c r="A74" s="1" t="s">
        <v>8</v>
      </c>
      <c r="B74" s="1" t="s">
        <v>13</v>
      </c>
      <c r="C74" s="1" t="s">
        <v>20</v>
      </c>
      <c r="D74" s="1" t="s">
        <v>11</v>
      </c>
      <c r="E74" s="1" t="s">
        <v>12</v>
      </c>
      <c r="F74" s="1">
        <v>82</v>
      </c>
      <c r="G74" s="1">
        <v>90</v>
      </c>
      <c r="H74" s="1">
        <v>87</v>
      </c>
      <c r="I74" s="1">
        <v>82</v>
      </c>
      <c r="J74" s="1">
        <v>99</v>
      </c>
      <c r="K74">
        <f t="shared" si="3"/>
        <v>0.98399999999999999</v>
      </c>
      <c r="L74">
        <f t="shared" si="4"/>
        <v>0.98199999999999998</v>
      </c>
      <c r="M74">
        <f t="shared" si="5"/>
        <v>2.0000000000000018E-3</v>
      </c>
    </row>
    <row r="75" spans="1:13" ht="13.2" x14ac:dyDescent="0.25">
      <c r="A75" s="1" t="s">
        <v>19</v>
      </c>
      <c r="B75" s="1" t="s">
        <v>18</v>
      </c>
      <c r="C75" s="1" t="s">
        <v>14</v>
      </c>
      <c r="D75" s="1" t="s">
        <v>23</v>
      </c>
      <c r="E75" s="1" t="s">
        <v>17</v>
      </c>
      <c r="F75" s="1">
        <v>60</v>
      </c>
      <c r="G75" s="1">
        <v>65</v>
      </c>
      <c r="H75" s="1">
        <v>68</v>
      </c>
      <c r="I75" s="1">
        <v>60</v>
      </c>
      <c r="J75" s="1">
        <v>100</v>
      </c>
      <c r="K75">
        <f t="shared" si="3"/>
        <v>1</v>
      </c>
      <c r="L75">
        <f t="shared" si="4"/>
        <v>1</v>
      </c>
      <c r="M75">
        <f t="shared" si="5"/>
        <v>0</v>
      </c>
    </row>
    <row r="76" spans="1:13" ht="13.2" x14ac:dyDescent="0.25">
      <c r="A76" s="1" t="s">
        <v>8</v>
      </c>
      <c r="B76" s="1" t="s">
        <v>18</v>
      </c>
      <c r="C76" s="1" t="s">
        <v>10</v>
      </c>
      <c r="D76" s="1" t="s">
        <v>11</v>
      </c>
      <c r="E76" s="1" t="s">
        <v>17</v>
      </c>
      <c r="F76" s="1">
        <v>67</v>
      </c>
      <c r="G76" s="1">
        <v>70</v>
      </c>
      <c r="H76" s="1">
        <v>78</v>
      </c>
      <c r="I76" s="1">
        <v>67</v>
      </c>
    </row>
    <row r="77" spans="1:13" ht="13.2" x14ac:dyDescent="0.25">
      <c r="A77" s="1" t="s">
        <v>8</v>
      </c>
      <c r="B77" s="1" t="s">
        <v>18</v>
      </c>
      <c r="C77" s="1" t="s">
        <v>10</v>
      </c>
      <c r="D77" s="1" t="s">
        <v>23</v>
      </c>
      <c r="E77" s="1" t="s">
        <v>17</v>
      </c>
      <c r="F77" s="1">
        <v>73</v>
      </c>
      <c r="G77" s="1">
        <v>87</v>
      </c>
      <c r="H77" s="1">
        <v>86</v>
      </c>
      <c r="I77" s="1">
        <v>73</v>
      </c>
    </row>
    <row r="78" spans="1:13" ht="13.2" x14ac:dyDescent="0.25">
      <c r="A78" s="1" t="s">
        <v>19</v>
      </c>
      <c r="B78" s="1" t="s">
        <v>21</v>
      </c>
      <c r="C78" s="1" t="s">
        <v>10</v>
      </c>
      <c r="D78" s="1" t="s">
        <v>11</v>
      </c>
      <c r="E78" s="1" t="s">
        <v>12</v>
      </c>
      <c r="F78" s="1">
        <v>86</v>
      </c>
      <c r="G78" s="1">
        <v>73</v>
      </c>
      <c r="H78" s="1">
        <v>69</v>
      </c>
      <c r="I78" s="1">
        <v>86</v>
      </c>
    </row>
    <row r="79" spans="1:13" ht="13.2" x14ac:dyDescent="0.25">
      <c r="A79" s="1" t="s">
        <v>8</v>
      </c>
      <c r="B79" s="1" t="s">
        <v>18</v>
      </c>
      <c r="C79" s="1" t="s">
        <v>14</v>
      </c>
      <c r="D79" s="1" t="s">
        <v>11</v>
      </c>
      <c r="E79" s="1" t="s">
        <v>12</v>
      </c>
      <c r="F79" s="1">
        <v>41</v>
      </c>
      <c r="G79" s="1">
        <v>48</v>
      </c>
      <c r="H79" s="1">
        <v>46</v>
      </c>
      <c r="I79" s="1">
        <v>41</v>
      </c>
    </row>
    <row r="80" spans="1:13" ht="13.2" x14ac:dyDescent="0.25">
      <c r="A80" s="1" t="s">
        <v>8</v>
      </c>
      <c r="B80" s="1" t="s">
        <v>9</v>
      </c>
      <c r="C80" s="1" t="s">
        <v>16</v>
      </c>
      <c r="D80" s="1" t="s">
        <v>23</v>
      </c>
      <c r="E80" s="1" t="s">
        <v>12</v>
      </c>
      <c r="F80" s="1">
        <v>48</v>
      </c>
      <c r="G80" s="1">
        <v>77</v>
      </c>
      <c r="H80" s="1">
        <v>73</v>
      </c>
      <c r="I80" s="1">
        <v>48</v>
      </c>
    </row>
    <row r="81" spans="1:9" ht="13.2" x14ac:dyDescent="0.25">
      <c r="A81" s="1" t="s">
        <v>8</v>
      </c>
      <c r="B81" s="1" t="s">
        <v>9</v>
      </c>
      <c r="C81" s="1" t="s">
        <v>10</v>
      </c>
      <c r="D81" s="1" t="s">
        <v>23</v>
      </c>
      <c r="E81" s="1" t="s">
        <v>12</v>
      </c>
      <c r="F81" s="1">
        <v>39</v>
      </c>
      <c r="G81" s="1">
        <v>49</v>
      </c>
      <c r="H81" s="1">
        <v>49</v>
      </c>
      <c r="I81" s="1">
        <v>39</v>
      </c>
    </row>
    <row r="82" spans="1:9" ht="13.2" x14ac:dyDescent="0.25">
      <c r="A82" s="1" t="s">
        <v>8</v>
      </c>
      <c r="B82" s="1" t="s">
        <v>13</v>
      </c>
      <c r="C82" s="1" t="s">
        <v>22</v>
      </c>
      <c r="D82" s="1" t="s">
        <v>23</v>
      </c>
      <c r="E82" s="1" t="s">
        <v>17</v>
      </c>
      <c r="F82" s="1">
        <v>34</v>
      </c>
      <c r="G82" s="1">
        <v>60</v>
      </c>
      <c r="H82" s="1">
        <v>62</v>
      </c>
      <c r="I82" s="1">
        <v>34</v>
      </c>
    </row>
    <row r="83" spans="1:9" ht="13.2" x14ac:dyDescent="0.25">
      <c r="A83" s="1" t="s">
        <v>8</v>
      </c>
      <c r="B83" s="1" t="s">
        <v>18</v>
      </c>
      <c r="C83" s="1" t="s">
        <v>14</v>
      </c>
      <c r="D83" s="1" t="s">
        <v>11</v>
      </c>
      <c r="E83" s="1" t="s">
        <v>12</v>
      </c>
      <c r="F83" s="1">
        <v>54</v>
      </c>
      <c r="G83" s="1">
        <v>60</v>
      </c>
      <c r="H83" s="1">
        <v>55</v>
      </c>
      <c r="I83" s="1">
        <v>54</v>
      </c>
    </row>
    <row r="84" spans="1:9" ht="13.2" x14ac:dyDescent="0.25">
      <c r="A84" s="1" t="s">
        <v>19</v>
      </c>
      <c r="B84" s="1" t="s">
        <v>18</v>
      </c>
      <c r="C84" s="1" t="s">
        <v>24</v>
      </c>
      <c r="D84" s="1" t="s">
        <v>11</v>
      </c>
      <c r="E84" s="1" t="s">
        <v>12</v>
      </c>
      <c r="F84" s="1">
        <v>99</v>
      </c>
      <c r="G84" s="1">
        <v>95</v>
      </c>
      <c r="H84" s="1">
        <v>93</v>
      </c>
      <c r="I84" s="1">
        <v>99</v>
      </c>
    </row>
    <row r="85" spans="1:9" ht="13.2" x14ac:dyDescent="0.25">
      <c r="A85" s="1" t="s">
        <v>8</v>
      </c>
      <c r="B85" s="1" t="s">
        <v>13</v>
      </c>
      <c r="C85" s="1" t="s">
        <v>22</v>
      </c>
      <c r="D85" s="1" t="s">
        <v>11</v>
      </c>
      <c r="E85" s="1" t="s">
        <v>17</v>
      </c>
      <c r="F85" s="1">
        <v>52</v>
      </c>
      <c r="G85" s="1">
        <v>69</v>
      </c>
      <c r="H85" s="1">
        <v>67</v>
      </c>
      <c r="I85" s="1">
        <v>52</v>
      </c>
    </row>
    <row r="86" spans="1:9" ht="13.2" x14ac:dyDescent="0.25">
      <c r="A86" s="1" t="s">
        <v>8</v>
      </c>
      <c r="B86" s="1" t="s">
        <v>13</v>
      </c>
      <c r="C86" s="1" t="s">
        <v>14</v>
      </c>
      <c r="D86" s="1" t="s">
        <v>23</v>
      </c>
      <c r="E86" s="1" t="s">
        <v>12</v>
      </c>
      <c r="F86" s="1">
        <v>80</v>
      </c>
      <c r="G86" s="1">
        <v>89</v>
      </c>
      <c r="H86" s="1">
        <v>90</v>
      </c>
      <c r="I86" s="1">
        <v>80</v>
      </c>
    </row>
    <row r="87" spans="1:9" ht="13.2" x14ac:dyDescent="0.25">
      <c r="A87" s="1" t="s">
        <v>8</v>
      </c>
      <c r="B87" s="1" t="s">
        <v>21</v>
      </c>
      <c r="C87" s="1" t="s">
        <v>16</v>
      </c>
      <c r="D87" s="1" t="s">
        <v>23</v>
      </c>
      <c r="E87" s="1" t="s">
        <v>12</v>
      </c>
      <c r="F87" s="1">
        <v>66</v>
      </c>
      <c r="G87" s="1">
        <v>88</v>
      </c>
      <c r="H87" s="1">
        <v>81</v>
      </c>
      <c r="I87" s="1">
        <v>66</v>
      </c>
    </row>
    <row r="88" spans="1:9" ht="13.2" x14ac:dyDescent="0.25">
      <c r="A88" s="1" t="s">
        <v>8</v>
      </c>
      <c r="B88" s="1" t="s">
        <v>21</v>
      </c>
      <c r="C88" s="1" t="s">
        <v>10</v>
      </c>
      <c r="D88" s="1" t="s">
        <v>11</v>
      </c>
      <c r="E88" s="1" t="s">
        <v>12</v>
      </c>
      <c r="F88" s="1">
        <v>75</v>
      </c>
      <c r="G88" s="1">
        <v>73</v>
      </c>
      <c r="H88" s="1">
        <v>78</v>
      </c>
      <c r="I88" s="1">
        <v>75</v>
      </c>
    </row>
    <row r="89" spans="1:9" ht="13.2" x14ac:dyDescent="0.25">
      <c r="A89" s="1" t="s">
        <v>8</v>
      </c>
      <c r="B89" s="1" t="s">
        <v>13</v>
      </c>
      <c r="C89" s="1" t="s">
        <v>16</v>
      </c>
      <c r="D89" s="1" t="s">
        <v>23</v>
      </c>
      <c r="E89" s="1" t="s">
        <v>12</v>
      </c>
      <c r="F89" s="1">
        <v>56</v>
      </c>
      <c r="G89" s="1">
        <v>65</v>
      </c>
      <c r="H89" s="1">
        <v>74</v>
      </c>
      <c r="I89" s="1">
        <v>56</v>
      </c>
    </row>
    <row r="90" spans="1:9" ht="13.2" x14ac:dyDescent="0.25">
      <c r="A90" s="1" t="s">
        <v>19</v>
      </c>
      <c r="B90" s="1" t="s">
        <v>13</v>
      </c>
      <c r="C90" s="1" t="s">
        <v>24</v>
      </c>
      <c r="D90" s="1" t="s">
        <v>11</v>
      </c>
      <c r="E90" s="1" t="s">
        <v>12</v>
      </c>
      <c r="F90" s="1">
        <v>100</v>
      </c>
      <c r="G90" s="1">
        <v>97</v>
      </c>
      <c r="H90" s="1">
        <v>93</v>
      </c>
      <c r="I90" s="1">
        <v>100</v>
      </c>
    </row>
    <row r="91" spans="1:9" ht="13.2" x14ac:dyDescent="0.25">
      <c r="A91" s="1" t="s">
        <v>19</v>
      </c>
      <c r="B91" s="1" t="s">
        <v>18</v>
      </c>
      <c r="C91" s="1" t="s">
        <v>22</v>
      </c>
      <c r="D91" s="1" t="s">
        <v>11</v>
      </c>
      <c r="E91" s="1" t="s">
        <v>12</v>
      </c>
      <c r="F91" s="1">
        <v>80</v>
      </c>
      <c r="G91" s="1">
        <v>70</v>
      </c>
      <c r="H91" s="1">
        <v>70</v>
      </c>
      <c r="I91" s="1">
        <v>80</v>
      </c>
    </row>
    <row r="92" spans="1:9" ht="13.2" x14ac:dyDescent="0.25">
      <c r="A92" s="1" t="s">
        <v>19</v>
      </c>
      <c r="B92" s="1" t="s">
        <v>18</v>
      </c>
      <c r="C92" s="1" t="s">
        <v>22</v>
      </c>
      <c r="D92" s="1" t="s">
        <v>11</v>
      </c>
      <c r="E92" s="1" t="s">
        <v>17</v>
      </c>
      <c r="F92" s="1">
        <v>48</v>
      </c>
      <c r="G92" s="1">
        <v>49</v>
      </c>
      <c r="H92" s="1">
        <v>43</v>
      </c>
      <c r="I92" s="1">
        <v>48</v>
      </c>
    </row>
    <row r="93" spans="1:9" ht="13.2" x14ac:dyDescent="0.25">
      <c r="A93" s="1" t="s">
        <v>19</v>
      </c>
      <c r="B93" s="1" t="s">
        <v>21</v>
      </c>
      <c r="C93" s="1" t="s">
        <v>24</v>
      </c>
      <c r="D93" s="1" t="s">
        <v>23</v>
      </c>
      <c r="E93" s="1" t="s">
        <v>12</v>
      </c>
      <c r="F93" s="1">
        <v>59</v>
      </c>
      <c r="G93" s="1">
        <v>51</v>
      </c>
      <c r="H93" s="1">
        <v>50</v>
      </c>
      <c r="I93" s="1">
        <v>59</v>
      </c>
    </row>
    <row r="94" spans="1:9" ht="13.2" x14ac:dyDescent="0.25">
      <c r="A94" s="1" t="s">
        <v>19</v>
      </c>
      <c r="B94" s="1" t="s">
        <v>18</v>
      </c>
      <c r="C94" s="1" t="s">
        <v>14</v>
      </c>
      <c r="D94" s="1" t="s">
        <v>23</v>
      </c>
      <c r="E94" s="1" t="s">
        <v>12</v>
      </c>
      <c r="F94" s="1">
        <v>47</v>
      </c>
      <c r="G94" s="1">
        <v>50</v>
      </c>
      <c r="H94" s="1">
        <v>48</v>
      </c>
      <c r="I94" s="1">
        <v>47</v>
      </c>
    </row>
    <row r="95" spans="1:9" ht="13.2" x14ac:dyDescent="0.25">
      <c r="A95" s="1" t="s">
        <v>19</v>
      </c>
      <c r="B95" s="1" t="s">
        <v>18</v>
      </c>
      <c r="C95" s="1" t="s">
        <v>22</v>
      </c>
      <c r="D95" s="1" t="s">
        <v>11</v>
      </c>
      <c r="E95" s="1" t="s">
        <v>12</v>
      </c>
      <c r="F95" s="1">
        <v>69</v>
      </c>
      <c r="G95" s="1">
        <v>67</v>
      </c>
      <c r="H95" s="1">
        <v>64</v>
      </c>
      <c r="I95" s="1">
        <v>69</v>
      </c>
    </row>
    <row r="96" spans="1:9" ht="13.2" x14ac:dyDescent="0.25">
      <c r="A96" s="1" t="s">
        <v>8</v>
      </c>
      <c r="B96" s="1" t="s">
        <v>21</v>
      </c>
      <c r="C96" s="1" t="s">
        <v>16</v>
      </c>
      <c r="D96" s="1" t="s">
        <v>11</v>
      </c>
      <c r="E96" s="1" t="s">
        <v>12</v>
      </c>
      <c r="F96" s="1">
        <v>55</v>
      </c>
      <c r="G96" s="1">
        <v>59</v>
      </c>
      <c r="H96" s="1">
        <v>56</v>
      </c>
      <c r="I96" s="1">
        <v>55</v>
      </c>
    </row>
    <row r="97" spans="1:9" ht="13.2" x14ac:dyDescent="0.25">
      <c r="A97" s="1" t="s">
        <v>8</v>
      </c>
      <c r="B97" s="1" t="s">
        <v>13</v>
      </c>
      <c r="C97" s="1" t="s">
        <v>10</v>
      </c>
      <c r="D97" s="1" t="s">
        <v>11</v>
      </c>
      <c r="E97" s="1" t="s">
        <v>17</v>
      </c>
      <c r="F97" s="1">
        <v>71</v>
      </c>
      <c r="G97" s="1">
        <v>75</v>
      </c>
      <c r="H97" s="1">
        <v>81</v>
      </c>
      <c r="I97" s="1">
        <v>71</v>
      </c>
    </row>
    <row r="98" spans="1:9" ht="13.2" x14ac:dyDescent="0.25">
      <c r="A98" s="1" t="s">
        <v>8</v>
      </c>
      <c r="B98" s="1" t="s">
        <v>13</v>
      </c>
      <c r="C98" s="1" t="s">
        <v>24</v>
      </c>
      <c r="D98" s="1" t="s">
        <v>23</v>
      </c>
      <c r="E98" s="1" t="s">
        <v>12</v>
      </c>
      <c r="F98" s="1">
        <v>44</v>
      </c>
      <c r="G98" s="1">
        <v>55</v>
      </c>
      <c r="H98" s="1">
        <v>55</v>
      </c>
      <c r="I98" s="1">
        <v>44</v>
      </c>
    </row>
    <row r="99" spans="1:9" ht="13.2" x14ac:dyDescent="0.25">
      <c r="A99" s="1" t="s">
        <v>19</v>
      </c>
      <c r="B99" s="1" t="s">
        <v>13</v>
      </c>
      <c r="C99" s="1" t="s">
        <v>22</v>
      </c>
      <c r="D99" s="1" t="s">
        <v>11</v>
      </c>
      <c r="E99" s="1" t="s">
        <v>12</v>
      </c>
      <c r="F99" s="1">
        <v>95</v>
      </c>
      <c r="G99" s="1">
        <v>74</v>
      </c>
      <c r="H99" s="1">
        <v>81</v>
      </c>
      <c r="I99" s="1">
        <v>95</v>
      </c>
    </row>
    <row r="100" spans="1:9" ht="13.2" x14ac:dyDescent="0.25">
      <c r="A100" s="1" t="s">
        <v>8</v>
      </c>
      <c r="B100" s="1" t="s">
        <v>9</v>
      </c>
      <c r="C100" s="1" t="s">
        <v>16</v>
      </c>
      <c r="D100" s="1" t="s">
        <v>11</v>
      </c>
      <c r="E100" s="1" t="s">
        <v>17</v>
      </c>
      <c r="F100" s="1">
        <v>68</v>
      </c>
      <c r="G100" s="1">
        <v>80</v>
      </c>
      <c r="H100" s="1">
        <v>83</v>
      </c>
      <c r="I100" s="1">
        <v>68</v>
      </c>
    </row>
    <row r="101" spans="1:9" ht="13.2" x14ac:dyDescent="0.25">
      <c r="A101" s="1" t="s">
        <v>8</v>
      </c>
      <c r="B101" s="1" t="s">
        <v>18</v>
      </c>
      <c r="C101" s="1" t="s">
        <v>22</v>
      </c>
      <c r="D101" s="1" t="s">
        <v>11</v>
      </c>
      <c r="E101" s="1" t="s">
        <v>12</v>
      </c>
      <c r="F101" s="1">
        <v>52</v>
      </c>
      <c r="G101" s="1">
        <v>65</v>
      </c>
      <c r="H101" s="1">
        <v>57</v>
      </c>
      <c r="I101" s="1">
        <v>52</v>
      </c>
    </row>
    <row r="102" spans="1:9" ht="13.2" x14ac:dyDescent="0.25">
      <c r="A102" s="1" t="s">
        <v>19</v>
      </c>
      <c r="B102" s="1" t="s">
        <v>9</v>
      </c>
      <c r="C102" s="1" t="s">
        <v>22</v>
      </c>
      <c r="D102" s="1" t="s">
        <v>11</v>
      </c>
      <c r="E102" s="1" t="s">
        <v>17</v>
      </c>
      <c r="F102" s="1">
        <v>83</v>
      </c>
      <c r="G102" s="1">
        <v>88</v>
      </c>
      <c r="H102" s="1">
        <v>86</v>
      </c>
      <c r="I102" s="1">
        <v>83</v>
      </c>
    </row>
    <row r="103" spans="1:9" ht="13.2" x14ac:dyDescent="0.25">
      <c r="A103" s="1" t="s">
        <v>8</v>
      </c>
      <c r="B103" s="1" t="s">
        <v>18</v>
      </c>
      <c r="C103" s="1" t="s">
        <v>10</v>
      </c>
      <c r="D103" s="1" t="s">
        <v>23</v>
      </c>
      <c r="E103" s="1" t="s">
        <v>17</v>
      </c>
      <c r="F103" s="1">
        <v>64</v>
      </c>
      <c r="G103" s="1">
        <v>78</v>
      </c>
      <c r="H103" s="1">
        <v>78</v>
      </c>
      <c r="I103" s="1">
        <v>64</v>
      </c>
    </row>
    <row r="104" spans="1:9" ht="13.2" x14ac:dyDescent="0.25">
      <c r="A104" s="1" t="s">
        <v>8</v>
      </c>
      <c r="B104" s="1" t="s">
        <v>9</v>
      </c>
      <c r="C104" s="1" t="s">
        <v>10</v>
      </c>
      <c r="D104" s="1" t="s">
        <v>23</v>
      </c>
      <c r="E104" s="1" t="s">
        <v>12</v>
      </c>
      <c r="F104" s="1">
        <v>73</v>
      </c>
      <c r="G104" s="1">
        <v>81</v>
      </c>
      <c r="H104" s="1">
        <v>79</v>
      </c>
      <c r="I104" s="1">
        <v>73</v>
      </c>
    </row>
    <row r="105" spans="1:9" ht="13.2" x14ac:dyDescent="0.25">
      <c r="A105" s="1" t="s">
        <v>8</v>
      </c>
      <c r="B105" s="1" t="s">
        <v>21</v>
      </c>
      <c r="C105" s="1" t="s">
        <v>20</v>
      </c>
      <c r="D105" s="1" t="s">
        <v>23</v>
      </c>
      <c r="E105" s="1" t="s">
        <v>12</v>
      </c>
      <c r="F105" s="1">
        <v>47</v>
      </c>
      <c r="G105" s="1">
        <v>57</v>
      </c>
      <c r="H105" s="1">
        <v>55</v>
      </c>
      <c r="I105" s="1">
        <v>47</v>
      </c>
    </row>
    <row r="106" spans="1:9" ht="13.2" x14ac:dyDescent="0.25">
      <c r="A106" s="1" t="s">
        <v>8</v>
      </c>
      <c r="B106" s="1" t="s">
        <v>15</v>
      </c>
      <c r="C106" s="1" t="s">
        <v>14</v>
      </c>
      <c r="D106" s="1" t="s">
        <v>11</v>
      </c>
      <c r="E106" s="1" t="s">
        <v>12</v>
      </c>
      <c r="F106" s="1">
        <v>49</v>
      </c>
      <c r="G106" s="1">
        <v>57</v>
      </c>
      <c r="H106" s="1">
        <v>52</v>
      </c>
      <c r="I106" s="1">
        <v>49</v>
      </c>
    </row>
    <row r="107" spans="1:9" ht="13.2" x14ac:dyDescent="0.25">
      <c r="A107" s="1" t="s">
        <v>8</v>
      </c>
      <c r="B107" s="1" t="s">
        <v>18</v>
      </c>
      <c r="C107" s="1" t="s">
        <v>20</v>
      </c>
      <c r="D107" s="1" t="s">
        <v>11</v>
      </c>
      <c r="E107" s="1" t="s">
        <v>17</v>
      </c>
      <c r="F107" s="1">
        <v>93</v>
      </c>
      <c r="G107" s="1">
        <v>100</v>
      </c>
      <c r="H107" s="1">
        <v>100</v>
      </c>
      <c r="I107" s="1">
        <v>93</v>
      </c>
    </row>
    <row r="108" spans="1:9" ht="13.2" x14ac:dyDescent="0.25">
      <c r="A108" s="1" t="s">
        <v>19</v>
      </c>
      <c r="B108" s="1" t="s">
        <v>18</v>
      </c>
      <c r="C108" s="1" t="s">
        <v>16</v>
      </c>
      <c r="D108" s="1" t="s">
        <v>11</v>
      </c>
      <c r="E108" s="1" t="s">
        <v>12</v>
      </c>
      <c r="F108" s="1">
        <v>58</v>
      </c>
      <c r="G108" s="1">
        <v>61</v>
      </c>
      <c r="H108" s="1">
        <v>51</v>
      </c>
      <c r="I108" s="1">
        <v>58</v>
      </c>
    </row>
    <row r="109" spans="1:9" ht="13.2" x14ac:dyDescent="0.25">
      <c r="A109" s="1" t="s">
        <v>19</v>
      </c>
      <c r="B109" s="1" t="s">
        <v>21</v>
      </c>
      <c r="C109" s="1" t="s">
        <v>14</v>
      </c>
      <c r="D109" s="1" t="s">
        <v>11</v>
      </c>
      <c r="E109" s="1" t="s">
        <v>17</v>
      </c>
      <c r="F109" s="1">
        <v>86</v>
      </c>
      <c r="G109" s="1">
        <v>88</v>
      </c>
      <c r="H109" s="1">
        <v>90</v>
      </c>
      <c r="I109" s="1">
        <v>86</v>
      </c>
    </row>
    <row r="110" spans="1:9" ht="13.2" x14ac:dyDescent="0.25">
      <c r="A110" s="1" t="s">
        <v>19</v>
      </c>
      <c r="B110" s="1" t="s">
        <v>13</v>
      </c>
      <c r="C110" s="1" t="s">
        <v>10</v>
      </c>
      <c r="D110" s="1" t="s">
        <v>11</v>
      </c>
      <c r="E110" s="1" t="s">
        <v>17</v>
      </c>
      <c r="F110" s="1">
        <v>68</v>
      </c>
      <c r="G110" s="1">
        <v>65</v>
      </c>
      <c r="H110" s="1">
        <v>69</v>
      </c>
      <c r="I110" s="1">
        <v>68</v>
      </c>
    </row>
    <row r="111" spans="1:9" ht="13.2" x14ac:dyDescent="0.25">
      <c r="A111" s="1" t="s">
        <v>19</v>
      </c>
      <c r="B111" s="1" t="s">
        <v>18</v>
      </c>
      <c r="C111" s="1" t="s">
        <v>16</v>
      </c>
      <c r="D111" s="1" t="s">
        <v>11</v>
      </c>
      <c r="E111" s="1" t="s">
        <v>12</v>
      </c>
      <c r="F111" s="1">
        <v>76</v>
      </c>
      <c r="G111" s="1">
        <v>72</v>
      </c>
      <c r="H111" s="1">
        <v>69</v>
      </c>
      <c r="I111" s="1">
        <v>76</v>
      </c>
    </row>
    <row r="112" spans="1:9" ht="13.2" x14ac:dyDescent="0.25">
      <c r="A112" s="1" t="s">
        <v>8</v>
      </c>
      <c r="B112" s="1" t="s">
        <v>13</v>
      </c>
      <c r="C112" s="1" t="s">
        <v>22</v>
      </c>
      <c r="D112" s="1" t="s">
        <v>23</v>
      </c>
      <c r="E112" s="1" t="s">
        <v>12</v>
      </c>
      <c r="F112" s="1">
        <v>37</v>
      </c>
      <c r="G112" s="1">
        <v>49</v>
      </c>
      <c r="H112" s="1">
        <v>51</v>
      </c>
      <c r="I112" s="1">
        <v>37</v>
      </c>
    </row>
    <row r="113" spans="1:9" ht="13.2" x14ac:dyDescent="0.25">
      <c r="A113" s="1" t="s">
        <v>8</v>
      </c>
      <c r="B113" s="1" t="s">
        <v>13</v>
      </c>
      <c r="C113" s="1" t="s">
        <v>14</v>
      </c>
      <c r="D113" s="1" t="s">
        <v>11</v>
      </c>
      <c r="E113" s="1" t="s">
        <v>17</v>
      </c>
      <c r="F113" s="1">
        <v>69</v>
      </c>
      <c r="G113" s="1">
        <v>79</v>
      </c>
      <c r="H113" s="1">
        <v>82</v>
      </c>
      <c r="I113" s="1">
        <v>69</v>
      </c>
    </row>
    <row r="114" spans="1:9" ht="13.2" x14ac:dyDescent="0.25">
      <c r="A114" s="1" t="s">
        <v>19</v>
      </c>
      <c r="B114" s="1" t="s">
        <v>13</v>
      </c>
      <c r="C114" s="1" t="s">
        <v>16</v>
      </c>
      <c r="D114" s="1" t="s">
        <v>11</v>
      </c>
      <c r="E114" s="1" t="s">
        <v>12</v>
      </c>
      <c r="F114" s="1">
        <v>65</v>
      </c>
      <c r="G114" s="1">
        <v>50</v>
      </c>
      <c r="H114" s="1">
        <v>48</v>
      </c>
      <c r="I114" s="1">
        <v>65</v>
      </c>
    </row>
    <row r="115" spans="1:9" ht="13.2" x14ac:dyDescent="0.25">
      <c r="A115" s="1" t="s">
        <v>8</v>
      </c>
      <c r="B115" s="1" t="s">
        <v>15</v>
      </c>
      <c r="C115" s="1" t="s">
        <v>22</v>
      </c>
      <c r="D115" s="1" t="s">
        <v>23</v>
      </c>
      <c r="E115" s="1" t="s">
        <v>17</v>
      </c>
      <c r="F115" s="1">
        <v>35</v>
      </c>
      <c r="G115" s="1">
        <v>52</v>
      </c>
      <c r="H115" s="1">
        <v>49</v>
      </c>
      <c r="I115" s="1">
        <v>35</v>
      </c>
    </row>
    <row r="116" spans="1:9" ht="13.2" x14ac:dyDescent="0.25">
      <c r="A116" s="1" t="s">
        <v>8</v>
      </c>
      <c r="B116" s="1" t="s">
        <v>18</v>
      </c>
      <c r="C116" s="1" t="s">
        <v>10</v>
      </c>
      <c r="D116" s="1" t="s">
        <v>11</v>
      </c>
      <c r="E116" s="1" t="s">
        <v>17</v>
      </c>
      <c r="F116" s="1">
        <v>61</v>
      </c>
      <c r="G116" s="1">
        <v>62</v>
      </c>
      <c r="H116" s="1">
        <v>67</v>
      </c>
      <c r="I116" s="1">
        <v>61</v>
      </c>
    </row>
    <row r="117" spans="1:9" ht="13.2" x14ac:dyDescent="0.25">
      <c r="A117" s="1" t="s">
        <v>19</v>
      </c>
      <c r="B117" s="1" t="s">
        <v>13</v>
      </c>
      <c r="C117" s="1" t="s">
        <v>14</v>
      </c>
      <c r="D117" s="1" t="s">
        <v>23</v>
      </c>
      <c r="E117" s="1" t="s">
        <v>17</v>
      </c>
      <c r="F117" s="1">
        <v>47</v>
      </c>
      <c r="G117" s="1">
        <v>52</v>
      </c>
      <c r="H117" s="1">
        <v>54</v>
      </c>
      <c r="I117" s="1">
        <v>47</v>
      </c>
    </row>
    <row r="118" spans="1:9" ht="13.2" x14ac:dyDescent="0.25">
      <c r="A118" s="1" t="s">
        <v>19</v>
      </c>
      <c r="B118" s="1" t="s">
        <v>21</v>
      </c>
      <c r="C118" s="1" t="s">
        <v>16</v>
      </c>
      <c r="D118" s="1" t="s">
        <v>23</v>
      </c>
      <c r="E118" s="1" t="s">
        <v>12</v>
      </c>
      <c r="F118" s="1">
        <v>65</v>
      </c>
      <c r="G118" s="1">
        <v>59</v>
      </c>
      <c r="H118" s="1">
        <v>61</v>
      </c>
      <c r="I118" s="1">
        <v>65</v>
      </c>
    </row>
    <row r="119" spans="1:9" ht="13.2" x14ac:dyDescent="0.25">
      <c r="A119" s="1" t="s">
        <v>19</v>
      </c>
      <c r="B119" s="1" t="s">
        <v>21</v>
      </c>
      <c r="C119" s="1" t="s">
        <v>10</v>
      </c>
      <c r="D119" s="1" t="s">
        <v>23</v>
      </c>
      <c r="E119" s="1" t="s">
        <v>12</v>
      </c>
      <c r="F119" s="1">
        <v>57</v>
      </c>
      <c r="G119" s="1">
        <v>45</v>
      </c>
      <c r="H119" s="1">
        <v>44</v>
      </c>
      <c r="I119" s="1">
        <v>57</v>
      </c>
    </row>
    <row r="120" spans="1:9" ht="13.2" x14ac:dyDescent="0.25">
      <c r="A120" s="1" t="s">
        <v>8</v>
      </c>
      <c r="B120" s="1" t="s">
        <v>13</v>
      </c>
      <c r="C120" s="1" t="s">
        <v>14</v>
      </c>
      <c r="D120" s="1" t="s">
        <v>11</v>
      </c>
      <c r="E120" s="1" t="s">
        <v>12</v>
      </c>
      <c r="F120" s="1">
        <v>55</v>
      </c>
      <c r="G120" s="1">
        <v>64</v>
      </c>
      <c r="H120" s="1">
        <v>61</v>
      </c>
      <c r="I120" s="1">
        <v>55</v>
      </c>
    </row>
    <row r="121" spans="1:9" ht="13.2" x14ac:dyDescent="0.25">
      <c r="A121" s="1" t="s">
        <v>19</v>
      </c>
      <c r="B121" s="1" t="s">
        <v>13</v>
      </c>
      <c r="C121" s="1" t="s">
        <v>22</v>
      </c>
      <c r="D121" s="1" t="s">
        <v>23</v>
      </c>
      <c r="E121" s="1" t="s">
        <v>12</v>
      </c>
      <c r="F121" s="1">
        <v>67</v>
      </c>
      <c r="G121" s="1">
        <v>60</v>
      </c>
      <c r="H121" s="1">
        <v>64</v>
      </c>
      <c r="I121" s="1">
        <v>67</v>
      </c>
    </row>
    <row r="122" spans="1:9" ht="13.2" x14ac:dyDescent="0.25">
      <c r="A122" s="1" t="s">
        <v>19</v>
      </c>
      <c r="B122" s="1" t="s">
        <v>18</v>
      </c>
      <c r="C122" s="1" t="s">
        <v>10</v>
      </c>
      <c r="D122" s="1" t="s">
        <v>11</v>
      </c>
      <c r="E122" s="1" t="s">
        <v>17</v>
      </c>
      <c r="F122" s="1">
        <v>66</v>
      </c>
      <c r="G122" s="1">
        <v>63</v>
      </c>
      <c r="H122" s="1">
        <v>67</v>
      </c>
      <c r="I122" s="1">
        <v>66</v>
      </c>
    </row>
    <row r="123" spans="1:9" ht="13.2" x14ac:dyDescent="0.25">
      <c r="A123" s="1" t="s">
        <v>8</v>
      </c>
      <c r="B123" s="1" t="s">
        <v>18</v>
      </c>
      <c r="C123" s="1" t="s">
        <v>20</v>
      </c>
      <c r="D123" s="1" t="s">
        <v>11</v>
      </c>
      <c r="E123" s="1" t="s">
        <v>12</v>
      </c>
      <c r="F123" s="1">
        <v>66</v>
      </c>
      <c r="G123" s="1">
        <v>69</v>
      </c>
      <c r="H123" s="1">
        <v>63</v>
      </c>
      <c r="I123" s="1">
        <v>66</v>
      </c>
    </row>
    <row r="124" spans="1:9" ht="13.2" x14ac:dyDescent="0.25">
      <c r="A124" s="1" t="s">
        <v>19</v>
      </c>
      <c r="B124" s="1" t="s">
        <v>9</v>
      </c>
      <c r="C124" s="1" t="s">
        <v>14</v>
      </c>
      <c r="D124" s="1" t="s">
        <v>23</v>
      </c>
      <c r="E124" s="1" t="s">
        <v>17</v>
      </c>
      <c r="F124" s="1">
        <v>55</v>
      </c>
      <c r="G124" s="1">
        <v>61</v>
      </c>
      <c r="H124" s="1">
        <v>55</v>
      </c>
      <c r="I124" s="1">
        <v>55</v>
      </c>
    </row>
    <row r="125" spans="1:9" ht="13.2" x14ac:dyDescent="0.25">
      <c r="A125" s="1" t="s">
        <v>8</v>
      </c>
      <c r="B125" s="1" t="s">
        <v>13</v>
      </c>
      <c r="C125" s="1" t="s">
        <v>24</v>
      </c>
      <c r="D125" s="1" t="s">
        <v>11</v>
      </c>
      <c r="E125" s="1" t="s">
        <v>12</v>
      </c>
      <c r="F125" s="1">
        <v>89</v>
      </c>
      <c r="G125" s="1">
        <v>97</v>
      </c>
      <c r="H125" s="1">
        <v>100</v>
      </c>
      <c r="I125" s="1">
        <v>89</v>
      </c>
    </row>
    <row r="126" spans="1:9" ht="13.2" x14ac:dyDescent="0.25">
      <c r="A126" s="1" t="s">
        <v>19</v>
      </c>
      <c r="B126" s="1" t="s">
        <v>18</v>
      </c>
      <c r="C126" s="1" t="s">
        <v>10</v>
      </c>
      <c r="D126" s="1" t="s">
        <v>11</v>
      </c>
      <c r="E126" s="1" t="s">
        <v>17</v>
      </c>
      <c r="F126" s="1">
        <v>53</v>
      </c>
      <c r="G126" s="1">
        <v>62</v>
      </c>
      <c r="H126" s="1">
        <v>56</v>
      </c>
      <c r="I126" s="1">
        <v>53</v>
      </c>
    </row>
    <row r="127" spans="1:9" ht="13.2" x14ac:dyDescent="0.25">
      <c r="A127" s="1" t="s">
        <v>8</v>
      </c>
      <c r="B127" s="1" t="s">
        <v>18</v>
      </c>
      <c r="C127" s="1" t="s">
        <v>22</v>
      </c>
      <c r="D127" s="1" t="s">
        <v>11</v>
      </c>
      <c r="E127" s="1" t="s">
        <v>12</v>
      </c>
      <c r="F127" s="1">
        <v>49</v>
      </c>
      <c r="G127" s="1">
        <v>53</v>
      </c>
      <c r="H127" s="1">
        <v>47</v>
      </c>
      <c r="I127" s="1">
        <v>49</v>
      </c>
    </row>
    <row r="128" spans="1:9" ht="13.2" x14ac:dyDescent="0.25">
      <c r="A128" s="1" t="s">
        <v>19</v>
      </c>
      <c r="B128" s="1" t="s">
        <v>13</v>
      </c>
      <c r="C128" s="1" t="s">
        <v>10</v>
      </c>
      <c r="D128" s="1" t="s">
        <v>11</v>
      </c>
      <c r="E128" s="1" t="s">
        <v>17</v>
      </c>
      <c r="F128" s="1">
        <v>66</v>
      </c>
      <c r="G128" s="1">
        <v>68</v>
      </c>
      <c r="H128" s="1">
        <v>70</v>
      </c>
      <c r="I128" s="1">
        <v>66</v>
      </c>
    </row>
    <row r="129" spans="1:9" ht="13.2" x14ac:dyDescent="0.25">
      <c r="A129" s="1" t="s">
        <v>8</v>
      </c>
      <c r="B129" s="1" t="s">
        <v>15</v>
      </c>
      <c r="C129" s="1" t="s">
        <v>14</v>
      </c>
      <c r="D129" s="1" t="s">
        <v>11</v>
      </c>
      <c r="E129" s="1" t="s">
        <v>12</v>
      </c>
      <c r="F129" s="1">
        <v>67</v>
      </c>
      <c r="G129" s="1">
        <v>78</v>
      </c>
      <c r="H129" s="1">
        <v>71</v>
      </c>
      <c r="I129" s="1">
        <v>67</v>
      </c>
    </row>
    <row r="130" spans="1:9" ht="13.2" x14ac:dyDescent="0.25">
      <c r="A130" s="1" t="s">
        <v>19</v>
      </c>
      <c r="B130" s="1" t="s">
        <v>15</v>
      </c>
      <c r="C130" s="1" t="s">
        <v>14</v>
      </c>
      <c r="D130" s="1" t="s">
        <v>11</v>
      </c>
      <c r="E130" s="1" t="s">
        <v>12</v>
      </c>
      <c r="F130" s="1">
        <v>67</v>
      </c>
      <c r="G130" s="1">
        <v>66</v>
      </c>
      <c r="H130" s="1">
        <v>62</v>
      </c>
      <c r="I130" s="1">
        <v>67</v>
      </c>
    </row>
    <row r="131" spans="1:9" ht="13.2" x14ac:dyDescent="0.25">
      <c r="A131" s="1" t="s">
        <v>19</v>
      </c>
      <c r="B131" s="1" t="s">
        <v>13</v>
      </c>
      <c r="C131" s="1" t="s">
        <v>16</v>
      </c>
      <c r="D131" s="1" t="s">
        <v>11</v>
      </c>
      <c r="E131" s="1" t="s">
        <v>17</v>
      </c>
      <c r="F131" s="1">
        <v>70</v>
      </c>
      <c r="G131" s="1">
        <v>68</v>
      </c>
      <c r="H131" s="1">
        <v>75</v>
      </c>
      <c r="I131" s="1">
        <v>70</v>
      </c>
    </row>
    <row r="132" spans="1:9" ht="13.2" x14ac:dyDescent="0.25">
      <c r="A132" s="1" t="s">
        <v>8</v>
      </c>
      <c r="B132" s="1" t="s">
        <v>18</v>
      </c>
      <c r="C132" s="1" t="s">
        <v>10</v>
      </c>
      <c r="D132" s="1" t="s">
        <v>23</v>
      </c>
      <c r="E132" s="1" t="s">
        <v>17</v>
      </c>
      <c r="F132" s="1">
        <v>49</v>
      </c>
      <c r="G132" s="1">
        <v>55</v>
      </c>
      <c r="H132" s="1">
        <v>51</v>
      </c>
      <c r="I132" s="1">
        <v>49</v>
      </c>
    </row>
    <row r="133" spans="1:9" ht="13.2" x14ac:dyDescent="0.25">
      <c r="A133" s="1" t="s">
        <v>19</v>
      </c>
      <c r="B133" s="1" t="s">
        <v>13</v>
      </c>
      <c r="C133" s="1" t="s">
        <v>10</v>
      </c>
      <c r="D133" s="1" t="s">
        <v>11</v>
      </c>
      <c r="E133" s="1" t="s">
        <v>17</v>
      </c>
      <c r="F133" s="1">
        <v>100</v>
      </c>
      <c r="G133" s="1">
        <v>91</v>
      </c>
      <c r="H133" s="1">
        <v>96</v>
      </c>
      <c r="I133" s="1">
        <v>100</v>
      </c>
    </row>
    <row r="134" spans="1:9" ht="13.2" x14ac:dyDescent="0.25">
      <c r="A134" s="1" t="s">
        <v>19</v>
      </c>
      <c r="B134" s="1" t="s">
        <v>13</v>
      </c>
      <c r="C134" s="1" t="s">
        <v>14</v>
      </c>
      <c r="D134" s="1" t="s">
        <v>23</v>
      </c>
      <c r="E134" s="1" t="s">
        <v>12</v>
      </c>
      <c r="F134" s="1">
        <v>74</v>
      </c>
      <c r="G134" s="1">
        <v>72</v>
      </c>
      <c r="H134" s="1">
        <v>72</v>
      </c>
      <c r="I134" s="1">
        <v>74</v>
      </c>
    </row>
    <row r="135" spans="1:9" ht="13.2" x14ac:dyDescent="0.25">
      <c r="A135" s="1" t="s">
        <v>19</v>
      </c>
      <c r="B135" s="1" t="s">
        <v>18</v>
      </c>
      <c r="C135" s="1" t="s">
        <v>22</v>
      </c>
      <c r="D135" s="1" t="s">
        <v>11</v>
      </c>
      <c r="E135" s="1" t="s">
        <v>12</v>
      </c>
      <c r="F135" s="1">
        <v>81</v>
      </c>
      <c r="G135" s="1">
        <v>87</v>
      </c>
      <c r="H135" s="1">
        <v>79</v>
      </c>
      <c r="I135" s="1">
        <v>81</v>
      </c>
    </row>
    <row r="136" spans="1:9" ht="13.2" x14ac:dyDescent="0.25">
      <c r="A136" s="1" t="s">
        <v>19</v>
      </c>
      <c r="B136" s="1" t="s">
        <v>18</v>
      </c>
      <c r="C136" s="1" t="s">
        <v>22</v>
      </c>
      <c r="D136" s="1" t="s">
        <v>23</v>
      </c>
      <c r="E136" s="1" t="s">
        <v>17</v>
      </c>
      <c r="F136" s="1">
        <v>62</v>
      </c>
      <c r="G136" s="1">
        <v>58</v>
      </c>
      <c r="H136" s="1">
        <v>57</v>
      </c>
      <c r="I136" s="1">
        <v>62</v>
      </c>
    </row>
    <row r="137" spans="1:9" ht="13.2" x14ac:dyDescent="0.25">
      <c r="A137" s="1" t="s">
        <v>19</v>
      </c>
      <c r="B137" s="1" t="s">
        <v>9</v>
      </c>
      <c r="C137" s="1" t="s">
        <v>14</v>
      </c>
      <c r="D137" s="1" t="s">
        <v>23</v>
      </c>
      <c r="E137" s="1" t="s">
        <v>17</v>
      </c>
      <c r="F137" s="1">
        <v>67</v>
      </c>
      <c r="G137" s="1">
        <v>67</v>
      </c>
      <c r="H137" s="1">
        <v>66</v>
      </c>
      <c r="I137" s="1">
        <v>67</v>
      </c>
    </row>
    <row r="138" spans="1:9" ht="13.2" x14ac:dyDescent="0.25">
      <c r="A138" s="1" t="s">
        <v>8</v>
      </c>
      <c r="B138" s="1" t="s">
        <v>13</v>
      </c>
      <c r="C138" s="1" t="s">
        <v>14</v>
      </c>
      <c r="D138" s="1" t="s">
        <v>23</v>
      </c>
      <c r="E138" s="1" t="s">
        <v>12</v>
      </c>
      <c r="F138" s="1">
        <v>60</v>
      </c>
      <c r="G138" s="1">
        <v>68</v>
      </c>
      <c r="H138" s="1">
        <v>65</v>
      </c>
      <c r="I138" s="1">
        <v>60</v>
      </c>
    </row>
    <row r="139" spans="1:9" ht="13.2" x14ac:dyDescent="0.25">
      <c r="A139" s="1" t="s">
        <v>8</v>
      </c>
      <c r="B139" s="1" t="s">
        <v>9</v>
      </c>
      <c r="C139" s="1" t="s">
        <v>16</v>
      </c>
      <c r="D139" s="1" t="s">
        <v>11</v>
      </c>
      <c r="E139" s="1" t="s">
        <v>17</v>
      </c>
      <c r="F139" s="1">
        <v>54</v>
      </c>
      <c r="G139" s="1">
        <v>65</v>
      </c>
      <c r="H139" s="1">
        <v>59</v>
      </c>
      <c r="I139" s="1">
        <v>54</v>
      </c>
    </row>
    <row r="140" spans="1:9" ht="13.2" x14ac:dyDescent="0.25">
      <c r="A140" s="1" t="s">
        <v>19</v>
      </c>
      <c r="B140" s="1" t="s">
        <v>9</v>
      </c>
      <c r="C140" s="1" t="s">
        <v>10</v>
      </c>
      <c r="D140" s="1" t="s">
        <v>23</v>
      </c>
      <c r="E140" s="1" t="s">
        <v>12</v>
      </c>
      <c r="F140" s="1">
        <v>51</v>
      </c>
      <c r="G140" s="1">
        <v>45</v>
      </c>
      <c r="H140" s="1">
        <v>42</v>
      </c>
      <c r="I140" s="1">
        <v>51</v>
      </c>
    </row>
    <row r="141" spans="1:9" ht="13.2" x14ac:dyDescent="0.25">
      <c r="A141" s="1" t="s">
        <v>19</v>
      </c>
      <c r="B141" s="1" t="s">
        <v>15</v>
      </c>
      <c r="C141" s="1" t="s">
        <v>10</v>
      </c>
      <c r="D141" s="1" t="s">
        <v>23</v>
      </c>
      <c r="E141" s="1" t="s">
        <v>12</v>
      </c>
      <c r="F141" s="1">
        <v>46</v>
      </c>
      <c r="G141" s="1">
        <v>48</v>
      </c>
      <c r="H141" s="1">
        <v>43</v>
      </c>
      <c r="I141" s="1">
        <v>46</v>
      </c>
    </row>
    <row r="142" spans="1:9" ht="13.2" x14ac:dyDescent="0.25">
      <c r="A142" s="1" t="s">
        <v>19</v>
      </c>
      <c r="B142" s="1" t="s">
        <v>9</v>
      </c>
      <c r="C142" s="1" t="s">
        <v>14</v>
      </c>
      <c r="D142" s="1" t="s">
        <v>23</v>
      </c>
      <c r="E142" s="1" t="s">
        <v>12</v>
      </c>
      <c r="F142" s="1">
        <v>71</v>
      </c>
      <c r="G142" s="1">
        <v>84</v>
      </c>
      <c r="H142" s="1">
        <v>72</v>
      </c>
      <c r="I142" s="1">
        <v>71</v>
      </c>
    </row>
    <row r="143" spans="1:9" ht="13.2" x14ac:dyDescent="0.25">
      <c r="A143" s="1" t="s">
        <v>19</v>
      </c>
      <c r="B143" s="1" t="s">
        <v>13</v>
      </c>
      <c r="C143" s="1" t="s">
        <v>10</v>
      </c>
      <c r="D143" s="1" t="s">
        <v>23</v>
      </c>
      <c r="E143" s="1" t="s">
        <v>12</v>
      </c>
      <c r="F143" s="1">
        <v>48</v>
      </c>
      <c r="G143" s="1">
        <v>50</v>
      </c>
      <c r="H143" s="1">
        <v>45</v>
      </c>
      <c r="I143" s="1">
        <v>48</v>
      </c>
    </row>
    <row r="144" spans="1:9" ht="13.2" x14ac:dyDescent="0.25">
      <c r="A144" s="1" t="s">
        <v>19</v>
      </c>
      <c r="B144" s="1" t="s">
        <v>9</v>
      </c>
      <c r="C144" s="1" t="s">
        <v>14</v>
      </c>
      <c r="D144" s="1" t="s">
        <v>11</v>
      </c>
      <c r="E144" s="1" t="s">
        <v>12</v>
      </c>
      <c r="F144" s="1">
        <v>74</v>
      </c>
      <c r="G144" s="1">
        <v>73</v>
      </c>
      <c r="H144" s="1">
        <v>69</v>
      </c>
      <c r="I144" s="1">
        <v>74</v>
      </c>
    </row>
    <row r="145" spans="1:9" ht="13.2" x14ac:dyDescent="0.25">
      <c r="A145" s="1" t="s">
        <v>19</v>
      </c>
      <c r="B145" s="1" t="s">
        <v>13</v>
      </c>
      <c r="C145" s="1" t="s">
        <v>10</v>
      </c>
      <c r="D145" s="1" t="s">
        <v>11</v>
      </c>
      <c r="E145" s="1" t="s">
        <v>12</v>
      </c>
      <c r="F145" s="1">
        <v>76</v>
      </c>
      <c r="G145" s="1">
        <v>75</v>
      </c>
      <c r="H145" s="1">
        <v>68</v>
      </c>
      <c r="I145" s="1">
        <v>76</v>
      </c>
    </row>
    <row r="146" spans="1:9" ht="13.2" x14ac:dyDescent="0.25">
      <c r="A146" s="1" t="s">
        <v>8</v>
      </c>
      <c r="B146" s="1" t="s">
        <v>13</v>
      </c>
      <c r="C146" s="1" t="s">
        <v>20</v>
      </c>
      <c r="D146" s="1" t="s">
        <v>23</v>
      </c>
      <c r="E146" s="1" t="s">
        <v>17</v>
      </c>
      <c r="F146" s="1">
        <v>70</v>
      </c>
      <c r="G146" s="1">
        <v>70</v>
      </c>
      <c r="H146" s="1">
        <v>83</v>
      </c>
      <c r="I146" s="1">
        <v>70</v>
      </c>
    </row>
    <row r="147" spans="1:9" ht="13.2" x14ac:dyDescent="0.25">
      <c r="A147" s="1" t="s">
        <v>19</v>
      </c>
      <c r="B147" s="1" t="s">
        <v>13</v>
      </c>
      <c r="C147" s="1" t="s">
        <v>16</v>
      </c>
      <c r="D147" s="1" t="s">
        <v>23</v>
      </c>
      <c r="E147" s="1" t="s">
        <v>12</v>
      </c>
      <c r="F147" s="1">
        <v>71</v>
      </c>
      <c r="G147" s="1">
        <v>72</v>
      </c>
      <c r="H147" s="1">
        <v>72</v>
      </c>
      <c r="I147" s="1">
        <v>71</v>
      </c>
    </row>
    <row r="148" spans="1:9" ht="13.2" x14ac:dyDescent="0.25">
      <c r="A148" s="1" t="s">
        <v>8</v>
      </c>
      <c r="B148" s="1" t="s">
        <v>9</v>
      </c>
      <c r="C148" s="1" t="s">
        <v>10</v>
      </c>
      <c r="D148" s="1" t="s">
        <v>11</v>
      </c>
      <c r="E148" s="1" t="s">
        <v>17</v>
      </c>
      <c r="F148" s="1">
        <v>61</v>
      </c>
      <c r="G148" s="1">
        <v>72</v>
      </c>
      <c r="H148" s="1">
        <v>76</v>
      </c>
      <c r="I148" s="1">
        <v>61</v>
      </c>
    </row>
    <row r="149" spans="1:9" ht="13.2" x14ac:dyDescent="0.25">
      <c r="A149" s="1" t="s">
        <v>19</v>
      </c>
      <c r="B149" s="1" t="s">
        <v>21</v>
      </c>
      <c r="C149" s="1" t="s">
        <v>16</v>
      </c>
      <c r="D149" s="1" t="s">
        <v>11</v>
      </c>
      <c r="E149" s="1" t="s">
        <v>12</v>
      </c>
      <c r="F149" s="1">
        <v>89</v>
      </c>
      <c r="G149" s="1">
        <v>86</v>
      </c>
      <c r="H149" s="1">
        <v>77</v>
      </c>
      <c r="I149" s="1">
        <v>89</v>
      </c>
    </row>
    <row r="150" spans="1:9" ht="13.2" x14ac:dyDescent="0.25">
      <c r="A150" s="1" t="s">
        <v>8</v>
      </c>
      <c r="B150" s="1" t="s">
        <v>18</v>
      </c>
      <c r="C150" s="1" t="s">
        <v>10</v>
      </c>
      <c r="D150" s="1" t="s">
        <v>23</v>
      </c>
      <c r="E150" s="1" t="s">
        <v>12</v>
      </c>
      <c r="F150" s="1">
        <v>43</v>
      </c>
      <c r="G150" s="1">
        <v>53</v>
      </c>
      <c r="H150" s="1">
        <v>49</v>
      </c>
      <c r="I150" s="1">
        <v>43</v>
      </c>
    </row>
    <row r="151" spans="1:9" ht="13.2" x14ac:dyDescent="0.25">
      <c r="A151" s="1" t="s">
        <v>19</v>
      </c>
      <c r="B151" s="1" t="s">
        <v>21</v>
      </c>
      <c r="C151" s="1" t="s">
        <v>24</v>
      </c>
      <c r="D151" s="1" t="s">
        <v>11</v>
      </c>
      <c r="E151" s="1" t="s">
        <v>17</v>
      </c>
      <c r="F151" s="1">
        <v>67</v>
      </c>
      <c r="G151" s="1">
        <v>60</v>
      </c>
      <c r="H151" s="1">
        <v>60</v>
      </c>
      <c r="I151" s="1">
        <v>67</v>
      </c>
    </row>
    <row r="152" spans="1:9" ht="13.2" x14ac:dyDescent="0.25">
      <c r="A152" s="1" t="s">
        <v>19</v>
      </c>
      <c r="B152" s="1" t="s">
        <v>21</v>
      </c>
      <c r="C152" s="1" t="s">
        <v>22</v>
      </c>
      <c r="D152" s="1" t="s">
        <v>11</v>
      </c>
      <c r="E152" s="1" t="s">
        <v>12</v>
      </c>
      <c r="F152" s="1">
        <v>58</v>
      </c>
      <c r="G152" s="1">
        <v>67</v>
      </c>
      <c r="H152" s="1">
        <v>56</v>
      </c>
      <c r="I152" s="1">
        <v>58</v>
      </c>
    </row>
    <row r="153" spans="1:9" ht="13.2" x14ac:dyDescent="0.25">
      <c r="A153" s="1" t="s">
        <v>19</v>
      </c>
      <c r="B153" s="1" t="s">
        <v>9</v>
      </c>
      <c r="C153" s="1" t="s">
        <v>14</v>
      </c>
      <c r="D153" s="1" t="s">
        <v>23</v>
      </c>
      <c r="E153" s="1" t="s">
        <v>17</v>
      </c>
      <c r="F153" s="1">
        <v>64</v>
      </c>
      <c r="G153" s="1">
        <v>60</v>
      </c>
      <c r="H153" s="1">
        <v>61</v>
      </c>
      <c r="I153" s="1">
        <v>64</v>
      </c>
    </row>
    <row r="154" spans="1:9" ht="13.2" x14ac:dyDescent="0.25">
      <c r="A154" s="1" t="s">
        <v>8</v>
      </c>
      <c r="B154" s="1" t="s">
        <v>18</v>
      </c>
      <c r="C154" s="1" t="s">
        <v>10</v>
      </c>
      <c r="D154" s="1" t="s">
        <v>11</v>
      </c>
      <c r="E154" s="1" t="s">
        <v>12</v>
      </c>
      <c r="F154" s="1">
        <v>71</v>
      </c>
      <c r="G154" s="1">
        <v>76</v>
      </c>
      <c r="H154" s="1">
        <v>79</v>
      </c>
      <c r="I154" s="1">
        <v>71</v>
      </c>
    </row>
    <row r="155" spans="1:9" ht="13.2" x14ac:dyDescent="0.25">
      <c r="A155" s="1" t="s">
        <v>19</v>
      </c>
      <c r="B155" s="1" t="s">
        <v>18</v>
      </c>
      <c r="C155" s="1" t="s">
        <v>14</v>
      </c>
      <c r="D155" s="1" t="s">
        <v>23</v>
      </c>
      <c r="E155" s="1" t="s">
        <v>17</v>
      </c>
      <c r="F155" s="1">
        <v>42</v>
      </c>
      <c r="G155" s="1">
        <v>54</v>
      </c>
      <c r="H155" s="1">
        <v>50</v>
      </c>
      <c r="I155" s="1">
        <v>42</v>
      </c>
    </row>
    <row r="156" spans="1:9" ht="13.2" x14ac:dyDescent="0.25">
      <c r="A156" s="1" t="s">
        <v>19</v>
      </c>
      <c r="B156" s="1" t="s">
        <v>9</v>
      </c>
      <c r="C156" s="1" t="s">
        <v>16</v>
      </c>
      <c r="D156" s="1" t="s">
        <v>11</v>
      </c>
      <c r="E156" s="1" t="s">
        <v>17</v>
      </c>
      <c r="F156" s="1">
        <v>92</v>
      </c>
      <c r="G156" s="1">
        <v>91</v>
      </c>
      <c r="H156" s="1">
        <v>92</v>
      </c>
      <c r="I156" s="1">
        <v>92</v>
      </c>
    </row>
    <row r="157" spans="1:9" ht="13.2" x14ac:dyDescent="0.25">
      <c r="A157" s="1" t="s">
        <v>19</v>
      </c>
      <c r="B157" s="1" t="s">
        <v>9</v>
      </c>
      <c r="C157" s="1" t="s">
        <v>16</v>
      </c>
      <c r="D157" s="1" t="s">
        <v>11</v>
      </c>
      <c r="E157" s="1" t="s">
        <v>12</v>
      </c>
      <c r="F157" s="1">
        <v>72</v>
      </c>
      <c r="G157" s="1">
        <v>72</v>
      </c>
      <c r="H157" s="1">
        <v>65</v>
      </c>
      <c r="I157" s="1">
        <v>72</v>
      </c>
    </row>
    <row r="158" spans="1:9" ht="13.2" x14ac:dyDescent="0.25">
      <c r="A158" s="1" t="s">
        <v>8</v>
      </c>
      <c r="B158" s="1" t="s">
        <v>18</v>
      </c>
      <c r="C158" s="1" t="s">
        <v>20</v>
      </c>
      <c r="D158" s="1" t="s">
        <v>23</v>
      </c>
      <c r="E158" s="1" t="s">
        <v>17</v>
      </c>
      <c r="F158" s="1">
        <v>47</v>
      </c>
      <c r="G158" s="1">
        <v>60</v>
      </c>
      <c r="H158" s="1">
        <v>54</v>
      </c>
      <c r="I158" s="1">
        <v>47</v>
      </c>
    </row>
    <row r="159" spans="1:9" ht="13.2" x14ac:dyDescent="0.25">
      <c r="A159" s="1" t="s">
        <v>8</v>
      </c>
      <c r="B159" s="1" t="s">
        <v>21</v>
      </c>
      <c r="C159" s="1" t="s">
        <v>14</v>
      </c>
      <c r="D159" s="1" t="s">
        <v>23</v>
      </c>
      <c r="E159" s="1" t="s">
        <v>12</v>
      </c>
      <c r="F159" s="1">
        <v>63</v>
      </c>
      <c r="G159" s="1">
        <v>59</v>
      </c>
      <c r="H159" s="1">
        <v>59</v>
      </c>
      <c r="I159" s="1">
        <v>63</v>
      </c>
    </row>
    <row r="160" spans="1:9" ht="13.2" x14ac:dyDescent="0.25">
      <c r="A160" s="1" t="s">
        <v>19</v>
      </c>
      <c r="B160" s="1" t="s">
        <v>9</v>
      </c>
      <c r="C160" s="1" t="s">
        <v>16</v>
      </c>
      <c r="D160" s="1" t="s">
        <v>23</v>
      </c>
      <c r="E160" s="1" t="s">
        <v>12</v>
      </c>
      <c r="F160" s="1">
        <v>35</v>
      </c>
      <c r="G160" s="1">
        <v>37</v>
      </c>
      <c r="H160" s="1">
        <v>41</v>
      </c>
      <c r="I160" s="1">
        <v>35</v>
      </c>
    </row>
    <row r="161" spans="1:9" ht="13.2" x14ac:dyDescent="0.25">
      <c r="A161" s="1" t="s">
        <v>19</v>
      </c>
      <c r="B161" s="1" t="s">
        <v>18</v>
      </c>
      <c r="C161" s="1" t="s">
        <v>14</v>
      </c>
      <c r="D161" s="1" t="s">
        <v>11</v>
      </c>
      <c r="E161" s="1" t="s">
        <v>12</v>
      </c>
      <c r="F161" s="1">
        <v>79</v>
      </c>
      <c r="G161" s="1">
        <v>66</v>
      </c>
      <c r="H161" s="1">
        <v>65</v>
      </c>
      <c r="I161" s="1">
        <v>79</v>
      </c>
    </row>
    <row r="162" spans="1:9" ht="13.2" x14ac:dyDescent="0.25">
      <c r="A162" s="1" t="s">
        <v>19</v>
      </c>
      <c r="B162" s="1" t="s">
        <v>15</v>
      </c>
      <c r="C162" s="1" t="s">
        <v>14</v>
      </c>
      <c r="D162" s="1" t="s">
        <v>11</v>
      </c>
      <c r="E162" s="1" t="s">
        <v>12</v>
      </c>
      <c r="F162" s="1">
        <v>70</v>
      </c>
      <c r="G162" s="1">
        <v>68</v>
      </c>
      <c r="H162" s="1">
        <v>60</v>
      </c>
      <c r="I162" s="1">
        <v>70</v>
      </c>
    </row>
    <row r="163" spans="1:9" ht="13.2" x14ac:dyDescent="0.25">
      <c r="A163" s="1" t="s">
        <v>8</v>
      </c>
      <c r="B163" s="1" t="s">
        <v>13</v>
      </c>
      <c r="C163" s="1" t="s">
        <v>20</v>
      </c>
      <c r="D163" s="1" t="s">
        <v>11</v>
      </c>
      <c r="E163" s="1" t="s">
        <v>12</v>
      </c>
      <c r="F163" s="1">
        <v>71</v>
      </c>
      <c r="G163" s="1">
        <v>73</v>
      </c>
      <c r="H163" s="1">
        <v>76</v>
      </c>
      <c r="I163" s="1">
        <v>71</v>
      </c>
    </row>
    <row r="164" spans="1:9" ht="13.2" x14ac:dyDescent="0.25">
      <c r="A164" s="1" t="s">
        <v>8</v>
      </c>
      <c r="B164" s="1" t="s">
        <v>15</v>
      </c>
      <c r="C164" s="1" t="s">
        <v>16</v>
      </c>
      <c r="D164" s="1" t="s">
        <v>11</v>
      </c>
      <c r="E164" s="1" t="s">
        <v>12</v>
      </c>
      <c r="F164" s="1">
        <v>85</v>
      </c>
      <c r="G164" s="1">
        <v>90</v>
      </c>
      <c r="H164" s="1">
        <v>85</v>
      </c>
      <c r="I164" s="1">
        <v>85</v>
      </c>
    </row>
    <row r="165" spans="1:9" ht="13.2" x14ac:dyDescent="0.25">
      <c r="A165" s="1" t="s">
        <v>8</v>
      </c>
      <c r="B165" s="1" t="s">
        <v>13</v>
      </c>
      <c r="C165" s="1" t="s">
        <v>10</v>
      </c>
      <c r="D165" s="1" t="s">
        <v>11</v>
      </c>
      <c r="E165" s="1" t="s">
        <v>17</v>
      </c>
      <c r="F165" s="1">
        <v>65</v>
      </c>
      <c r="G165" s="1">
        <v>71</v>
      </c>
      <c r="H165" s="1">
        <v>77</v>
      </c>
      <c r="I165" s="1">
        <v>65</v>
      </c>
    </row>
    <row r="166" spans="1:9" ht="13.2" x14ac:dyDescent="0.25">
      <c r="A166" s="1" t="s">
        <v>19</v>
      </c>
      <c r="B166" s="1" t="s">
        <v>13</v>
      </c>
      <c r="C166" s="1" t="s">
        <v>14</v>
      </c>
      <c r="D166" s="1" t="s">
        <v>11</v>
      </c>
      <c r="E166" s="1" t="s">
        <v>12</v>
      </c>
      <c r="F166" s="1">
        <v>61</v>
      </c>
      <c r="G166" s="1">
        <v>57</v>
      </c>
      <c r="H166" s="1">
        <v>45</v>
      </c>
      <c r="I166" s="1">
        <v>61</v>
      </c>
    </row>
    <row r="167" spans="1:9" ht="13.2" x14ac:dyDescent="0.25">
      <c r="A167" s="1" t="s">
        <v>8</v>
      </c>
      <c r="B167" s="1" t="s">
        <v>18</v>
      </c>
      <c r="C167" s="1" t="s">
        <v>14</v>
      </c>
      <c r="D167" s="1" t="s">
        <v>11</v>
      </c>
      <c r="E167" s="1" t="s">
        <v>12</v>
      </c>
      <c r="F167" s="1">
        <v>40</v>
      </c>
      <c r="G167" s="1">
        <v>48</v>
      </c>
      <c r="H167" s="1">
        <v>48</v>
      </c>
      <c r="I167" s="1">
        <v>40</v>
      </c>
    </row>
    <row r="168" spans="1:9" ht="13.2" x14ac:dyDescent="0.25">
      <c r="A168" s="1" t="s">
        <v>19</v>
      </c>
      <c r="B168" s="1" t="s">
        <v>13</v>
      </c>
      <c r="C168" s="1" t="s">
        <v>14</v>
      </c>
      <c r="D168" s="1" t="s">
        <v>11</v>
      </c>
      <c r="E168" s="1" t="s">
        <v>17</v>
      </c>
      <c r="F168" s="1">
        <v>65</v>
      </c>
      <c r="G168" s="1">
        <v>64</v>
      </c>
      <c r="H168" s="1">
        <v>65</v>
      </c>
      <c r="I168" s="1">
        <v>65</v>
      </c>
    </row>
    <row r="169" spans="1:9" ht="13.2" x14ac:dyDescent="0.25">
      <c r="A169" s="1" t="s">
        <v>8</v>
      </c>
      <c r="B169" s="1" t="s">
        <v>9</v>
      </c>
      <c r="C169" s="1" t="s">
        <v>24</v>
      </c>
      <c r="D169" s="1" t="s">
        <v>11</v>
      </c>
      <c r="E169" s="1" t="s">
        <v>12</v>
      </c>
      <c r="F169" s="1">
        <v>62</v>
      </c>
      <c r="G169" s="1">
        <v>77</v>
      </c>
      <c r="H169" s="1">
        <v>72</v>
      </c>
      <c r="I169" s="1">
        <v>62</v>
      </c>
    </row>
    <row r="170" spans="1:9" ht="13.2" x14ac:dyDescent="0.25">
      <c r="A170" s="1" t="s">
        <v>8</v>
      </c>
      <c r="B170" s="1" t="s">
        <v>9</v>
      </c>
      <c r="C170" s="1" t="s">
        <v>20</v>
      </c>
      <c r="D170" s="1" t="s">
        <v>11</v>
      </c>
      <c r="E170" s="1" t="s">
        <v>12</v>
      </c>
      <c r="F170" s="1">
        <v>65</v>
      </c>
      <c r="G170" s="1">
        <v>63</v>
      </c>
      <c r="H170" s="1">
        <v>68</v>
      </c>
      <c r="I170" s="1">
        <v>65</v>
      </c>
    </row>
    <row r="171" spans="1:9" ht="13.2" x14ac:dyDescent="0.25">
      <c r="A171" s="1" t="s">
        <v>8</v>
      </c>
      <c r="B171" s="1" t="s">
        <v>18</v>
      </c>
      <c r="C171" s="1" t="s">
        <v>10</v>
      </c>
      <c r="D171" s="1" t="s">
        <v>11</v>
      </c>
      <c r="E171" s="1" t="s">
        <v>12</v>
      </c>
      <c r="F171" s="1">
        <v>63</v>
      </c>
      <c r="G171" s="1">
        <v>67</v>
      </c>
      <c r="H171" s="1">
        <v>57</v>
      </c>
      <c r="I171" s="1">
        <v>63</v>
      </c>
    </row>
    <row r="172" spans="1:9" ht="13.2" x14ac:dyDescent="0.25">
      <c r="A172" s="1" t="s">
        <v>8</v>
      </c>
      <c r="B172" s="1" t="s">
        <v>21</v>
      </c>
      <c r="C172" s="1" t="s">
        <v>10</v>
      </c>
      <c r="D172" s="1" t="s">
        <v>11</v>
      </c>
      <c r="E172" s="1" t="s">
        <v>12</v>
      </c>
      <c r="F172" s="1">
        <v>72</v>
      </c>
      <c r="G172" s="1">
        <v>77</v>
      </c>
      <c r="H172" s="1">
        <v>74</v>
      </c>
      <c r="I172" s="1">
        <v>72</v>
      </c>
    </row>
    <row r="173" spans="1:9" ht="13.2" x14ac:dyDescent="0.25">
      <c r="A173" s="1" t="s">
        <v>19</v>
      </c>
      <c r="B173" s="1" t="s">
        <v>13</v>
      </c>
      <c r="C173" s="1" t="s">
        <v>16</v>
      </c>
      <c r="D173" s="1" t="s">
        <v>23</v>
      </c>
      <c r="E173" s="1" t="s">
        <v>12</v>
      </c>
      <c r="F173" s="1">
        <v>58</v>
      </c>
      <c r="G173" s="1">
        <v>59</v>
      </c>
      <c r="H173" s="1">
        <v>54</v>
      </c>
      <c r="I173" s="1">
        <v>58</v>
      </c>
    </row>
    <row r="174" spans="1:9" ht="13.2" x14ac:dyDescent="0.25">
      <c r="A174" s="1" t="s">
        <v>8</v>
      </c>
      <c r="B174" s="1" t="s">
        <v>9</v>
      </c>
      <c r="C174" s="1" t="s">
        <v>14</v>
      </c>
      <c r="D174" s="1" t="s">
        <v>11</v>
      </c>
      <c r="E174" s="1" t="s">
        <v>17</v>
      </c>
      <c r="F174" s="1">
        <v>53</v>
      </c>
      <c r="G174" s="1">
        <v>70</v>
      </c>
      <c r="H174" s="1">
        <v>64</v>
      </c>
      <c r="I174" s="1">
        <v>53</v>
      </c>
    </row>
    <row r="175" spans="1:9" ht="13.2" x14ac:dyDescent="0.25">
      <c r="A175" s="1" t="s">
        <v>8</v>
      </c>
      <c r="B175" s="1" t="s">
        <v>13</v>
      </c>
      <c r="C175" s="1" t="s">
        <v>22</v>
      </c>
      <c r="D175" s="1" t="s">
        <v>11</v>
      </c>
      <c r="E175" s="1" t="s">
        <v>12</v>
      </c>
      <c r="F175" s="1">
        <v>51</v>
      </c>
      <c r="G175" s="1">
        <v>63</v>
      </c>
      <c r="H175" s="1">
        <v>59</v>
      </c>
      <c r="I175" s="1">
        <v>51</v>
      </c>
    </row>
    <row r="176" spans="1:9" ht="13.2" x14ac:dyDescent="0.25">
      <c r="A176" s="1" t="s">
        <v>8</v>
      </c>
      <c r="B176" s="1" t="s">
        <v>18</v>
      </c>
      <c r="C176" s="1" t="s">
        <v>14</v>
      </c>
      <c r="D176" s="1" t="s">
        <v>11</v>
      </c>
      <c r="E176" s="1" t="s">
        <v>12</v>
      </c>
      <c r="F176" s="1">
        <v>74</v>
      </c>
      <c r="G176" s="1">
        <v>83</v>
      </c>
      <c r="H176" s="1">
        <v>82</v>
      </c>
      <c r="I176" s="1">
        <v>74</v>
      </c>
    </row>
    <row r="177" spans="1:9" ht="13.2" x14ac:dyDescent="0.25">
      <c r="A177" s="1" t="s">
        <v>8</v>
      </c>
      <c r="B177" s="1" t="s">
        <v>13</v>
      </c>
      <c r="C177" s="1" t="s">
        <v>22</v>
      </c>
      <c r="D177" s="1" t="s">
        <v>23</v>
      </c>
      <c r="E177" s="1" t="s">
        <v>17</v>
      </c>
      <c r="F177" s="1">
        <v>54</v>
      </c>
      <c r="G177" s="1">
        <v>74</v>
      </c>
      <c r="H177" s="1">
        <v>68</v>
      </c>
      <c r="I177" s="1">
        <v>54</v>
      </c>
    </row>
    <row r="178" spans="1:9" ht="13.2" x14ac:dyDescent="0.25">
      <c r="A178" s="1" t="s">
        <v>8</v>
      </c>
      <c r="B178" s="1" t="s">
        <v>13</v>
      </c>
      <c r="C178" s="1" t="s">
        <v>24</v>
      </c>
      <c r="D178" s="1" t="s">
        <v>11</v>
      </c>
      <c r="E178" s="1" t="s">
        <v>12</v>
      </c>
      <c r="F178" s="1">
        <v>67</v>
      </c>
      <c r="G178" s="1">
        <v>79</v>
      </c>
      <c r="H178" s="1">
        <v>74</v>
      </c>
      <c r="I178" s="1">
        <v>67</v>
      </c>
    </row>
    <row r="179" spans="1:9" ht="13.2" x14ac:dyDescent="0.25">
      <c r="A179" s="1" t="s">
        <v>8</v>
      </c>
      <c r="B179" s="1" t="s">
        <v>18</v>
      </c>
      <c r="C179" s="1" t="s">
        <v>14</v>
      </c>
      <c r="D179" s="1" t="s">
        <v>11</v>
      </c>
      <c r="E179" s="1" t="s">
        <v>12</v>
      </c>
      <c r="F179" s="1">
        <v>73</v>
      </c>
      <c r="G179" s="1">
        <v>87</v>
      </c>
      <c r="H179" s="1">
        <v>88</v>
      </c>
      <c r="I179" s="1">
        <v>73</v>
      </c>
    </row>
    <row r="180" spans="1:9" ht="13.2" x14ac:dyDescent="0.25">
      <c r="A180" s="1" t="s">
        <v>8</v>
      </c>
      <c r="B180" s="1" t="s">
        <v>13</v>
      </c>
      <c r="C180" s="1" t="s">
        <v>14</v>
      </c>
      <c r="D180" s="1" t="s">
        <v>11</v>
      </c>
      <c r="E180" s="1" t="s">
        <v>12</v>
      </c>
      <c r="F180" s="1">
        <v>76</v>
      </c>
      <c r="G180" s="1">
        <v>93</v>
      </c>
      <c r="H180" s="1">
        <v>91</v>
      </c>
      <c r="I180" s="1">
        <v>76</v>
      </c>
    </row>
    <row r="181" spans="1:9" ht="13.2" x14ac:dyDescent="0.25">
      <c r="A181" s="1" t="s">
        <v>8</v>
      </c>
      <c r="B181" s="1" t="s">
        <v>18</v>
      </c>
      <c r="C181" s="1" t="s">
        <v>10</v>
      </c>
      <c r="D181" s="1" t="s">
        <v>23</v>
      </c>
      <c r="E181" s="1" t="s">
        <v>12</v>
      </c>
      <c r="F181" s="1">
        <v>42</v>
      </c>
      <c r="G181" s="1">
        <v>49</v>
      </c>
      <c r="H181" s="1">
        <v>54</v>
      </c>
      <c r="I181" s="1">
        <v>42</v>
      </c>
    </row>
    <row r="182" spans="1:9" ht="13.2" x14ac:dyDescent="0.25">
      <c r="A182" s="1" t="s">
        <v>8</v>
      </c>
      <c r="B182" s="1" t="s">
        <v>18</v>
      </c>
      <c r="C182" s="1" t="s">
        <v>20</v>
      </c>
      <c r="D182" s="1" t="s">
        <v>11</v>
      </c>
      <c r="E182" s="1" t="s">
        <v>12</v>
      </c>
      <c r="F182" s="1">
        <v>56</v>
      </c>
      <c r="G182" s="1">
        <v>55</v>
      </c>
      <c r="H182" s="1">
        <v>59</v>
      </c>
      <c r="I182" s="1">
        <v>56</v>
      </c>
    </row>
    <row r="183" spans="1:9" ht="13.2" x14ac:dyDescent="0.25">
      <c r="A183" s="1" t="s">
        <v>19</v>
      </c>
      <c r="B183" s="1" t="s">
        <v>15</v>
      </c>
      <c r="C183" s="1" t="s">
        <v>22</v>
      </c>
      <c r="D183" s="1" t="s">
        <v>11</v>
      </c>
      <c r="E183" s="1" t="s">
        <v>17</v>
      </c>
      <c r="F183" s="1">
        <v>87</v>
      </c>
      <c r="G183" s="1">
        <v>80</v>
      </c>
      <c r="H183" s="1">
        <v>84</v>
      </c>
      <c r="I183" s="1">
        <v>87</v>
      </c>
    </row>
    <row r="184" spans="1:9" ht="13.2" x14ac:dyDescent="0.25">
      <c r="A184" s="1" t="s">
        <v>19</v>
      </c>
      <c r="B184" s="1" t="s">
        <v>21</v>
      </c>
      <c r="C184" s="1" t="s">
        <v>16</v>
      </c>
      <c r="D184" s="1" t="s">
        <v>23</v>
      </c>
      <c r="E184" s="1" t="s">
        <v>12</v>
      </c>
      <c r="F184" s="1">
        <v>72</v>
      </c>
      <c r="G184" s="1">
        <v>69</v>
      </c>
      <c r="H184" s="1">
        <v>64</v>
      </c>
      <c r="I184" s="1">
        <v>72</v>
      </c>
    </row>
    <row r="185" spans="1:9" ht="13.2" x14ac:dyDescent="0.25">
      <c r="A185" s="1" t="s">
        <v>19</v>
      </c>
      <c r="B185" s="1" t="s">
        <v>18</v>
      </c>
      <c r="C185" s="1" t="s">
        <v>14</v>
      </c>
      <c r="D185" s="1" t="s">
        <v>11</v>
      </c>
      <c r="E185" s="1" t="s">
        <v>12</v>
      </c>
      <c r="F185" s="1">
        <v>81</v>
      </c>
      <c r="G185" s="1">
        <v>87</v>
      </c>
      <c r="H185" s="1">
        <v>72</v>
      </c>
      <c r="I185" s="1">
        <v>81</v>
      </c>
    </row>
    <row r="186" spans="1:9" ht="13.2" x14ac:dyDescent="0.25">
      <c r="A186" s="1" t="s">
        <v>19</v>
      </c>
      <c r="B186" s="1" t="s">
        <v>13</v>
      </c>
      <c r="C186" s="1" t="s">
        <v>20</v>
      </c>
      <c r="D186" s="1" t="s">
        <v>23</v>
      </c>
      <c r="E186" s="1" t="s">
        <v>17</v>
      </c>
      <c r="F186" s="1">
        <v>91</v>
      </c>
      <c r="G186" s="1">
        <v>91</v>
      </c>
      <c r="H186" s="1">
        <v>97</v>
      </c>
      <c r="I186" s="1">
        <v>91</v>
      </c>
    </row>
    <row r="187" spans="1:9" ht="13.2" x14ac:dyDescent="0.25">
      <c r="A187" s="1" t="s">
        <v>19</v>
      </c>
      <c r="B187" s="1" t="s">
        <v>13</v>
      </c>
      <c r="C187" s="1" t="s">
        <v>14</v>
      </c>
      <c r="D187" s="1" t="s">
        <v>11</v>
      </c>
      <c r="E187" s="1" t="s">
        <v>12</v>
      </c>
      <c r="F187" s="1">
        <v>83</v>
      </c>
      <c r="G187" s="1">
        <v>76</v>
      </c>
      <c r="H187" s="1">
        <v>79</v>
      </c>
      <c r="I187" s="1">
        <v>83</v>
      </c>
    </row>
    <row r="188" spans="1:9" ht="13.2" x14ac:dyDescent="0.25">
      <c r="A188" s="1" t="s">
        <v>19</v>
      </c>
      <c r="B188" s="1" t="s">
        <v>21</v>
      </c>
      <c r="C188" s="1" t="s">
        <v>16</v>
      </c>
      <c r="D188" s="1" t="s">
        <v>23</v>
      </c>
      <c r="E188" s="1" t="s">
        <v>12</v>
      </c>
      <c r="F188" s="1">
        <v>79</v>
      </c>
      <c r="G188" s="1">
        <v>71</v>
      </c>
      <c r="H188" s="1">
        <v>72</v>
      </c>
      <c r="I188" s="1">
        <v>79</v>
      </c>
    </row>
    <row r="189" spans="1:9" ht="13.2" x14ac:dyDescent="0.25">
      <c r="A189" s="1" t="s">
        <v>8</v>
      </c>
      <c r="B189" s="1" t="s">
        <v>9</v>
      </c>
      <c r="C189" s="1" t="s">
        <v>14</v>
      </c>
      <c r="D189" s="1" t="s">
        <v>11</v>
      </c>
      <c r="E189" s="1" t="s">
        <v>12</v>
      </c>
      <c r="F189" s="1">
        <v>58</v>
      </c>
      <c r="G189" s="1">
        <v>59</v>
      </c>
      <c r="H189" s="1">
        <v>57</v>
      </c>
      <c r="I189" s="1">
        <v>58</v>
      </c>
    </row>
    <row r="190" spans="1:9" ht="13.2" x14ac:dyDescent="0.25">
      <c r="A190" s="1" t="s">
        <v>19</v>
      </c>
      <c r="B190" s="1" t="s">
        <v>9</v>
      </c>
      <c r="C190" s="1" t="s">
        <v>14</v>
      </c>
      <c r="D190" s="1" t="s">
        <v>23</v>
      </c>
      <c r="E190" s="1" t="s">
        <v>17</v>
      </c>
      <c r="F190" s="1">
        <v>82</v>
      </c>
      <c r="G190" s="1">
        <v>83</v>
      </c>
      <c r="H190" s="1">
        <v>84</v>
      </c>
      <c r="I190" s="1">
        <v>82</v>
      </c>
    </row>
    <row r="191" spans="1:9" ht="13.2" x14ac:dyDescent="0.25">
      <c r="A191" s="1" t="s">
        <v>8</v>
      </c>
      <c r="B191" s="1" t="s">
        <v>18</v>
      </c>
      <c r="C191" s="1" t="s">
        <v>14</v>
      </c>
      <c r="D191" s="1" t="s">
        <v>23</v>
      </c>
      <c r="E191" s="1" t="s">
        <v>12</v>
      </c>
      <c r="F191" s="1">
        <v>57</v>
      </c>
      <c r="G191" s="1">
        <v>70</v>
      </c>
      <c r="H191" s="1">
        <v>68</v>
      </c>
      <c r="I191" s="1">
        <v>57</v>
      </c>
    </row>
    <row r="192" spans="1:9" ht="13.2" x14ac:dyDescent="0.25">
      <c r="A192" s="1" t="s">
        <v>19</v>
      </c>
      <c r="B192" s="1" t="s">
        <v>13</v>
      </c>
      <c r="C192" s="1" t="s">
        <v>22</v>
      </c>
      <c r="D192" s="1" t="s">
        <v>11</v>
      </c>
      <c r="E192" s="1" t="s">
        <v>17</v>
      </c>
      <c r="F192" s="1">
        <v>60</v>
      </c>
      <c r="G192" s="1">
        <v>53</v>
      </c>
      <c r="H192" s="1">
        <v>52</v>
      </c>
      <c r="I192" s="1">
        <v>60</v>
      </c>
    </row>
    <row r="193" spans="1:9" ht="13.2" x14ac:dyDescent="0.25">
      <c r="A193" s="1" t="s">
        <v>8</v>
      </c>
      <c r="B193" s="1" t="s">
        <v>13</v>
      </c>
      <c r="C193" s="1" t="s">
        <v>10</v>
      </c>
      <c r="D193" s="1" t="s">
        <v>11</v>
      </c>
      <c r="E193" s="1" t="s">
        <v>12</v>
      </c>
      <c r="F193" s="1">
        <v>56</v>
      </c>
      <c r="G193" s="1">
        <v>62</v>
      </c>
      <c r="H193" s="1">
        <v>64</v>
      </c>
      <c r="I193" s="1">
        <v>56</v>
      </c>
    </row>
    <row r="194" spans="1:9" ht="13.2" x14ac:dyDescent="0.25">
      <c r="A194" s="1" t="s">
        <v>8</v>
      </c>
      <c r="B194" s="1" t="s">
        <v>18</v>
      </c>
      <c r="C194" s="1" t="s">
        <v>16</v>
      </c>
      <c r="D194" s="1" t="s">
        <v>11</v>
      </c>
      <c r="E194" s="1" t="s">
        <v>17</v>
      </c>
      <c r="F194" s="1">
        <v>68</v>
      </c>
      <c r="G194" s="1">
        <v>88</v>
      </c>
      <c r="H194" s="1">
        <v>87</v>
      </c>
      <c r="I194" s="1">
        <v>68</v>
      </c>
    </row>
    <row r="195" spans="1:9" ht="13.2" x14ac:dyDescent="0.25">
      <c r="A195" s="1" t="s">
        <v>8</v>
      </c>
      <c r="B195" s="1" t="s">
        <v>18</v>
      </c>
      <c r="C195" s="1" t="s">
        <v>10</v>
      </c>
      <c r="D195" s="1" t="s">
        <v>23</v>
      </c>
      <c r="E195" s="1" t="s">
        <v>12</v>
      </c>
      <c r="F195" s="1">
        <v>28</v>
      </c>
      <c r="G195" s="1">
        <v>47</v>
      </c>
      <c r="H195" s="1">
        <v>44</v>
      </c>
      <c r="I195" s="1">
        <v>28</v>
      </c>
    </row>
    <row r="196" spans="1:9" ht="13.2" x14ac:dyDescent="0.25">
      <c r="A196" s="1" t="s">
        <v>8</v>
      </c>
      <c r="B196" s="1" t="s">
        <v>21</v>
      </c>
      <c r="C196" s="1" t="s">
        <v>22</v>
      </c>
      <c r="D196" s="1" t="s">
        <v>23</v>
      </c>
      <c r="E196" s="1" t="s">
        <v>12</v>
      </c>
      <c r="F196" s="1">
        <v>75</v>
      </c>
      <c r="G196" s="1">
        <v>89</v>
      </c>
      <c r="H196" s="1">
        <v>82</v>
      </c>
      <c r="I196" s="1">
        <v>75</v>
      </c>
    </row>
    <row r="197" spans="1:9" ht="13.2" x14ac:dyDescent="0.25">
      <c r="A197" s="1" t="s">
        <v>8</v>
      </c>
      <c r="B197" s="1" t="s">
        <v>21</v>
      </c>
      <c r="C197" s="1" t="s">
        <v>22</v>
      </c>
      <c r="D197" s="1" t="s">
        <v>11</v>
      </c>
      <c r="E197" s="1" t="s">
        <v>12</v>
      </c>
      <c r="F197" s="1">
        <v>60</v>
      </c>
      <c r="G197" s="1">
        <v>69</v>
      </c>
      <c r="H197" s="1">
        <v>67</v>
      </c>
      <c r="I197" s="1">
        <v>60</v>
      </c>
    </row>
    <row r="198" spans="1:9" ht="13.2" x14ac:dyDescent="0.25">
      <c r="A198" s="1" t="s">
        <v>19</v>
      </c>
      <c r="B198" s="1" t="s">
        <v>21</v>
      </c>
      <c r="C198" s="1" t="s">
        <v>14</v>
      </c>
      <c r="D198" s="1" t="s">
        <v>23</v>
      </c>
      <c r="E198" s="1" t="s">
        <v>12</v>
      </c>
      <c r="F198" s="1">
        <v>70</v>
      </c>
      <c r="G198" s="1">
        <v>62</v>
      </c>
      <c r="H198" s="1">
        <v>60</v>
      </c>
      <c r="I198" s="1">
        <v>70</v>
      </c>
    </row>
    <row r="199" spans="1:9" ht="13.2" x14ac:dyDescent="0.25">
      <c r="A199" s="1" t="s">
        <v>19</v>
      </c>
      <c r="B199" s="1" t="s">
        <v>18</v>
      </c>
      <c r="C199" s="1" t="s">
        <v>16</v>
      </c>
      <c r="D199" s="1" t="s">
        <v>11</v>
      </c>
      <c r="E199" s="1" t="s">
        <v>12</v>
      </c>
      <c r="F199" s="1">
        <v>79</v>
      </c>
      <c r="G199" s="1">
        <v>69</v>
      </c>
      <c r="H199" s="1">
        <v>72</v>
      </c>
      <c r="I199" s="1">
        <v>79</v>
      </c>
    </row>
    <row r="200" spans="1:9" ht="13.2" x14ac:dyDescent="0.25">
      <c r="A200" s="1" t="s">
        <v>19</v>
      </c>
      <c r="B200" s="1" t="s">
        <v>21</v>
      </c>
      <c r="C200" s="1" t="s">
        <v>20</v>
      </c>
      <c r="D200" s="1" t="s">
        <v>11</v>
      </c>
      <c r="E200" s="1" t="s">
        <v>12</v>
      </c>
      <c r="F200" s="1">
        <v>83</v>
      </c>
      <c r="G200" s="1">
        <v>78</v>
      </c>
      <c r="H200" s="1">
        <v>74</v>
      </c>
      <c r="I200" s="1">
        <v>83</v>
      </c>
    </row>
    <row r="201" spans="1:9" ht="13.2" x14ac:dyDescent="0.25">
      <c r="A201" s="1" t="s">
        <v>8</v>
      </c>
      <c r="B201" s="1" t="s">
        <v>9</v>
      </c>
      <c r="C201" s="1" t="s">
        <v>14</v>
      </c>
      <c r="D201" s="1" t="s">
        <v>11</v>
      </c>
      <c r="E201" s="1" t="s">
        <v>12</v>
      </c>
      <c r="F201" s="1">
        <v>70</v>
      </c>
      <c r="G201" s="1">
        <v>81</v>
      </c>
      <c r="H201" s="1">
        <v>75</v>
      </c>
      <c r="I201" s="1">
        <v>70</v>
      </c>
    </row>
    <row r="202" spans="1:9" ht="13.2" x14ac:dyDescent="0.25">
      <c r="A202" s="1" t="s">
        <v>19</v>
      </c>
      <c r="B202" s="1" t="s">
        <v>13</v>
      </c>
      <c r="C202" s="1" t="s">
        <v>10</v>
      </c>
      <c r="D202" s="1" t="s">
        <v>11</v>
      </c>
      <c r="E202" s="1" t="s">
        <v>12</v>
      </c>
      <c r="F202" s="1">
        <v>57</v>
      </c>
      <c r="G202" s="1">
        <v>47</v>
      </c>
      <c r="H202" s="1">
        <v>41</v>
      </c>
      <c r="I202" s="1">
        <v>57</v>
      </c>
    </row>
    <row r="203" spans="1:9" ht="13.2" x14ac:dyDescent="0.25">
      <c r="A203" s="1" t="s">
        <v>8</v>
      </c>
      <c r="B203" s="1" t="s">
        <v>9</v>
      </c>
      <c r="C203" s="1" t="s">
        <v>16</v>
      </c>
      <c r="D203" s="1" t="s">
        <v>11</v>
      </c>
      <c r="E203" s="1" t="s">
        <v>12</v>
      </c>
      <c r="F203" s="1">
        <v>65</v>
      </c>
      <c r="G203" s="1">
        <v>71</v>
      </c>
      <c r="H203" s="1">
        <v>67</v>
      </c>
      <c r="I203" s="1">
        <v>65</v>
      </c>
    </row>
    <row r="204" spans="1:9" ht="13.2" x14ac:dyDescent="0.25">
      <c r="A204" s="1" t="s">
        <v>19</v>
      </c>
      <c r="B204" s="1" t="s">
        <v>18</v>
      </c>
      <c r="C204" s="1" t="s">
        <v>22</v>
      </c>
      <c r="D204" s="1" t="s">
        <v>11</v>
      </c>
      <c r="E204" s="1" t="s">
        <v>12</v>
      </c>
      <c r="F204" s="1">
        <v>87</v>
      </c>
      <c r="G204" s="1">
        <v>73</v>
      </c>
      <c r="H204" s="1">
        <v>73</v>
      </c>
      <c r="I204" s="1">
        <v>87</v>
      </c>
    </row>
    <row r="205" spans="1:9" ht="13.2" x14ac:dyDescent="0.25">
      <c r="A205" s="1" t="s">
        <v>8</v>
      </c>
      <c r="B205" s="1" t="s">
        <v>9</v>
      </c>
      <c r="C205" s="1" t="s">
        <v>16</v>
      </c>
      <c r="D205" s="1" t="s">
        <v>23</v>
      </c>
      <c r="E205" s="1" t="s">
        <v>12</v>
      </c>
      <c r="F205" s="1">
        <v>76</v>
      </c>
      <c r="G205" s="1">
        <v>86</v>
      </c>
      <c r="H205" s="1">
        <v>82</v>
      </c>
      <c r="I205" s="1">
        <v>76</v>
      </c>
    </row>
    <row r="206" spans="1:9" ht="13.2" x14ac:dyDescent="0.25">
      <c r="A206" s="1" t="s">
        <v>8</v>
      </c>
      <c r="B206" s="1" t="s">
        <v>9</v>
      </c>
      <c r="C206" s="1" t="s">
        <v>24</v>
      </c>
      <c r="D206" s="1" t="s">
        <v>11</v>
      </c>
      <c r="E206" s="1" t="s">
        <v>17</v>
      </c>
      <c r="F206" s="1">
        <v>100</v>
      </c>
      <c r="G206" s="1">
        <v>100</v>
      </c>
      <c r="H206" s="1">
        <v>100</v>
      </c>
      <c r="I206" s="1">
        <v>100</v>
      </c>
    </row>
    <row r="207" spans="1:9" ht="13.2" x14ac:dyDescent="0.25">
      <c r="A207" s="1" t="s">
        <v>19</v>
      </c>
      <c r="B207" s="1" t="s">
        <v>13</v>
      </c>
      <c r="C207" s="1" t="s">
        <v>14</v>
      </c>
      <c r="D207" s="1" t="s">
        <v>23</v>
      </c>
      <c r="E207" s="1" t="s">
        <v>17</v>
      </c>
      <c r="F207" s="1">
        <v>81</v>
      </c>
      <c r="G207" s="1">
        <v>86</v>
      </c>
      <c r="H207" s="1">
        <v>82</v>
      </c>
      <c r="I207" s="1">
        <v>81</v>
      </c>
    </row>
    <row r="208" spans="1:9" ht="13.2" x14ac:dyDescent="0.25">
      <c r="A208" s="1" t="s">
        <v>19</v>
      </c>
      <c r="B208" s="1" t="s">
        <v>15</v>
      </c>
      <c r="C208" s="1" t="s">
        <v>16</v>
      </c>
      <c r="D208" s="1" t="s">
        <v>11</v>
      </c>
      <c r="E208" s="1" t="s">
        <v>17</v>
      </c>
      <c r="F208" s="1">
        <v>82</v>
      </c>
      <c r="G208" s="1">
        <v>75</v>
      </c>
      <c r="H208" s="1">
        <v>79</v>
      </c>
      <c r="I208" s="1">
        <v>82</v>
      </c>
    </row>
    <row r="209" spans="1:9" ht="13.2" x14ac:dyDescent="0.25">
      <c r="A209" s="1" t="s">
        <v>8</v>
      </c>
      <c r="B209" s="1" t="s">
        <v>18</v>
      </c>
      <c r="C209" s="1" t="s">
        <v>10</v>
      </c>
      <c r="D209" s="1" t="s">
        <v>23</v>
      </c>
      <c r="E209" s="1" t="s">
        <v>12</v>
      </c>
      <c r="F209" s="1">
        <v>36</v>
      </c>
      <c r="G209" s="1">
        <v>52</v>
      </c>
      <c r="H209" s="1">
        <v>43</v>
      </c>
      <c r="I209" s="1">
        <v>36</v>
      </c>
    </row>
    <row r="210" spans="1:9" ht="13.2" x14ac:dyDescent="0.25">
      <c r="A210" s="1" t="s">
        <v>19</v>
      </c>
      <c r="B210" s="1" t="s">
        <v>13</v>
      </c>
      <c r="C210" s="1" t="s">
        <v>10</v>
      </c>
      <c r="D210" s="1" t="s">
        <v>11</v>
      </c>
      <c r="E210" s="1" t="s">
        <v>17</v>
      </c>
      <c r="F210" s="1">
        <v>43</v>
      </c>
      <c r="G210" s="1">
        <v>48</v>
      </c>
      <c r="H210" s="1">
        <v>48</v>
      </c>
      <c r="I210" s="1">
        <v>43</v>
      </c>
    </row>
    <row r="211" spans="1:9" ht="13.2" x14ac:dyDescent="0.25">
      <c r="A211" s="1" t="s">
        <v>8</v>
      </c>
      <c r="B211" s="1" t="s">
        <v>13</v>
      </c>
      <c r="C211" s="1" t="s">
        <v>10</v>
      </c>
      <c r="D211" s="1" t="s">
        <v>11</v>
      </c>
      <c r="E211" s="1" t="s">
        <v>17</v>
      </c>
      <c r="F211" s="1">
        <v>75</v>
      </c>
      <c r="G211" s="1">
        <v>71</v>
      </c>
      <c r="H211" s="1">
        <v>77</v>
      </c>
      <c r="I211" s="1">
        <v>75</v>
      </c>
    </row>
    <row r="212" spans="1:9" ht="13.2" x14ac:dyDescent="0.25">
      <c r="A212" s="1" t="s">
        <v>8</v>
      </c>
      <c r="B212" s="1" t="s">
        <v>18</v>
      </c>
      <c r="C212" s="1" t="s">
        <v>16</v>
      </c>
      <c r="D212" s="1" t="s">
        <v>11</v>
      </c>
      <c r="E212" s="1" t="s">
        <v>12</v>
      </c>
      <c r="F212" s="1">
        <v>73</v>
      </c>
      <c r="G212" s="1">
        <v>74</v>
      </c>
      <c r="H212" s="1">
        <v>79</v>
      </c>
      <c r="I212" s="1">
        <v>73</v>
      </c>
    </row>
    <row r="213" spans="1:9" ht="13.2" x14ac:dyDescent="0.25">
      <c r="A213" s="1" t="s">
        <v>19</v>
      </c>
      <c r="B213" s="1" t="s">
        <v>18</v>
      </c>
      <c r="C213" s="1" t="s">
        <v>22</v>
      </c>
      <c r="D213" s="1" t="s">
        <v>11</v>
      </c>
      <c r="E213" s="1" t="s">
        <v>12</v>
      </c>
      <c r="F213" s="1">
        <v>86</v>
      </c>
      <c r="G213" s="1">
        <v>71</v>
      </c>
      <c r="H213" s="1">
        <v>76</v>
      </c>
      <c r="I213" s="1">
        <v>86</v>
      </c>
    </row>
    <row r="214" spans="1:9" ht="13.2" x14ac:dyDescent="0.25">
      <c r="A214" s="1" t="s">
        <v>19</v>
      </c>
      <c r="B214" s="1" t="s">
        <v>9</v>
      </c>
      <c r="C214" s="1" t="s">
        <v>20</v>
      </c>
      <c r="D214" s="1" t="s">
        <v>11</v>
      </c>
      <c r="E214" s="1" t="s">
        <v>12</v>
      </c>
      <c r="F214" s="1">
        <v>70</v>
      </c>
      <c r="G214" s="1">
        <v>68</v>
      </c>
      <c r="H214" s="1">
        <v>61</v>
      </c>
      <c r="I214" s="1">
        <v>70</v>
      </c>
    </row>
    <row r="215" spans="1:9" ht="13.2" x14ac:dyDescent="0.25">
      <c r="A215" s="1" t="s">
        <v>19</v>
      </c>
      <c r="B215" s="1" t="s">
        <v>18</v>
      </c>
      <c r="C215" s="1" t="s">
        <v>24</v>
      </c>
      <c r="D215" s="1" t="s">
        <v>11</v>
      </c>
      <c r="E215" s="1" t="s">
        <v>12</v>
      </c>
      <c r="F215" s="1">
        <v>64</v>
      </c>
      <c r="G215" s="1">
        <v>62</v>
      </c>
      <c r="H215" s="1">
        <v>64</v>
      </c>
      <c r="I215" s="1">
        <v>64</v>
      </c>
    </row>
    <row r="216" spans="1:9" ht="13.2" x14ac:dyDescent="0.25">
      <c r="A216" s="1" t="s">
        <v>19</v>
      </c>
      <c r="B216" s="1" t="s">
        <v>18</v>
      </c>
      <c r="C216" s="1" t="s">
        <v>22</v>
      </c>
      <c r="D216" s="1" t="s">
        <v>11</v>
      </c>
      <c r="E216" s="1" t="s">
        <v>17</v>
      </c>
      <c r="F216" s="1">
        <v>80</v>
      </c>
      <c r="G216" s="1">
        <v>85</v>
      </c>
      <c r="H216" s="1">
        <v>88</v>
      </c>
      <c r="I216" s="1">
        <v>80</v>
      </c>
    </row>
    <row r="217" spans="1:9" ht="13.2" x14ac:dyDescent="0.25">
      <c r="A217" s="1" t="s">
        <v>8</v>
      </c>
      <c r="B217" s="1" t="s">
        <v>18</v>
      </c>
      <c r="C217" s="1" t="s">
        <v>10</v>
      </c>
      <c r="D217" s="1" t="s">
        <v>23</v>
      </c>
      <c r="E217" s="1" t="s">
        <v>17</v>
      </c>
      <c r="F217" s="1">
        <v>36</v>
      </c>
      <c r="G217" s="1">
        <v>43</v>
      </c>
      <c r="H217" s="1">
        <v>47</v>
      </c>
      <c r="I217" s="1">
        <v>36</v>
      </c>
    </row>
    <row r="218" spans="1:9" ht="13.2" x14ac:dyDescent="0.25">
      <c r="A218" s="1" t="s">
        <v>8</v>
      </c>
      <c r="B218" s="1" t="s">
        <v>13</v>
      </c>
      <c r="C218" s="1" t="s">
        <v>14</v>
      </c>
      <c r="D218" s="1" t="s">
        <v>11</v>
      </c>
      <c r="E218" s="1" t="s">
        <v>17</v>
      </c>
      <c r="F218" s="1">
        <v>86</v>
      </c>
      <c r="G218" s="1">
        <v>100</v>
      </c>
      <c r="H218" s="1">
        <v>97</v>
      </c>
      <c r="I218" s="1">
        <v>86</v>
      </c>
    </row>
    <row r="219" spans="1:9" ht="13.2" x14ac:dyDescent="0.25">
      <c r="A219" s="1" t="s">
        <v>19</v>
      </c>
      <c r="B219" s="1" t="s">
        <v>21</v>
      </c>
      <c r="C219" s="1" t="s">
        <v>16</v>
      </c>
      <c r="D219" s="1" t="s">
        <v>11</v>
      </c>
      <c r="E219" s="1" t="s">
        <v>12</v>
      </c>
      <c r="F219" s="1">
        <v>56</v>
      </c>
      <c r="G219" s="1">
        <v>49</v>
      </c>
      <c r="H219" s="1">
        <v>51</v>
      </c>
      <c r="I219" s="1">
        <v>56</v>
      </c>
    </row>
    <row r="220" spans="1:9" ht="13.2" x14ac:dyDescent="0.25">
      <c r="A220" s="1" t="s">
        <v>8</v>
      </c>
      <c r="B220" s="1" t="s">
        <v>13</v>
      </c>
      <c r="C220" s="1" t="s">
        <v>16</v>
      </c>
      <c r="D220" s="1" t="s">
        <v>23</v>
      </c>
      <c r="E220" s="1" t="s">
        <v>12</v>
      </c>
      <c r="F220" s="1">
        <v>77</v>
      </c>
      <c r="G220" s="1">
        <v>85</v>
      </c>
      <c r="H220" s="1">
        <v>91</v>
      </c>
      <c r="I220" s="1">
        <v>77</v>
      </c>
    </row>
    <row r="221" spans="1:9" ht="13.2" x14ac:dyDescent="0.25">
      <c r="A221" s="1" t="s">
        <v>8</v>
      </c>
      <c r="B221" s="1" t="s">
        <v>9</v>
      </c>
      <c r="C221" s="1" t="s">
        <v>14</v>
      </c>
      <c r="D221" s="1" t="s">
        <v>23</v>
      </c>
      <c r="E221" s="1" t="s">
        <v>12</v>
      </c>
      <c r="F221" s="1">
        <v>38</v>
      </c>
      <c r="G221" s="1">
        <v>54</v>
      </c>
      <c r="H221" s="1">
        <v>49</v>
      </c>
      <c r="I221" s="1">
        <v>38</v>
      </c>
    </row>
    <row r="222" spans="1:9" ht="13.2" x14ac:dyDescent="0.25">
      <c r="A222" s="1" t="s">
        <v>8</v>
      </c>
      <c r="B222" s="1" t="s">
        <v>15</v>
      </c>
      <c r="C222" s="1" t="s">
        <v>14</v>
      </c>
      <c r="D222" s="1" t="s">
        <v>11</v>
      </c>
      <c r="E222" s="1" t="s">
        <v>12</v>
      </c>
      <c r="F222" s="1">
        <v>53</v>
      </c>
      <c r="G222" s="1">
        <v>50</v>
      </c>
      <c r="H222" s="1">
        <v>51</v>
      </c>
      <c r="I222" s="1">
        <v>53</v>
      </c>
    </row>
    <row r="223" spans="1:9" ht="13.2" x14ac:dyDescent="0.25">
      <c r="A223" s="1" t="s">
        <v>19</v>
      </c>
      <c r="B223" s="1" t="s">
        <v>21</v>
      </c>
      <c r="C223" s="1" t="s">
        <v>10</v>
      </c>
      <c r="D223" s="1" t="s">
        <v>23</v>
      </c>
      <c r="E223" s="1" t="s">
        <v>12</v>
      </c>
      <c r="F223" s="1">
        <v>53</v>
      </c>
      <c r="G223" s="1">
        <v>56</v>
      </c>
      <c r="H223" s="1">
        <v>48</v>
      </c>
      <c r="I223" s="1">
        <v>53</v>
      </c>
    </row>
    <row r="224" spans="1:9" ht="13.2" x14ac:dyDescent="0.25">
      <c r="A224" s="1" t="s">
        <v>19</v>
      </c>
      <c r="B224" s="1" t="s">
        <v>18</v>
      </c>
      <c r="C224" s="1" t="s">
        <v>16</v>
      </c>
      <c r="D224" s="1" t="s">
        <v>11</v>
      </c>
      <c r="E224" s="1" t="s">
        <v>12</v>
      </c>
      <c r="F224" s="1">
        <v>69</v>
      </c>
      <c r="G224" s="1">
        <v>58</v>
      </c>
      <c r="H224" s="1">
        <v>62</v>
      </c>
      <c r="I224" s="1">
        <v>69</v>
      </c>
    </row>
    <row r="225" spans="1:9" ht="13.2" x14ac:dyDescent="0.25">
      <c r="A225" s="1" t="s">
        <v>8</v>
      </c>
      <c r="B225" s="1" t="s">
        <v>18</v>
      </c>
      <c r="C225" s="1" t="s">
        <v>22</v>
      </c>
      <c r="D225" s="1" t="s">
        <v>11</v>
      </c>
      <c r="E225" s="1" t="s">
        <v>17</v>
      </c>
      <c r="F225" s="1">
        <v>55</v>
      </c>
      <c r="G225" s="1">
        <v>64</v>
      </c>
      <c r="H225" s="1">
        <v>64</v>
      </c>
      <c r="I225" s="1">
        <v>55</v>
      </c>
    </row>
    <row r="226" spans="1:9" ht="13.2" x14ac:dyDescent="0.25">
      <c r="A226" s="1" t="s">
        <v>19</v>
      </c>
      <c r="B226" s="1" t="s">
        <v>18</v>
      </c>
      <c r="C226" s="1" t="s">
        <v>10</v>
      </c>
      <c r="D226" s="1" t="s">
        <v>11</v>
      </c>
      <c r="E226" s="1" t="s">
        <v>12</v>
      </c>
      <c r="F226" s="1">
        <v>53</v>
      </c>
      <c r="G226" s="1">
        <v>50</v>
      </c>
      <c r="H226" s="1">
        <v>41</v>
      </c>
      <c r="I226" s="1">
        <v>53</v>
      </c>
    </row>
    <row r="227" spans="1:9" ht="13.2" x14ac:dyDescent="0.25">
      <c r="A227" s="1" t="s">
        <v>19</v>
      </c>
      <c r="B227" s="1" t="s">
        <v>21</v>
      </c>
      <c r="C227" s="1" t="s">
        <v>10</v>
      </c>
      <c r="D227" s="1" t="s">
        <v>11</v>
      </c>
      <c r="E227" s="1" t="s">
        <v>17</v>
      </c>
      <c r="F227" s="1">
        <v>61</v>
      </c>
      <c r="G227" s="1">
        <v>53</v>
      </c>
      <c r="H227" s="1">
        <v>48</v>
      </c>
      <c r="I227" s="1">
        <v>61</v>
      </c>
    </row>
    <row r="228" spans="1:9" ht="13.2" x14ac:dyDescent="0.25">
      <c r="A228" s="1" t="s">
        <v>8</v>
      </c>
      <c r="B228" s="1" t="s">
        <v>9</v>
      </c>
      <c r="C228" s="1" t="s">
        <v>16</v>
      </c>
      <c r="D228" s="1" t="s">
        <v>11</v>
      </c>
      <c r="E228" s="1" t="s">
        <v>12</v>
      </c>
      <c r="F228" s="1">
        <v>44</v>
      </c>
      <c r="G228" s="1">
        <v>50</v>
      </c>
      <c r="H228" s="1">
        <v>44</v>
      </c>
      <c r="I228" s="1">
        <v>44</v>
      </c>
    </row>
    <row r="229" spans="1:9" ht="13.2" x14ac:dyDescent="0.25">
      <c r="A229" s="1" t="s">
        <v>19</v>
      </c>
      <c r="B229" s="1" t="s">
        <v>21</v>
      </c>
      <c r="C229" s="1" t="s">
        <v>14</v>
      </c>
      <c r="D229" s="1" t="s">
        <v>23</v>
      </c>
      <c r="E229" s="1" t="s">
        <v>12</v>
      </c>
      <c r="F229" s="1">
        <v>49</v>
      </c>
      <c r="G229" s="1">
        <v>59</v>
      </c>
      <c r="H229" s="1">
        <v>46</v>
      </c>
      <c r="I229" s="1">
        <v>49</v>
      </c>
    </row>
    <row r="230" spans="1:9" ht="13.2" x14ac:dyDescent="0.25">
      <c r="A230" s="1" t="s">
        <v>19</v>
      </c>
      <c r="B230" s="1" t="s">
        <v>9</v>
      </c>
      <c r="C230" s="1" t="s">
        <v>10</v>
      </c>
      <c r="D230" s="1" t="s">
        <v>11</v>
      </c>
      <c r="E230" s="1" t="s">
        <v>12</v>
      </c>
      <c r="F230" s="1">
        <v>60</v>
      </c>
      <c r="G230" s="1">
        <v>59</v>
      </c>
      <c r="H230" s="1">
        <v>55</v>
      </c>
      <c r="I230" s="1">
        <v>60</v>
      </c>
    </row>
    <row r="231" spans="1:9" ht="13.2" x14ac:dyDescent="0.25">
      <c r="A231" s="1" t="s">
        <v>8</v>
      </c>
      <c r="B231" s="1" t="s">
        <v>9</v>
      </c>
      <c r="C231" s="1" t="s">
        <v>14</v>
      </c>
      <c r="D231" s="1" t="s">
        <v>11</v>
      </c>
      <c r="E231" s="1" t="s">
        <v>17</v>
      </c>
      <c r="F231" s="1">
        <v>59</v>
      </c>
      <c r="G231" s="1">
        <v>63</v>
      </c>
      <c r="H231" s="1">
        <v>71</v>
      </c>
      <c r="I231" s="1">
        <v>59</v>
      </c>
    </row>
    <row r="232" spans="1:9" ht="13.2" x14ac:dyDescent="0.25">
      <c r="A232" s="1" t="s">
        <v>19</v>
      </c>
      <c r="B232" s="1" t="s">
        <v>18</v>
      </c>
      <c r="C232" s="1" t="s">
        <v>16</v>
      </c>
      <c r="D232" s="1" t="s">
        <v>11</v>
      </c>
      <c r="E232" s="1" t="s">
        <v>17</v>
      </c>
      <c r="F232" s="1">
        <v>68</v>
      </c>
      <c r="G232" s="1">
        <v>66</v>
      </c>
      <c r="H232" s="1">
        <v>65</v>
      </c>
      <c r="I232" s="1">
        <v>68</v>
      </c>
    </row>
    <row r="233" spans="1:9" ht="13.2" x14ac:dyDescent="0.25">
      <c r="A233" s="1" t="s">
        <v>8</v>
      </c>
      <c r="B233" s="1" t="s">
        <v>21</v>
      </c>
      <c r="C233" s="1" t="s">
        <v>20</v>
      </c>
      <c r="D233" s="1" t="s">
        <v>11</v>
      </c>
      <c r="E233" s="1" t="s">
        <v>17</v>
      </c>
      <c r="F233" s="1">
        <v>93</v>
      </c>
      <c r="G233" s="1">
        <v>94</v>
      </c>
      <c r="H233" s="1">
        <v>97</v>
      </c>
      <c r="I233" s="1">
        <v>93</v>
      </c>
    </row>
    <row r="234" spans="1:9" ht="13.2" x14ac:dyDescent="0.25">
      <c r="A234" s="1" t="s">
        <v>19</v>
      </c>
      <c r="B234" s="1" t="s">
        <v>13</v>
      </c>
      <c r="C234" s="1" t="s">
        <v>14</v>
      </c>
      <c r="D234" s="1" t="s">
        <v>23</v>
      </c>
      <c r="E234" s="1" t="s">
        <v>12</v>
      </c>
      <c r="F234" s="1">
        <v>61</v>
      </c>
      <c r="G234" s="1">
        <v>67</v>
      </c>
      <c r="H234" s="1">
        <v>60</v>
      </c>
      <c r="I234" s="1">
        <v>61</v>
      </c>
    </row>
    <row r="235" spans="1:9" ht="13.2" x14ac:dyDescent="0.25">
      <c r="A235" s="1" t="s">
        <v>8</v>
      </c>
      <c r="B235" s="1" t="s">
        <v>9</v>
      </c>
      <c r="C235" s="1" t="s">
        <v>14</v>
      </c>
      <c r="D235" s="1" t="s">
        <v>11</v>
      </c>
      <c r="E235" s="1" t="s">
        <v>12</v>
      </c>
      <c r="F235" s="1">
        <v>71</v>
      </c>
      <c r="G235" s="1">
        <v>72</v>
      </c>
      <c r="H235" s="1">
        <v>78</v>
      </c>
      <c r="I235" s="1">
        <v>71</v>
      </c>
    </row>
    <row r="236" spans="1:9" ht="13.2" x14ac:dyDescent="0.25">
      <c r="A236" s="1" t="s">
        <v>19</v>
      </c>
      <c r="B236" s="1" t="s">
        <v>9</v>
      </c>
      <c r="C236" s="1" t="s">
        <v>22</v>
      </c>
      <c r="D236" s="1" t="s">
        <v>11</v>
      </c>
      <c r="E236" s="1" t="s">
        <v>12</v>
      </c>
      <c r="F236" s="1">
        <v>61</v>
      </c>
      <c r="G236" s="1">
        <v>55</v>
      </c>
      <c r="H236" s="1">
        <v>54</v>
      </c>
      <c r="I236" s="1">
        <v>61</v>
      </c>
    </row>
    <row r="237" spans="1:9" ht="13.2" x14ac:dyDescent="0.25">
      <c r="A237" s="1" t="s">
        <v>8</v>
      </c>
      <c r="B237" s="1" t="s">
        <v>18</v>
      </c>
      <c r="C237" s="1" t="s">
        <v>20</v>
      </c>
      <c r="D237" s="1" t="s">
        <v>23</v>
      </c>
      <c r="E237" s="1" t="s">
        <v>12</v>
      </c>
      <c r="F237" s="1">
        <v>45</v>
      </c>
      <c r="G237" s="1">
        <v>55</v>
      </c>
      <c r="H237" s="1">
        <v>58</v>
      </c>
      <c r="I237" s="1">
        <v>45</v>
      </c>
    </row>
    <row r="238" spans="1:9" ht="13.2" x14ac:dyDescent="0.25">
      <c r="A238" s="1" t="s">
        <v>8</v>
      </c>
      <c r="B238" s="1" t="s">
        <v>18</v>
      </c>
      <c r="C238" s="1" t="s">
        <v>14</v>
      </c>
      <c r="D238" s="1" t="s">
        <v>23</v>
      </c>
      <c r="E238" s="1" t="s">
        <v>12</v>
      </c>
      <c r="F238" s="1">
        <v>41</v>
      </c>
      <c r="G238" s="1">
        <v>55</v>
      </c>
      <c r="H238" s="1">
        <v>46</v>
      </c>
      <c r="I238" s="1">
        <v>41</v>
      </c>
    </row>
    <row r="239" spans="1:9" ht="13.2" x14ac:dyDescent="0.25">
      <c r="A239" s="1" t="s">
        <v>19</v>
      </c>
      <c r="B239" s="1" t="s">
        <v>9</v>
      </c>
      <c r="C239" s="1" t="s">
        <v>22</v>
      </c>
      <c r="D239" s="1" t="s">
        <v>11</v>
      </c>
      <c r="E239" s="1" t="s">
        <v>12</v>
      </c>
      <c r="F239" s="1">
        <v>47</v>
      </c>
      <c r="G239" s="1">
        <v>41</v>
      </c>
      <c r="H239" s="1">
        <v>36</v>
      </c>
      <c r="I239" s="1">
        <v>47</v>
      </c>
    </row>
    <row r="240" spans="1:9" ht="13.2" x14ac:dyDescent="0.25">
      <c r="A240" s="1" t="s">
        <v>8</v>
      </c>
      <c r="B240" s="1" t="s">
        <v>13</v>
      </c>
      <c r="C240" s="1" t="s">
        <v>16</v>
      </c>
      <c r="D240" s="1" t="s">
        <v>11</v>
      </c>
      <c r="E240" s="1" t="s">
        <v>12</v>
      </c>
      <c r="F240" s="1">
        <v>54</v>
      </c>
      <c r="G240" s="1">
        <v>53</v>
      </c>
      <c r="H240" s="1">
        <v>51</v>
      </c>
      <c r="I240" s="1">
        <v>54</v>
      </c>
    </row>
    <row r="241" spans="1:9" ht="13.2" x14ac:dyDescent="0.25">
      <c r="A241" s="1" t="s">
        <v>19</v>
      </c>
      <c r="B241" s="1" t="s">
        <v>15</v>
      </c>
      <c r="C241" s="1" t="s">
        <v>14</v>
      </c>
      <c r="D241" s="1" t="s">
        <v>11</v>
      </c>
      <c r="E241" s="1" t="s">
        <v>12</v>
      </c>
      <c r="F241" s="1">
        <v>64</v>
      </c>
      <c r="G241" s="1">
        <v>63</v>
      </c>
      <c r="H241" s="1">
        <v>55</v>
      </c>
      <c r="I241" s="1">
        <v>64</v>
      </c>
    </row>
    <row r="242" spans="1:9" ht="13.2" x14ac:dyDescent="0.25">
      <c r="A242" s="1" t="s">
        <v>19</v>
      </c>
      <c r="B242" s="1" t="s">
        <v>15</v>
      </c>
      <c r="C242" s="1" t="s">
        <v>22</v>
      </c>
      <c r="D242" s="1" t="s">
        <v>11</v>
      </c>
      <c r="E242" s="1" t="s">
        <v>12</v>
      </c>
      <c r="F242" s="1">
        <v>60</v>
      </c>
      <c r="G242" s="1">
        <v>54</v>
      </c>
      <c r="H242" s="1">
        <v>53</v>
      </c>
      <c r="I242" s="1">
        <v>60</v>
      </c>
    </row>
    <row r="243" spans="1:9" ht="13.2" x14ac:dyDescent="0.25">
      <c r="A243" s="1" t="s">
        <v>19</v>
      </c>
      <c r="B243" s="1" t="s">
        <v>13</v>
      </c>
      <c r="C243" s="1" t="s">
        <v>14</v>
      </c>
      <c r="D243" s="1" t="s">
        <v>11</v>
      </c>
      <c r="E243" s="1" t="s">
        <v>12</v>
      </c>
      <c r="F243" s="1">
        <v>72</v>
      </c>
      <c r="G243" s="1">
        <v>70</v>
      </c>
      <c r="H243" s="1">
        <v>63</v>
      </c>
      <c r="I243" s="1">
        <v>72</v>
      </c>
    </row>
    <row r="244" spans="1:9" ht="13.2" x14ac:dyDescent="0.25">
      <c r="A244" s="1" t="s">
        <v>8</v>
      </c>
      <c r="B244" s="1" t="s">
        <v>13</v>
      </c>
      <c r="C244" s="1" t="s">
        <v>16</v>
      </c>
      <c r="D244" s="1" t="s">
        <v>11</v>
      </c>
      <c r="E244" s="1" t="s">
        <v>12</v>
      </c>
      <c r="F244" s="1">
        <v>61</v>
      </c>
      <c r="G244" s="1">
        <v>65</v>
      </c>
      <c r="H244" s="1">
        <v>68</v>
      </c>
      <c r="I244" s="1">
        <v>61</v>
      </c>
    </row>
    <row r="245" spans="1:9" ht="13.2" x14ac:dyDescent="0.25">
      <c r="A245" s="1" t="s">
        <v>8</v>
      </c>
      <c r="B245" s="1" t="s">
        <v>18</v>
      </c>
      <c r="C245" s="1" t="s">
        <v>14</v>
      </c>
      <c r="D245" s="1" t="s">
        <v>23</v>
      </c>
      <c r="E245" s="1" t="s">
        <v>12</v>
      </c>
      <c r="F245" s="1">
        <v>35</v>
      </c>
      <c r="G245" s="1">
        <v>48</v>
      </c>
      <c r="H245" s="1">
        <v>51</v>
      </c>
      <c r="I245" s="1">
        <v>35</v>
      </c>
    </row>
    <row r="246" spans="1:9" ht="13.2" x14ac:dyDescent="0.25">
      <c r="A246" s="1" t="s">
        <v>19</v>
      </c>
      <c r="B246" s="1" t="s">
        <v>15</v>
      </c>
      <c r="C246" s="1" t="s">
        <v>24</v>
      </c>
      <c r="D246" s="1" t="s">
        <v>11</v>
      </c>
      <c r="E246" s="1" t="s">
        <v>12</v>
      </c>
      <c r="F246" s="1">
        <v>82</v>
      </c>
      <c r="G246" s="1">
        <v>84</v>
      </c>
      <c r="H246" s="1">
        <v>83</v>
      </c>
      <c r="I246" s="1">
        <v>82</v>
      </c>
    </row>
    <row r="247" spans="1:9" ht="13.2" x14ac:dyDescent="0.25">
      <c r="A247" s="1" t="s">
        <v>8</v>
      </c>
      <c r="B247" s="1" t="s">
        <v>18</v>
      </c>
      <c r="C247" s="1" t="s">
        <v>16</v>
      </c>
      <c r="D247" s="1" t="s">
        <v>11</v>
      </c>
      <c r="E247" s="1" t="s">
        <v>12</v>
      </c>
      <c r="F247" s="1">
        <v>67</v>
      </c>
      <c r="G247" s="1">
        <v>83</v>
      </c>
      <c r="H247" s="1">
        <v>80</v>
      </c>
      <c r="I247" s="1">
        <v>67</v>
      </c>
    </row>
    <row r="248" spans="1:9" ht="13.2" x14ac:dyDescent="0.25">
      <c r="A248" s="1" t="s">
        <v>19</v>
      </c>
      <c r="B248" s="1" t="s">
        <v>13</v>
      </c>
      <c r="C248" s="1" t="s">
        <v>22</v>
      </c>
      <c r="D248" s="1" t="s">
        <v>11</v>
      </c>
      <c r="E248" s="1" t="s">
        <v>17</v>
      </c>
      <c r="F248" s="1">
        <v>76</v>
      </c>
      <c r="G248" s="1">
        <v>72</v>
      </c>
      <c r="H248" s="1">
        <v>73</v>
      </c>
      <c r="I248" s="1">
        <v>76</v>
      </c>
    </row>
    <row r="249" spans="1:9" ht="13.2" x14ac:dyDescent="0.25">
      <c r="A249" s="1" t="s">
        <v>8</v>
      </c>
      <c r="B249" s="1" t="s">
        <v>18</v>
      </c>
      <c r="C249" s="1" t="s">
        <v>16</v>
      </c>
      <c r="D249" s="1" t="s">
        <v>23</v>
      </c>
      <c r="E249" s="1" t="s">
        <v>12</v>
      </c>
      <c r="F249" s="1">
        <v>46</v>
      </c>
      <c r="G249" s="1">
        <v>62</v>
      </c>
      <c r="H249" s="1">
        <v>63</v>
      </c>
      <c r="I249" s="1">
        <v>46</v>
      </c>
    </row>
    <row r="250" spans="1:9" ht="13.2" x14ac:dyDescent="0.25">
      <c r="A250" s="1" t="s">
        <v>19</v>
      </c>
      <c r="B250" s="1" t="s">
        <v>9</v>
      </c>
      <c r="C250" s="1" t="s">
        <v>10</v>
      </c>
      <c r="D250" s="1" t="s">
        <v>23</v>
      </c>
      <c r="E250" s="1" t="s">
        <v>17</v>
      </c>
      <c r="F250" s="1">
        <v>64</v>
      </c>
      <c r="G250" s="1">
        <v>65</v>
      </c>
      <c r="H250" s="1">
        <v>63</v>
      </c>
      <c r="I250" s="1">
        <v>64</v>
      </c>
    </row>
    <row r="251" spans="1:9" ht="13.2" x14ac:dyDescent="0.25">
      <c r="A251" s="1" t="s">
        <v>8</v>
      </c>
      <c r="B251" s="1" t="s">
        <v>9</v>
      </c>
      <c r="C251" s="1" t="s">
        <v>20</v>
      </c>
      <c r="D251" s="1" t="s">
        <v>23</v>
      </c>
      <c r="E251" s="1" t="s">
        <v>17</v>
      </c>
      <c r="F251" s="1">
        <v>32</v>
      </c>
      <c r="G251" s="1">
        <v>55</v>
      </c>
      <c r="H251" s="1">
        <v>54</v>
      </c>
      <c r="I251" s="1">
        <v>32</v>
      </c>
    </row>
    <row r="252" spans="1:9" ht="13.2" x14ac:dyDescent="0.25">
      <c r="A252" s="1" t="s">
        <v>19</v>
      </c>
      <c r="B252" s="1" t="s">
        <v>13</v>
      </c>
      <c r="C252" s="1" t="s">
        <v>10</v>
      </c>
      <c r="D252" s="1" t="s">
        <v>11</v>
      </c>
      <c r="E252" s="1" t="s">
        <v>12</v>
      </c>
      <c r="F252" s="1">
        <v>56</v>
      </c>
      <c r="G252" s="1">
        <v>50</v>
      </c>
      <c r="H252" s="1">
        <v>50</v>
      </c>
      <c r="I252" s="1">
        <v>56</v>
      </c>
    </row>
    <row r="253" spans="1:9" ht="13.2" x14ac:dyDescent="0.25">
      <c r="A253" s="1" t="s">
        <v>19</v>
      </c>
      <c r="B253" s="1" t="s">
        <v>9</v>
      </c>
      <c r="C253" s="1" t="s">
        <v>16</v>
      </c>
      <c r="D253" s="1" t="s">
        <v>11</v>
      </c>
      <c r="E253" s="1" t="s">
        <v>12</v>
      </c>
      <c r="F253" s="1">
        <v>100</v>
      </c>
      <c r="G253" s="1">
        <v>79</v>
      </c>
      <c r="H253" s="1">
        <v>77</v>
      </c>
      <c r="I253" s="1">
        <v>100</v>
      </c>
    </row>
    <row r="254" spans="1:9" ht="13.2" x14ac:dyDescent="0.25">
      <c r="A254" s="1" t="s">
        <v>19</v>
      </c>
      <c r="B254" s="1" t="s">
        <v>18</v>
      </c>
      <c r="C254" s="1" t="s">
        <v>20</v>
      </c>
      <c r="D254" s="1" t="s">
        <v>11</v>
      </c>
      <c r="E254" s="1" t="s">
        <v>12</v>
      </c>
      <c r="F254" s="1">
        <v>52</v>
      </c>
      <c r="G254" s="1">
        <v>53</v>
      </c>
      <c r="H254" s="1">
        <v>54</v>
      </c>
      <c r="I254" s="1">
        <v>52</v>
      </c>
    </row>
    <row r="255" spans="1:9" ht="13.2" x14ac:dyDescent="0.25">
      <c r="A255" s="1" t="s">
        <v>8</v>
      </c>
      <c r="B255" s="1" t="s">
        <v>21</v>
      </c>
      <c r="C255" s="1" t="s">
        <v>10</v>
      </c>
      <c r="D255" s="1" t="s">
        <v>11</v>
      </c>
      <c r="E255" s="1" t="s">
        <v>12</v>
      </c>
      <c r="F255" s="1">
        <v>98</v>
      </c>
      <c r="G255" s="1">
        <v>92</v>
      </c>
      <c r="H255" s="1">
        <v>93</v>
      </c>
      <c r="I255" s="1">
        <v>98</v>
      </c>
    </row>
    <row r="256" spans="1:9" ht="13.2" x14ac:dyDescent="0.25">
      <c r="A256" s="1" t="s">
        <v>8</v>
      </c>
      <c r="B256" s="1" t="s">
        <v>13</v>
      </c>
      <c r="C256" s="1" t="s">
        <v>10</v>
      </c>
      <c r="D256" s="1" t="s">
        <v>23</v>
      </c>
      <c r="E256" s="1" t="s">
        <v>12</v>
      </c>
      <c r="F256" s="1">
        <v>56</v>
      </c>
      <c r="G256" s="1">
        <v>65</v>
      </c>
      <c r="H256" s="1">
        <v>61</v>
      </c>
      <c r="I256" s="1">
        <v>56</v>
      </c>
    </row>
    <row r="257" spans="1:9" ht="13.2" x14ac:dyDescent="0.25">
      <c r="A257" s="1" t="s">
        <v>19</v>
      </c>
      <c r="B257" s="1" t="s">
        <v>18</v>
      </c>
      <c r="C257" s="1" t="s">
        <v>10</v>
      </c>
      <c r="D257" s="1" t="s">
        <v>23</v>
      </c>
      <c r="E257" s="1" t="s">
        <v>17</v>
      </c>
      <c r="F257" s="1">
        <v>58</v>
      </c>
      <c r="G257" s="1">
        <v>57</v>
      </c>
      <c r="H257" s="1">
        <v>52</v>
      </c>
      <c r="I257" s="1">
        <v>58</v>
      </c>
    </row>
    <row r="258" spans="1:9" ht="13.2" x14ac:dyDescent="0.25">
      <c r="A258" s="1" t="s">
        <v>8</v>
      </c>
      <c r="B258" s="1" t="s">
        <v>18</v>
      </c>
      <c r="C258" s="1" t="s">
        <v>22</v>
      </c>
      <c r="D258" s="1" t="s">
        <v>23</v>
      </c>
      <c r="E258" s="1" t="s">
        <v>12</v>
      </c>
      <c r="F258" s="1">
        <v>57</v>
      </c>
      <c r="G258" s="1">
        <v>68</v>
      </c>
      <c r="H258" s="1">
        <v>64</v>
      </c>
      <c r="I258" s="1">
        <v>57</v>
      </c>
    </row>
    <row r="259" spans="1:9" ht="13.2" x14ac:dyDescent="0.25">
      <c r="A259" s="1" t="s">
        <v>8</v>
      </c>
      <c r="B259" s="1" t="s">
        <v>13</v>
      </c>
      <c r="C259" s="1" t="s">
        <v>10</v>
      </c>
      <c r="D259" s="1" t="s">
        <v>11</v>
      </c>
      <c r="E259" s="1" t="s">
        <v>12</v>
      </c>
      <c r="F259" s="1">
        <v>68</v>
      </c>
      <c r="G259" s="1">
        <v>68</v>
      </c>
      <c r="H259" s="1">
        <v>65</v>
      </c>
      <c r="I259" s="1">
        <v>68</v>
      </c>
    </row>
    <row r="260" spans="1:9" ht="13.2" x14ac:dyDescent="0.25">
      <c r="A260" s="1" t="s">
        <v>8</v>
      </c>
      <c r="B260" s="1" t="s">
        <v>21</v>
      </c>
      <c r="C260" s="1" t="s">
        <v>22</v>
      </c>
      <c r="D260" s="1" t="s">
        <v>11</v>
      </c>
      <c r="E260" s="1" t="s">
        <v>17</v>
      </c>
      <c r="F260" s="1">
        <v>61</v>
      </c>
      <c r="G260" s="1">
        <v>74</v>
      </c>
      <c r="H260" s="1">
        <v>75</v>
      </c>
      <c r="I260" s="1">
        <v>61</v>
      </c>
    </row>
    <row r="261" spans="1:9" ht="13.2" x14ac:dyDescent="0.25">
      <c r="A261" s="1" t="s">
        <v>8</v>
      </c>
      <c r="B261" s="1" t="s">
        <v>21</v>
      </c>
      <c r="C261" s="1" t="s">
        <v>16</v>
      </c>
      <c r="D261" s="1" t="s">
        <v>23</v>
      </c>
      <c r="E261" s="1" t="s">
        <v>17</v>
      </c>
      <c r="F261" s="1">
        <v>80</v>
      </c>
      <c r="G261" s="1">
        <v>91</v>
      </c>
      <c r="H261" s="1">
        <v>94</v>
      </c>
      <c r="I261" s="1">
        <v>80</v>
      </c>
    </row>
    <row r="262" spans="1:9" ht="13.2" x14ac:dyDescent="0.25">
      <c r="A262" s="1" t="s">
        <v>8</v>
      </c>
      <c r="B262" s="1" t="s">
        <v>18</v>
      </c>
      <c r="C262" s="1" t="s">
        <v>10</v>
      </c>
      <c r="D262" s="1" t="s">
        <v>11</v>
      </c>
      <c r="E262" s="1" t="s">
        <v>17</v>
      </c>
      <c r="F262" s="1">
        <v>48</v>
      </c>
      <c r="G262" s="1">
        <v>55</v>
      </c>
      <c r="H262" s="1">
        <v>54</v>
      </c>
      <c r="I262" s="1">
        <v>48</v>
      </c>
    </row>
    <row r="263" spans="1:9" ht="13.2" x14ac:dyDescent="0.25">
      <c r="A263" s="1" t="s">
        <v>8</v>
      </c>
      <c r="B263" s="1" t="s">
        <v>21</v>
      </c>
      <c r="C263" s="1" t="s">
        <v>20</v>
      </c>
      <c r="D263" s="1" t="s">
        <v>11</v>
      </c>
      <c r="E263" s="1" t="s">
        <v>12</v>
      </c>
      <c r="F263" s="1">
        <v>86</v>
      </c>
      <c r="G263" s="1">
        <v>93</v>
      </c>
      <c r="H263" s="1">
        <v>98</v>
      </c>
      <c r="I263" s="1">
        <v>86</v>
      </c>
    </row>
    <row r="264" spans="1:9" ht="13.2" x14ac:dyDescent="0.25">
      <c r="A264" s="1" t="s">
        <v>19</v>
      </c>
      <c r="B264" s="1" t="s">
        <v>18</v>
      </c>
      <c r="C264" s="1" t="s">
        <v>22</v>
      </c>
      <c r="D264" s="1" t="s">
        <v>23</v>
      </c>
      <c r="E264" s="1" t="s">
        <v>12</v>
      </c>
      <c r="F264" s="1">
        <v>19</v>
      </c>
      <c r="G264" s="1">
        <v>34</v>
      </c>
      <c r="H264" s="1">
        <v>25</v>
      </c>
      <c r="I264" s="1">
        <v>19</v>
      </c>
    </row>
    <row r="265" spans="1:9" ht="13.2" x14ac:dyDescent="0.25">
      <c r="A265" s="1" t="s">
        <v>19</v>
      </c>
      <c r="B265" s="1" t="s">
        <v>18</v>
      </c>
      <c r="C265" s="1" t="s">
        <v>14</v>
      </c>
      <c r="D265" s="1" t="s">
        <v>11</v>
      </c>
      <c r="E265" s="1" t="s">
        <v>17</v>
      </c>
      <c r="F265" s="1">
        <v>100</v>
      </c>
      <c r="G265" s="1">
        <v>100</v>
      </c>
      <c r="H265" s="1">
        <v>99</v>
      </c>
      <c r="I265" s="1">
        <v>100</v>
      </c>
    </row>
    <row r="266" spans="1:9" ht="13.2" x14ac:dyDescent="0.25">
      <c r="A266" s="1" t="s">
        <v>19</v>
      </c>
      <c r="B266" s="1" t="s">
        <v>13</v>
      </c>
      <c r="C266" s="1" t="s">
        <v>14</v>
      </c>
      <c r="D266" s="1" t="s">
        <v>11</v>
      </c>
      <c r="E266" s="1" t="s">
        <v>12</v>
      </c>
      <c r="F266" s="1">
        <v>74</v>
      </c>
      <c r="G266" s="1">
        <v>82</v>
      </c>
      <c r="H266" s="1">
        <v>74</v>
      </c>
      <c r="I266" s="1">
        <v>74</v>
      </c>
    </row>
    <row r="267" spans="1:9" ht="13.2" x14ac:dyDescent="0.25">
      <c r="A267" s="1" t="s">
        <v>8</v>
      </c>
      <c r="B267" s="1" t="s">
        <v>9</v>
      </c>
      <c r="C267" s="1" t="s">
        <v>14</v>
      </c>
      <c r="D267" s="1" t="s">
        <v>23</v>
      </c>
      <c r="E267" s="1" t="s">
        <v>17</v>
      </c>
      <c r="F267" s="1">
        <v>50</v>
      </c>
      <c r="G267" s="1">
        <v>72</v>
      </c>
      <c r="H267" s="1">
        <v>71</v>
      </c>
      <c r="I267" s="1">
        <v>50</v>
      </c>
    </row>
    <row r="268" spans="1:9" ht="13.2" x14ac:dyDescent="0.25">
      <c r="A268" s="1" t="s">
        <v>19</v>
      </c>
      <c r="B268" s="1" t="s">
        <v>18</v>
      </c>
      <c r="C268" s="1" t="s">
        <v>20</v>
      </c>
      <c r="D268" s="1" t="s">
        <v>23</v>
      </c>
      <c r="E268" s="1" t="s">
        <v>17</v>
      </c>
      <c r="F268" s="1">
        <v>74</v>
      </c>
      <c r="G268" s="1">
        <v>75</v>
      </c>
      <c r="H268" s="1">
        <v>74</v>
      </c>
      <c r="I268" s="1">
        <v>74</v>
      </c>
    </row>
    <row r="269" spans="1:9" ht="13.2" x14ac:dyDescent="0.25">
      <c r="A269" s="1" t="s">
        <v>8</v>
      </c>
      <c r="B269" s="1" t="s">
        <v>18</v>
      </c>
      <c r="C269" s="1" t="s">
        <v>22</v>
      </c>
      <c r="D269" s="1" t="s">
        <v>23</v>
      </c>
      <c r="E269" s="1" t="s">
        <v>12</v>
      </c>
      <c r="F269" s="1">
        <v>28</v>
      </c>
      <c r="G269" s="1">
        <v>39</v>
      </c>
      <c r="H269" s="1">
        <v>37</v>
      </c>
      <c r="I269" s="1">
        <v>28</v>
      </c>
    </row>
    <row r="270" spans="1:9" ht="13.2" x14ac:dyDescent="0.25">
      <c r="A270" s="1" t="s">
        <v>8</v>
      </c>
      <c r="B270" s="1" t="s">
        <v>9</v>
      </c>
      <c r="C270" s="1" t="s">
        <v>16</v>
      </c>
      <c r="D270" s="1" t="s">
        <v>23</v>
      </c>
      <c r="E270" s="1" t="s">
        <v>12</v>
      </c>
      <c r="F270" s="1">
        <v>54</v>
      </c>
      <c r="G270" s="1">
        <v>68</v>
      </c>
      <c r="H270" s="1">
        <v>60</v>
      </c>
      <c r="I270" s="1">
        <v>54</v>
      </c>
    </row>
    <row r="271" spans="1:9" ht="13.2" x14ac:dyDescent="0.25">
      <c r="A271" s="1" t="s">
        <v>19</v>
      </c>
      <c r="B271" s="1" t="s">
        <v>9</v>
      </c>
      <c r="C271" s="1" t="s">
        <v>22</v>
      </c>
      <c r="D271" s="1" t="s">
        <v>11</v>
      </c>
      <c r="E271" s="1" t="s">
        <v>17</v>
      </c>
      <c r="F271" s="1">
        <v>83</v>
      </c>
      <c r="G271" s="1">
        <v>83</v>
      </c>
      <c r="H271" s="1">
        <v>74</v>
      </c>
      <c r="I271" s="1">
        <v>83</v>
      </c>
    </row>
    <row r="272" spans="1:9" ht="13.2" x14ac:dyDescent="0.25">
      <c r="A272" s="1" t="s">
        <v>8</v>
      </c>
      <c r="B272" s="1" t="s">
        <v>13</v>
      </c>
      <c r="C272" s="1" t="s">
        <v>24</v>
      </c>
      <c r="D272" s="1" t="s">
        <v>11</v>
      </c>
      <c r="E272" s="1" t="s">
        <v>12</v>
      </c>
      <c r="F272" s="1">
        <v>89</v>
      </c>
      <c r="G272" s="1">
        <v>97</v>
      </c>
      <c r="H272" s="1">
        <v>99</v>
      </c>
      <c r="I272" s="1">
        <v>89</v>
      </c>
    </row>
    <row r="273" spans="1:9" ht="13.2" x14ac:dyDescent="0.25">
      <c r="A273" s="1" t="s">
        <v>8</v>
      </c>
      <c r="B273" s="1" t="s">
        <v>13</v>
      </c>
      <c r="C273" s="1" t="s">
        <v>14</v>
      </c>
      <c r="D273" s="1" t="s">
        <v>23</v>
      </c>
      <c r="E273" s="1" t="s">
        <v>12</v>
      </c>
      <c r="F273" s="1">
        <v>50</v>
      </c>
      <c r="G273" s="1">
        <v>61</v>
      </c>
      <c r="H273" s="1">
        <v>63</v>
      </c>
      <c r="I273" s="1">
        <v>50</v>
      </c>
    </row>
    <row r="274" spans="1:9" ht="13.2" x14ac:dyDescent="0.25">
      <c r="A274" s="1" t="s">
        <v>19</v>
      </c>
      <c r="B274" s="1" t="s">
        <v>13</v>
      </c>
      <c r="C274" s="1" t="s">
        <v>10</v>
      </c>
      <c r="D274" s="1" t="s">
        <v>23</v>
      </c>
      <c r="E274" s="1" t="s">
        <v>17</v>
      </c>
      <c r="F274" s="1">
        <v>82</v>
      </c>
      <c r="G274" s="1">
        <v>86</v>
      </c>
      <c r="H274" s="1">
        <v>89</v>
      </c>
      <c r="I274" s="1">
        <v>82</v>
      </c>
    </row>
    <row r="275" spans="1:9" ht="13.2" x14ac:dyDescent="0.25">
      <c r="A275" s="1" t="s">
        <v>8</v>
      </c>
      <c r="B275" s="1" t="s">
        <v>9</v>
      </c>
      <c r="C275" s="1" t="s">
        <v>22</v>
      </c>
      <c r="D275" s="1" t="s">
        <v>11</v>
      </c>
      <c r="E275" s="1" t="s">
        <v>17</v>
      </c>
      <c r="F275" s="1">
        <v>53</v>
      </c>
      <c r="G275" s="1">
        <v>69</v>
      </c>
      <c r="H275" s="1">
        <v>67</v>
      </c>
      <c r="I275" s="1">
        <v>53</v>
      </c>
    </row>
    <row r="276" spans="1:9" ht="13.2" x14ac:dyDescent="0.25">
      <c r="A276" s="1" t="s">
        <v>19</v>
      </c>
      <c r="B276" s="1" t="s">
        <v>18</v>
      </c>
      <c r="C276" s="1" t="s">
        <v>10</v>
      </c>
      <c r="D276" s="1" t="s">
        <v>11</v>
      </c>
      <c r="E276" s="1" t="s">
        <v>12</v>
      </c>
      <c r="F276" s="1">
        <v>81</v>
      </c>
      <c r="G276" s="1">
        <v>81</v>
      </c>
      <c r="H276" s="1">
        <v>74</v>
      </c>
      <c r="I276" s="1">
        <v>81</v>
      </c>
    </row>
    <row r="277" spans="1:9" ht="13.2" x14ac:dyDescent="0.25">
      <c r="A277" s="1" t="s">
        <v>8</v>
      </c>
      <c r="B277" s="1" t="s">
        <v>9</v>
      </c>
      <c r="C277" s="1" t="s">
        <v>20</v>
      </c>
      <c r="D277" s="1" t="s">
        <v>11</v>
      </c>
      <c r="E277" s="1" t="s">
        <v>17</v>
      </c>
      <c r="F277" s="1">
        <v>60</v>
      </c>
      <c r="G277" s="1">
        <v>69</v>
      </c>
      <c r="H277" s="1">
        <v>74</v>
      </c>
      <c r="I277" s="1">
        <v>60</v>
      </c>
    </row>
    <row r="278" spans="1:9" ht="13.2" x14ac:dyDescent="0.25">
      <c r="A278" s="1" t="s">
        <v>19</v>
      </c>
      <c r="B278" s="1" t="s">
        <v>18</v>
      </c>
      <c r="C278" s="1" t="s">
        <v>20</v>
      </c>
      <c r="D278" s="1" t="s">
        <v>23</v>
      </c>
      <c r="E278" s="1" t="s">
        <v>12</v>
      </c>
      <c r="F278" s="1">
        <v>75</v>
      </c>
      <c r="G278" s="1">
        <v>59</v>
      </c>
      <c r="H278" s="1">
        <v>68</v>
      </c>
      <c r="I278" s="1">
        <v>75</v>
      </c>
    </row>
    <row r="279" spans="1:9" ht="13.2" x14ac:dyDescent="0.25">
      <c r="A279" s="1" t="s">
        <v>8</v>
      </c>
      <c r="B279" s="1" t="s">
        <v>18</v>
      </c>
      <c r="C279" s="1" t="s">
        <v>24</v>
      </c>
      <c r="D279" s="1" t="s">
        <v>11</v>
      </c>
      <c r="E279" s="1" t="s">
        <v>12</v>
      </c>
      <c r="F279" s="1">
        <v>77</v>
      </c>
      <c r="G279" s="1">
        <v>80</v>
      </c>
      <c r="H279" s="1">
        <v>83</v>
      </c>
      <c r="I279" s="1">
        <v>77</v>
      </c>
    </row>
    <row r="280" spans="1:9" ht="13.2" x14ac:dyDescent="0.25">
      <c r="A280" s="1" t="s">
        <v>8</v>
      </c>
      <c r="B280" s="1" t="s">
        <v>13</v>
      </c>
      <c r="C280" s="1" t="s">
        <v>10</v>
      </c>
      <c r="D280" s="1" t="s">
        <v>11</v>
      </c>
      <c r="E280" s="1" t="s">
        <v>17</v>
      </c>
      <c r="F280" s="1">
        <v>78</v>
      </c>
      <c r="G280" s="1">
        <v>90</v>
      </c>
      <c r="H280" s="1">
        <v>93</v>
      </c>
      <c r="I280" s="1">
        <v>78</v>
      </c>
    </row>
    <row r="281" spans="1:9" ht="13.2" x14ac:dyDescent="0.25">
      <c r="A281" s="1" t="s">
        <v>19</v>
      </c>
      <c r="B281" s="1" t="s">
        <v>13</v>
      </c>
      <c r="C281" s="1" t="s">
        <v>14</v>
      </c>
      <c r="D281" s="1" t="s">
        <v>11</v>
      </c>
      <c r="E281" s="1" t="s">
        <v>12</v>
      </c>
      <c r="F281" s="1">
        <v>68</v>
      </c>
      <c r="G281" s="1">
        <v>56</v>
      </c>
      <c r="H281" s="1">
        <v>52</v>
      </c>
      <c r="I281" s="1">
        <v>68</v>
      </c>
    </row>
    <row r="282" spans="1:9" ht="13.2" x14ac:dyDescent="0.25">
      <c r="A282" s="1" t="s">
        <v>8</v>
      </c>
      <c r="B282" s="1" t="s">
        <v>15</v>
      </c>
      <c r="C282" s="1" t="s">
        <v>10</v>
      </c>
      <c r="D282" s="1" t="s">
        <v>11</v>
      </c>
      <c r="E282" s="1" t="s">
        <v>17</v>
      </c>
      <c r="F282" s="1">
        <v>37</v>
      </c>
      <c r="G282" s="1">
        <v>55</v>
      </c>
      <c r="H282" s="1">
        <v>55</v>
      </c>
      <c r="I282" s="1">
        <v>37</v>
      </c>
    </row>
    <row r="283" spans="1:9" ht="13.2" x14ac:dyDescent="0.25">
      <c r="A283" s="1" t="s">
        <v>19</v>
      </c>
      <c r="B283" s="1" t="s">
        <v>18</v>
      </c>
      <c r="C283" s="1" t="s">
        <v>14</v>
      </c>
      <c r="D283" s="1" t="s">
        <v>23</v>
      </c>
      <c r="E283" s="1" t="s">
        <v>12</v>
      </c>
      <c r="F283" s="1">
        <v>75</v>
      </c>
      <c r="G283" s="1">
        <v>73</v>
      </c>
      <c r="H283" s="1">
        <v>70</v>
      </c>
      <c r="I283" s="1">
        <v>75</v>
      </c>
    </row>
    <row r="284" spans="1:9" ht="13.2" x14ac:dyDescent="0.25">
      <c r="A284" s="1" t="s">
        <v>8</v>
      </c>
      <c r="B284" s="1" t="s">
        <v>18</v>
      </c>
      <c r="C284" s="1" t="s">
        <v>16</v>
      </c>
      <c r="D284" s="1" t="s">
        <v>23</v>
      </c>
      <c r="E284" s="1" t="s">
        <v>17</v>
      </c>
      <c r="F284" s="1">
        <v>86</v>
      </c>
      <c r="G284" s="1">
        <v>97</v>
      </c>
      <c r="H284" s="1">
        <v>95</v>
      </c>
      <c r="I284" s="1">
        <v>86</v>
      </c>
    </row>
    <row r="285" spans="1:9" ht="13.2" x14ac:dyDescent="0.25">
      <c r="A285" s="1" t="s">
        <v>19</v>
      </c>
      <c r="B285" s="1" t="s">
        <v>13</v>
      </c>
      <c r="C285" s="1" t="s">
        <v>16</v>
      </c>
      <c r="D285" s="1" t="s">
        <v>11</v>
      </c>
      <c r="E285" s="1" t="s">
        <v>17</v>
      </c>
      <c r="F285" s="1">
        <v>80</v>
      </c>
      <c r="G285" s="1">
        <v>79</v>
      </c>
      <c r="H285" s="1">
        <v>82</v>
      </c>
      <c r="I285" s="1">
        <v>80</v>
      </c>
    </row>
    <row r="286" spans="1:9" ht="13.2" x14ac:dyDescent="0.25">
      <c r="A286" s="1" t="s">
        <v>8</v>
      </c>
      <c r="B286" s="1" t="s">
        <v>13</v>
      </c>
      <c r="C286" s="1" t="s">
        <v>10</v>
      </c>
      <c r="D286" s="1" t="s">
        <v>23</v>
      </c>
      <c r="E286" s="1" t="s">
        <v>17</v>
      </c>
      <c r="F286" s="1">
        <v>57</v>
      </c>
      <c r="G286" s="1">
        <v>71</v>
      </c>
      <c r="H286" s="1">
        <v>71</v>
      </c>
      <c r="I286" s="1">
        <v>57</v>
      </c>
    </row>
    <row r="287" spans="1:9" ht="13.2" x14ac:dyDescent="0.25">
      <c r="A287" s="1" t="s">
        <v>8</v>
      </c>
      <c r="B287" s="1" t="s">
        <v>18</v>
      </c>
      <c r="C287" s="1" t="s">
        <v>20</v>
      </c>
      <c r="D287" s="1" t="s">
        <v>11</v>
      </c>
      <c r="E287" s="1" t="s">
        <v>17</v>
      </c>
      <c r="F287" s="1">
        <v>53</v>
      </c>
      <c r="G287" s="1">
        <v>62</v>
      </c>
      <c r="H287" s="1">
        <v>65</v>
      </c>
      <c r="I287" s="1">
        <v>53</v>
      </c>
    </row>
    <row r="288" spans="1:9" ht="13.2" x14ac:dyDescent="0.25">
      <c r="A288" s="1" t="s">
        <v>19</v>
      </c>
      <c r="B288" s="1" t="s">
        <v>21</v>
      </c>
      <c r="C288" s="1" t="s">
        <v>14</v>
      </c>
      <c r="D288" s="1" t="s">
        <v>11</v>
      </c>
      <c r="E288" s="1" t="s">
        <v>12</v>
      </c>
      <c r="F288" s="1">
        <v>74</v>
      </c>
      <c r="G288" s="1">
        <v>57</v>
      </c>
      <c r="H288" s="1">
        <v>58</v>
      </c>
      <c r="I288" s="1">
        <v>74</v>
      </c>
    </row>
    <row r="289" spans="1:9" ht="13.2" x14ac:dyDescent="0.25">
      <c r="A289" s="1" t="s">
        <v>19</v>
      </c>
      <c r="B289" s="1" t="s">
        <v>18</v>
      </c>
      <c r="C289" s="1" t="s">
        <v>20</v>
      </c>
      <c r="D289" s="1" t="s">
        <v>11</v>
      </c>
      <c r="E289" s="1" t="s">
        <v>12</v>
      </c>
      <c r="F289" s="1">
        <v>55</v>
      </c>
      <c r="G289" s="1">
        <v>56</v>
      </c>
      <c r="H289" s="1">
        <v>63</v>
      </c>
      <c r="I289" s="1">
        <v>55</v>
      </c>
    </row>
    <row r="290" spans="1:9" ht="13.2" x14ac:dyDescent="0.25">
      <c r="A290" s="1" t="s">
        <v>8</v>
      </c>
      <c r="B290" s="1" t="s">
        <v>21</v>
      </c>
      <c r="C290" s="1" t="s">
        <v>24</v>
      </c>
      <c r="D290" s="1" t="s">
        <v>23</v>
      </c>
      <c r="E290" s="1" t="s">
        <v>17</v>
      </c>
      <c r="F290" s="1">
        <v>79</v>
      </c>
      <c r="G290" s="1">
        <v>89</v>
      </c>
      <c r="H290" s="1">
        <v>93</v>
      </c>
      <c r="I290" s="1">
        <v>79</v>
      </c>
    </row>
    <row r="291" spans="1:9" ht="13.2" x14ac:dyDescent="0.25">
      <c r="A291" s="1" t="s">
        <v>19</v>
      </c>
      <c r="B291" s="1" t="s">
        <v>13</v>
      </c>
      <c r="C291" s="1" t="s">
        <v>20</v>
      </c>
      <c r="D291" s="1" t="s">
        <v>11</v>
      </c>
      <c r="E291" s="1" t="s">
        <v>12</v>
      </c>
      <c r="F291" s="1">
        <v>89</v>
      </c>
      <c r="G291" s="1">
        <v>77</v>
      </c>
      <c r="H291" s="1">
        <v>77</v>
      </c>
      <c r="I291" s="1">
        <v>89</v>
      </c>
    </row>
    <row r="292" spans="1:9" ht="13.2" x14ac:dyDescent="0.25">
      <c r="A292" s="1" t="s">
        <v>8</v>
      </c>
      <c r="B292" s="1" t="s">
        <v>18</v>
      </c>
      <c r="C292" s="1" t="s">
        <v>22</v>
      </c>
      <c r="D292" s="1" t="s">
        <v>11</v>
      </c>
      <c r="E292" s="1" t="s">
        <v>12</v>
      </c>
      <c r="F292" s="1">
        <v>59</v>
      </c>
      <c r="G292" s="1">
        <v>63</v>
      </c>
      <c r="H292" s="1">
        <v>53</v>
      </c>
      <c r="I292" s="1">
        <v>59</v>
      </c>
    </row>
    <row r="293" spans="1:9" ht="13.2" x14ac:dyDescent="0.25">
      <c r="A293" s="1" t="s">
        <v>19</v>
      </c>
      <c r="B293" s="1" t="s">
        <v>18</v>
      </c>
      <c r="C293" s="1" t="s">
        <v>16</v>
      </c>
      <c r="D293" s="1" t="s">
        <v>11</v>
      </c>
      <c r="E293" s="1" t="s">
        <v>12</v>
      </c>
      <c r="F293" s="1">
        <v>82</v>
      </c>
      <c r="G293" s="1">
        <v>62</v>
      </c>
      <c r="H293" s="1">
        <v>61</v>
      </c>
      <c r="I293" s="1">
        <v>82</v>
      </c>
    </row>
    <row r="294" spans="1:9" ht="13.2" x14ac:dyDescent="0.25">
      <c r="A294" s="1" t="s">
        <v>8</v>
      </c>
      <c r="B294" s="1" t="s">
        <v>21</v>
      </c>
      <c r="C294" s="1" t="s">
        <v>14</v>
      </c>
      <c r="D294" s="1" t="s">
        <v>11</v>
      </c>
      <c r="E294" s="1" t="s">
        <v>12</v>
      </c>
      <c r="F294" s="1">
        <v>91</v>
      </c>
      <c r="G294" s="1">
        <v>90</v>
      </c>
      <c r="H294" s="1">
        <v>90</v>
      </c>
      <c r="I294" s="1">
        <v>91</v>
      </c>
    </row>
    <row r="295" spans="1:9" ht="13.2" x14ac:dyDescent="0.25">
      <c r="A295" s="1" t="s">
        <v>19</v>
      </c>
      <c r="B295" s="1" t="s">
        <v>9</v>
      </c>
      <c r="C295" s="1" t="s">
        <v>16</v>
      </c>
      <c r="D295" s="1" t="s">
        <v>11</v>
      </c>
      <c r="E295" s="1" t="s">
        <v>17</v>
      </c>
      <c r="F295" s="1">
        <v>79</v>
      </c>
      <c r="G295" s="1">
        <v>77</v>
      </c>
      <c r="H295" s="1">
        <v>78</v>
      </c>
      <c r="I295" s="1">
        <v>79</v>
      </c>
    </row>
    <row r="296" spans="1:9" ht="13.2" x14ac:dyDescent="0.25">
      <c r="A296" s="1" t="s">
        <v>19</v>
      </c>
      <c r="B296" s="1" t="s">
        <v>9</v>
      </c>
      <c r="C296" s="1" t="s">
        <v>14</v>
      </c>
      <c r="D296" s="1" t="s">
        <v>11</v>
      </c>
      <c r="E296" s="1" t="s">
        <v>17</v>
      </c>
      <c r="F296" s="1">
        <v>52</v>
      </c>
      <c r="G296" s="1">
        <v>49</v>
      </c>
      <c r="H296" s="1">
        <v>51</v>
      </c>
      <c r="I296" s="1">
        <v>52</v>
      </c>
    </row>
    <row r="297" spans="1:9" ht="13.2" x14ac:dyDescent="0.25">
      <c r="A297" s="1" t="s">
        <v>19</v>
      </c>
      <c r="B297" s="1" t="s">
        <v>13</v>
      </c>
      <c r="C297" s="1" t="s">
        <v>16</v>
      </c>
      <c r="D297" s="1" t="s">
        <v>23</v>
      </c>
      <c r="E297" s="1" t="s">
        <v>17</v>
      </c>
      <c r="F297" s="1">
        <v>73</v>
      </c>
      <c r="G297" s="1">
        <v>77</v>
      </c>
      <c r="H297" s="1">
        <v>75</v>
      </c>
      <c r="I297" s="1">
        <v>73</v>
      </c>
    </row>
    <row r="298" spans="1:9" ht="13.2" x14ac:dyDescent="0.25">
      <c r="A298" s="1" t="s">
        <v>19</v>
      </c>
      <c r="B298" s="1" t="s">
        <v>13</v>
      </c>
      <c r="C298" s="1" t="s">
        <v>16</v>
      </c>
      <c r="D298" s="1" t="s">
        <v>11</v>
      </c>
      <c r="E298" s="1" t="s">
        <v>12</v>
      </c>
      <c r="F298" s="1">
        <v>87</v>
      </c>
      <c r="G298" s="1">
        <v>76</v>
      </c>
      <c r="H298" s="1">
        <v>75</v>
      </c>
      <c r="I298" s="1">
        <v>87</v>
      </c>
    </row>
    <row r="299" spans="1:9" ht="13.2" x14ac:dyDescent="0.25">
      <c r="A299" s="1" t="s">
        <v>8</v>
      </c>
      <c r="B299" s="1" t="s">
        <v>13</v>
      </c>
      <c r="C299" s="1" t="s">
        <v>16</v>
      </c>
      <c r="D299" s="1" t="s">
        <v>11</v>
      </c>
      <c r="E299" s="1" t="s">
        <v>12</v>
      </c>
      <c r="F299" s="1">
        <v>55</v>
      </c>
      <c r="G299" s="1">
        <v>69</v>
      </c>
      <c r="H299" s="1">
        <v>70</v>
      </c>
      <c r="I299" s="1">
        <v>55</v>
      </c>
    </row>
    <row r="300" spans="1:9" ht="13.2" x14ac:dyDescent="0.25">
      <c r="A300" s="1" t="s">
        <v>19</v>
      </c>
      <c r="B300" s="1" t="s">
        <v>13</v>
      </c>
      <c r="C300" s="1" t="s">
        <v>10</v>
      </c>
      <c r="D300" s="1" t="s">
        <v>23</v>
      </c>
      <c r="E300" s="1" t="s">
        <v>17</v>
      </c>
      <c r="F300" s="1">
        <v>57</v>
      </c>
      <c r="G300" s="1">
        <v>64</v>
      </c>
      <c r="H300" s="1">
        <v>57</v>
      </c>
      <c r="I300" s="1">
        <v>57</v>
      </c>
    </row>
    <row r="301" spans="1:9" ht="13.2" x14ac:dyDescent="0.25">
      <c r="A301" s="1" t="s">
        <v>8</v>
      </c>
      <c r="B301" s="1" t="s">
        <v>9</v>
      </c>
      <c r="C301" s="1" t="s">
        <v>16</v>
      </c>
      <c r="D301" s="1" t="s">
        <v>11</v>
      </c>
      <c r="E301" s="1" t="s">
        <v>12</v>
      </c>
      <c r="F301" s="1">
        <v>61</v>
      </c>
      <c r="G301" s="1">
        <v>69</v>
      </c>
      <c r="H301" s="1">
        <v>70</v>
      </c>
      <c r="I301" s="1">
        <v>61</v>
      </c>
    </row>
    <row r="302" spans="1:9" ht="13.2" x14ac:dyDescent="0.25">
      <c r="A302" s="1" t="s">
        <v>19</v>
      </c>
      <c r="B302" s="1" t="s">
        <v>18</v>
      </c>
      <c r="C302" s="1" t="s">
        <v>10</v>
      </c>
      <c r="D302" s="1" t="s">
        <v>11</v>
      </c>
      <c r="E302" s="1" t="s">
        <v>17</v>
      </c>
      <c r="F302" s="1">
        <v>81</v>
      </c>
      <c r="G302" s="1">
        <v>83</v>
      </c>
      <c r="H302" s="1">
        <v>75</v>
      </c>
      <c r="I302" s="1">
        <v>81</v>
      </c>
    </row>
    <row r="303" spans="1:9" ht="13.2" x14ac:dyDescent="0.25">
      <c r="A303" s="1" t="s">
        <v>19</v>
      </c>
      <c r="B303" s="1" t="s">
        <v>15</v>
      </c>
      <c r="C303" s="1" t="s">
        <v>14</v>
      </c>
      <c r="D303" s="1" t="s">
        <v>11</v>
      </c>
      <c r="E303" s="1" t="s">
        <v>12</v>
      </c>
      <c r="F303" s="1">
        <v>67</v>
      </c>
      <c r="G303" s="1">
        <v>68</v>
      </c>
      <c r="H303" s="1">
        <v>57</v>
      </c>
      <c r="I303" s="1">
        <v>67</v>
      </c>
    </row>
    <row r="304" spans="1:9" ht="13.2" x14ac:dyDescent="0.25">
      <c r="A304" s="1" t="s">
        <v>8</v>
      </c>
      <c r="B304" s="1" t="s">
        <v>13</v>
      </c>
      <c r="C304" s="1" t="s">
        <v>16</v>
      </c>
      <c r="D304" s="1" t="s">
        <v>23</v>
      </c>
      <c r="E304" s="1" t="s">
        <v>17</v>
      </c>
      <c r="F304" s="1">
        <v>63</v>
      </c>
      <c r="G304" s="1">
        <v>66</v>
      </c>
      <c r="H304" s="1">
        <v>66</v>
      </c>
      <c r="I304" s="1">
        <v>63</v>
      </c>
    </row>
    <row r="305" spans="1:9" ht="13.2" x14ac:dyDescent="0.25">
      <c r="A305" s="1" t="s">
        <v>19</v>
      </c>
      <c r="B305" s="1" t="s">
        <v>18</v>
      </c>
      <c r="C305" s="1" t="s">
        <v>16</v>
      </c>
      <c r="D305" s="1" t="s">
        <v>11</v>
      </c>
      <c r="E305" s="1" t="s">
        <v>17</v>
      </c>
      <c r="F305" s="1">
        <v>72</v>
      </c>
      <c r="G305" s="1">
        <v>83</v>
      </c>
      <c r="H305" s="1">
        <v>82</v>
      </c>
      <c r="I305" s="1">
        <v>72</v>
      </c>
    </row>
    <row r="306" spans="1:9" ht="13.2" x14ac:dyDescent="0.25">
      <c r="A306" s="1" t="s">
        <v>19</v>
      </c>
      <c r="B306" s="1" t="s">
        <v>18</v>
      </c>
      <c r="C306" s="1" t="s">
        <v>22</v>
      </c>
      <c r="D306" s="1" t="s">
        <v>11</v>
      </c>
      <c r="E306" s="1" t="s">
        <v>12</v>
      </c>
      <c r="F306" s="1">
        <v>68</v>
      </c>
      <c r="G306" s="1">
        <v>65</v>
      </c>
      <c r="H306" s="1">
        <v>61</v>
      </c>
      <c r="I306" s="1">
        <v>68</v>
      </c>
    </row>
    <row r="307" spans="1:9" ht="13.2" x14ac:dyDescent="0.25">
      <c r="A307" s="1" t="s">
        <v>19</v>
      </c>
      <c r="B307" s="1" t="s">
        <v>18</v>
      </c>
      <c r="C307" s="1" t="s">
        <v>10</v>
      </c>
      <c r="D307" s="1" t="s">
        <v>11</v>
      </c>
      <c r="E307" s="1" t="s">
        <v>12</v>
      </c>
      <c r="F307" s="1">
        <v>54</v>
      </c>
      <c r="G307" s="1">
        <v>35</v>
      </c>
      <c r="H307" s="1">
        <v>36</v>
      </c>
      <c r="I307" s="1">
        <v>54</v>
      </c>
    </row>
    <row r="308" spans="1:9" ht="13.2" x14ac:dyDescent="0.25">
      <c r="A308" s="1" t="s">
        <v>19</v>
      </c>
      <c r="B308" s="1" t="s">
        <v>18</v>
      </c>
      <c r="C308" s="1" t="s">
        <v>22</v>
      </c>
      <c r="D308" s="1" t="s">
        <v>11</v>
      </c>
      <c r="E308" s="1" t="s">
        <v>17</v>
      </c>
      <c r="F308" s="1">
        <v>75</v>
      </c>
      <c r="G308" s="1">
        <v>71</v>
      </c>
      <c r="H308" s="1">
        <v>69</v>
      </c>
      <c r="I308" s="1">
        <v>75</v>
      </c>
    </row>
    <row r="309" spans="1:9" ht="13.2" x14ac:dyDescent="0.25">
      <c r="A309" s="1" t="s">
        <v>19</v>
      </c>
      <c r="B309" s="1" t="s">
        <v>13</v>
      </c>
      <c r="C309" s="1" t="s">
        <v>14</v>
      </c>
      <c r="D309" s="1" t="s">
        <v>11</v>
      </c>
      <c r="E309" s="1" t="s">
        <v>12</v>
      </c>
      <c r="F309" s="1">
        <v>74</v>
      </c>
      <c r="G309" s="1">
        <v>77</v>
      </c>
      <c r="H309" s="1">
        <v>71</v>
      </c>
      <c r="I309" s="1">
        <v>74</v>
      </c>
    </row>
    <row r="310" spans="1:9" ht="13.2" x14ac:dyDescent="0.25">
      <c r="A310" s="1" t="s">
        <v>8</v>
      </c>
      <c r="B310" s="1" t="s">
        <v>18</v>
      </c>
      <c r="C310" s="1" t="s">
        <v>14</v>
      </c>
      <c r="D310" s="1" t="s">
        <v>23</v>
      </c>
      <c r="E310" s="1" t="s">
        <v>12</v>
      </c>
      <c r="F310" s="1">
        <v>44</v>
      </c>
      <c r="G310" s="1">
        <v>62</v>
      </c>
      <c r="H310" s="1">
        <v>59</v>
      </c>
      <c r="I310" s="1">
        <v>44</v>
      </c>
    </row>
    <row r="311" spans="1:9" ht="13.2" x14ac:dyDescent="0.25">
      <c r="A311" s="1" t="s">
        <v>8</v>
      </c>
      <c r="B311" s="1" t="s">
        <v>18</v>
      </c>
      <c r="C311" s="1" t="s">
        <v>14</v>
      </c>
      <c r="D311" s="1" t="s">
        <v>11</v>
      </c>
      <c r="E311" s="1" t="s">
        <v>12</v>
      </c>
      <c r="F311" s="1">
        <v>58</v>
      </c>
      <c r="G311" s="1">
        <v>82</v>
      </c>
      <c r="H311" s="1">
        <v>74</v>
      </c>
      <c r="I311" s="1">
        <v>58</v>
      </c>
    </row>
    <row r="312" spans="1:9" ht="13.2" x14ac:dyDescent="0.25">
      <c r="A312" s="1" t="s">
        <v>19</v>
      </c>
      <c r="B312" s="1" t="s">
        <v>18</v>
      </c>
      <c r="C312" s="1" t="s">
        <v>14</v>
      </c>
      <c r="D312" s="1" t="s">
        <v>23</v>
      </c>
      <c r="E312" s="1" t="s">
        <v>17</v>
      </c>
      <c r="F312" s="1">
        <v>48</v>
      </c>
      <c r="G312" s="1">
        <v>42</v>
      </c>
      <c r="H312" s="1">
        <v>42</v>
      </c>
      <c r="I312" s="1">
        <v>48</v>
      </c>
    </row>
    <row r="313" spans="1:9" ht="13.2" x14ac:dyDescent="0.25">
      <c r="A313" s="1" t="s">
        <v>19</v>
      </c>
      <c r="B313" s="1" t="s">
        <v>18</v>
      </c>
      <c r="C313" s="1" t="s">
        <v>10</v>
      </c>
      <c r="D313" s="1" t="s">
        <v>11</v>
      </c>
      <c r="E313" s="1" t="s">
        <v>17</v>
      </c>
      <c r="F313" s="1">
        <v>71</v>
      </c>
      <c r="G313" s="1">
        <v>62</v>
      </c>
      <c r="H313" s="1">
        <v>64</v>
      </c>
      <c r="I313" s="1">
        <v>71</v>
      </c>
    </row>
    <row r="314" spans="1:9" ht="13.2" x14ac:dyDescent="0.25">
      <c r="A314" s="1" t="s">
        <v>8</v>
      </c>
      <c r="B314" s="1" t="s">
        <v>15</v>
      </c>
      <c r="C314" s="1" t="s">
        <v>14</v>
      </c>
      <c r="D314" s="1" t="s">
        <v>23</v>
      </c>
      <c r="E314" s="1" t="s">
        <v>12</v>
      </c>
      <c r="F314" s="1">
        <v>45</v>
      </c>
      <c r="G314" s="1">
        <v>44</v>
      </c>
      <c r="H314" s="1">
        <v>47</v>
      </c>
      <c r="I314" s="1">
        <v>45</v>
      </c>
    </row>
    <row r="315" spans="1:9" ht="13.2" x14ac:dyDescent="0.25">
      <c r="A315" s="1" t="s">
        <v>8</v>
      </c>
      <c r="B315" s="1" t="s">
        <v>18</v>
      </c>
      <c r="C315" s="1" t="s">
        <v>14</v>
      </c>
      <c r="D315" s="1" t="s">
        <v>23</v>
      </c>
      <c r="E315" s="1" t="s">
        <v>12</v>
      </c>
      <c r="F315" s="1">
        <v>62</v>
      </c>
      <c r="G315" s="1">
        <v>73</v>
      </c>
      <c r="H315" s="1">
        <v>74</v>
      </c>
      <c r="I315" s="1">
        <v>62</v>
      </c>
    </row>
    <row r="316" spans="1:9" ht="13.2" x14ac:dyDescent="0.25">
      <c r="A316" s="1" t="s">
        <v>8</v>
      </c>
      <c r="B316" s="1" t="s">
        <v>21</v>
      </c>
      <c r="C316" s="1" t="s">
        <v>22</v>
      </c>
      <c r="D316" s="1" t="s">
        <v>11</v>
      </c>
      <c r="E316" s="1" t="s">
        <v>17</v>
      </c>
      <c r="F316" s="1">
        <v>67</v>
      </c>
      <c r="G316" s="1">
        <v>70</v>
      </c>
      <c r="H316" s="1">
        <v>70</v>
      </c>
      <c r="I316" s="1">
        <v>67</v>
      </c>
    </row>
    <row r="317" spans="1:9" ht="13.2" x14ac:dyDescent="0.25">
      <c r="A317" s="1" t="s">
        <v>19</v>
      </c>
      <c r="B317" s="1" t="s">
        <v>15</v>
      </c>
      <c r="C317" s="1" t="s">
        <v>10</v>
      </c>
      <c r="D317" s="1" t="s">
        <v>11</v>
      </c>
      <c r="E317" s="1" t="s">
        <v>17</v>
      </c>
      <c r="F317" s="1">
        <v>65</v>
      </c>
      <c r="G317" s="1">
        <v>66</v>
      </c>
      <c r="H317" s="1">
        <v>64</v>
      </c>
      <c r="I317" s="1">
        <v>65</v>
      </c>
    </row>
    <row r="318" spans="1:9" ht="13.2" x14ac:dyDescent="0.25">
      <c r="A318" s="1" t="s">
        <v>8</v>
      </c>
      <c r="B318" s="1" t="s">
        <v>18</v>
      </c>
      <c r="C318" s="1" t="s">
        <v>14</v>
      </c>
      <c r="D318" s="1" t="s">
        <v>11</v>
      </c>
      <c r="E318" s="1" t="s">
        <v>12</v>
      </c>
      <c r="F318" s="1">
        <v>77</v>
      </c>
      <c r="G318" s="1">
        <v>73</v>
      </c>
      <c r="H318" s="1">
        <v>76</v>
      </c>
      <c r="I318" s="1">
        <v>77</v>
      </c>
    </row>
    <row r="319" spans="1:9" ht="13.2" x14ac:dyDescent="0.25">
      <c r="A319" s="1" t="s">
        <v>8</v>
      </c>
      <c r="B319" s="1" t="s">
        <v>21</v>
      </c>
      <c r="C319" s="1" t="s">
        <v>20</v>
      </c>
      <c r="D319" s="1" t="s">
        <v>23</v>
      </c>
      <c r="E319" s="1" t="s">
        <v>12</v>
      </c>
      <c r="F319" s="1">
        <v>87</v>
      </c>
      <c r="G319" s="1">
        <v>89</v>
      </c>
      <c r="H319" s="1">
        <v>88</v>
      </c>
      <c r="I319" s="1">
        <v>87</v>
      </c>
    </row>
    <row r="320" spans="1:9" ht="13.2" x14ac:dyDescent="0.25">
      <c r="A320" s="1" t="s">
        <v>8</v>
      </c>
      <c r="B320" s="1" t="s">
        <v>9</v>
      </c>
      <c r="C320" s="1" t="s">
        <v>16</v>
      </c>
      <c r="D320" s="1" t="s">
        <v>11</v>
      </c>
      <c r="E320" s="1" t="s">
        <v>12</v>
      </c>
      <c r="F320" s="1">
        <v>74</v>
      </c>
      <c r="G320" s="1">
        <v>80</v>
      </c>
      <c r="H320" s="1">
        <v>80</v>
      </c>
      <c r="I320" s="1">
        <v>74</v>
      </c>
    </row>
    <row r="321" spans="1:9" ht="13.2" x14ac:dyDescent="0.25">
      <c r="A321" s="1" t="s">
        <v>19</v>
      </c>
      <c r="B321" s="1" t="s">
        <v>18</v>
      </c>
      <c r="C321" s="1" t="s">
        <v>16</v>
      </c>
      <c r="D321" s="1" t="s">
        <v>23</v>
      </c>
      <c r="E321" s="1" t="s">
        <v>17</v>
      </c>
      <c r="F321" s="1">
        <v>82</v>
      </c>
      <c r="G321" s="1">
        <v>82</v>
      </c>
      <c r="H321" s="1">
        <v>77</v>
      </c>
      <c r="I321" s="1">
        <v>82</v>
      </c>
    </row>
    <row r="322" spans="1:9" ht="13.2" x14ac:dyDescent="0.25">
      <c r="A322" s="1" t="s">
        <v>8</v>
      </c>
      <c r="B322" s="1" t="s">
        <v>13</v>
      </c>
      <c r="C322" s="1" t="s">
        <v>14</v>
      </c>
      <c r="D322" s="1" t="s">
        <v>11</v>
      </c>
      <c r="E322" s="1" t="s">
        <v>12</v>
      </c>
      <c r="F322" s="1">
        <v>85</v>
      </c>
      <c r="G322" s="1">
        <v>96</v>
      </c>
      <c r="H322" s="1">
        <v>97</v>
      </c>
      <c r="I322" s="1">
        <v>85</v>
      </c>
    </row>
    <row r="323" spans="1:9" ht="13.2" x14ac:dyDescent="0.25">
      <c r="A323" s="1" t="s">
        <v>8</v>
      </c>
      <c r="B323" s="1" t="s">
        <v>15</v>
      </c>
      <c r="C323" s="1" t="s">
        <v>14</v>
      </c>
      <c r="D323" s="1" t="s">
        <v>11</v>
      </c>
      <c r="E323" s="1" t="s">
        <v>12</v>
      </c>
      <c r="F323" s="1">
        <v>82</v>
      </c>
      <c r="G323" s="1">
        <v>78</v>
      </c>
      <c r="H323" s="1">
        <v>79</v>
      </c>
      <c r="I323" s="1">
        <v>82</v>
      </c>
    </row>
    <row r="324" spans="1:9" ht="13.2" x14ac:dyDescent="0.25">
      <c r="A324" s="1" t="s">
        <v>19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89</v>
      </c>
      <c r="G324" s="1">
        <v>82</v>
      </c>
      <c r="H324" s="1">
        <v>87</v>
      </c>
      <c r="I324" s="1">
        <v>89</v>
      </c>
    </row>
    <row r="325" spans="1:9" ht="13.2" x14ac:dyDescent="0.25">
      <c r="A325" s="1" t="s">
        <v>8</v>
      </c>
      <c r="B325" s="1" t="s">
        <v>18</v>
      </c>
      <c r="C325" s="1" t="s">
        <v>10</v>
      </c>
      <c r="D325" s="1" t="s">
        <v>23</v>
      </c>
      <c r="E325" s="1" t="s">
        <v>17</v>
      </c>
      <c r="F325" s="1">
        <v>63</v>
      </c>
      <c r="G325" s="1">
        <v>80</v>
      </c>
      <c r="H325" s="1">
        <v>85</v>
      </c>
      <c r="I325" s="1">
        <v>63</v>
      </c>
    </row>
    <row r="326" spans="1:9" ht="13.2" x14ac:dyDescent="0.25">
      <c r="A326" s="1" t="s">
        <v>8</v>
      </c>
      <c r="B326" s="1" t="s">
        <v>9</v>
      </c>
      <c r="C326" s="1" t="s">
        <v>16</v>
      </c>
      <c r="D326" s="1" t="s">
        <v>11</v>
      </c>
      <c r="E326" s="1" t="s">
        <v>17</v>
      </c>
      <c r="F326" s="1">
        <v>93</v>
      </c>
      <c r="G326" s="1">
        <v>100</v>
      </c>
      <c r="H326" s="1">
        <v>100</v>
      </c>
      <c r="I326" s="1">
        <v>93</v>
      </c>
    </row>
    <row r="327" spans="1:9" ht="13.2" x14ac:dyDescent="0.25">
      <c r="A327" s="1" t="s">
        <v>8</v>
      </c>
      <c r="B327" s="1" t="s">
        <v>9</v>
      </c>
      <c r="C327" s="1" t="s">
        <v>16</v>
      </c>
      <c r="D327" s="1" t="s">
        <v>23</v>
      </c>
      <c r="E327" s="1" t="s">
        <v>12</v>
      </c>
      <c r="F327" s="1">
        <v>34</v>
      </c>
      <c r="G327" s="1">
        <v>38</v>
      </c>
      <c r="H327" s="1">
        <v>44</v>
      </c>
      <c r="I327" s="1">
        <v>34</v>
      </c>
    </row>
    <row r="328" spans="1:9" ht="13.2" x14ac:dyDescent="0.25">
      <c r="A328" s="1" t="s">
        <v>19</v>
      </c>
      <c r="B328" s="1" t="s">
        <v>21</v>
      </c>
      <c r="C328" s="1" t="s">
        <v>16</v>
      </c>
      <c r="D328" s="1" t="s">
        <v>11</v>
      </c>
      <c r="E328" s="1" t="s">
        <v>17</v>
      </c>
      <c r="F328" s="1">
        <v>95</v>
      </c>
      <c r="G328" s="1">
        <v>84</v>
      </c>
      <c r="H328" s="1">
        <v>82</v>
      </c>
      <c r="I328" s="1">
        <v>95</v>
      </c>
    </row>
    <row r="329" spans="1:9" ht="13.2" x14ac:dyDescent="0.25">
      <c r="A329" s="1" t="s">
        <v>19</v>
      </c>
      <c r="B329" s="1" t="s">
        <v>18</v>
      </c>
      <c r="C329" s="1" t="s">
        <v>22</v>
      </c>
      <c r="D329" s="1" t="s">
        <v>11</v>
      </c>
      <c r="E329" s="1" t="s">
        <v>12</v>
      </c>
      <c r="F329" s="1">
        <v>47</v>
      </c>
      <c r="G329" s="1">
        <v>45</v>
      </c>
      <c r="H329" s="1">
        <v>47</v>
      </c>
      <c r="I329" s="1">
        <v>47</v>
      </c>
    </row>
    <row r="330" spans="1:9" ht="13.2" x14ac:dyDescent="0.25">
      <c r="A330" s="1" t="s">
        <v>8</v>
      </c>
      <c r="B330" s="1" t="s">
        <v>18</v>
      </c>
      <c r="C330" s="1" t="s">
        <v>10</v>
      </c>
      <c r="D330" s="1" t="s">
        <v>11</v>
      </c>
      <c r="E330" s="1" t="s">
        <v>17</v>
      </c>
      <c r="F330" s="1">
        <v>80</v>
      </c>
      <c r="G330" s="1">
        <v>92</v>
      </c>
      <c r="H330" s="1">
        <v>86</v>
      </c>
      <c r="I330" s="1">
        <v>80</v>
      </c>
    </row>
    <row r="331" spans="1:9" ht="13.2" x14ac:dyDescent="0.25">
      <c r="A331" s="1" t="s">
        <v>8</v>
      </c>
      <c r="B331" s="1" t="s">
        <v>13</v>
      </c>
      <c r="C331" s="1" t="s">
        <v>14</v>
      </c>
      <c r="D331" s="1" t="s">
        <v>23</v>
      </c>
      <c r="E331" s="1" t="s">
        <v>12</v>
      </c>
      <c r="F331" s="1">
        <v>48</v>
      </c>
      <c r="G331" s="1">
        <v>57</v>
      </c>
      <c r="H331" s="1">
        <v>55</v>
      </c>
      <c r="I331" s="1">
        <v>48</v>
      </c>
    </row>
    <row r="332" spans="1:9" ht="13.2" x14ac:dyDescent="0.25">
      <c r="A332" s="1" t="s">
        <v>8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57</v>
      </c>
      <c r="G332" s="1">
        <v>65</v>
      </c>
      <c r="H332" s="1">
        <v>69</v>
      </c>
      <c r="I332" s="1">
        <v>57</v>
      </c>
    </row>
    <row r="333" spans="1:9" ht="13.2" x14ac:dyDescent="0.25">
      <c r="A333" s="1" t="s">
        <v>8</v>
      </c>
      <c r="B333" s="1" t="s">
        <v>18</v>
      </c>
      <c r="C333" s="1" t="s">
        <v>10</v>
      </c>
      <c r="D333" s="1" t="s">
        <v>23</v>
      </c>
      <c r="E333" s="1" t="s">
        <v>17</v>
      </c>
      <c r="F333" s="1">
        <v>39</v>
      </c>
      <c r="G333" s="1">
        <v>51</v>
      </c>
      <c r="H333" s="1">
        <v>53</v>
      </c>
      <c r="I333" s="1">
        <v>39</v>
      </c>
    </row>
    <row r="334" spans="1:9" ht="13.2" x14ac:dyDescent="0.25">
      <c r="A334" s="1" t="s">
        <v>19</v>
      </c>
      <c r="B334" s="1" t="s">
        <v>21</v>
      </c>
      <c r="C334" s="1" t="s">
        <v>22</v>
      </c>
      <c r="D334" s="1" t="s">
        <v>11</v>
      </c>
      <c r="E334" s="1" t="s">
        <v>17</v>
      </c>
      <c r="F334" s="1">
        <v>76</v>
      </c>
      <c r="G334" s="1">
        <v>66</v>
      </c>
      <c r="H334" s="1">
        <v>66</v>
      </c>
      <c r="I334" s="1">
        <v>76</v>
      </c>
    </row>
    <row r="335" spans="1:9" ht="13.2" x14ac:dyDescent="0.25">
      <c r="A335" s="1" t="s">
        <v>8</v>
      </c>
      <c r="B335" s="1" t="s">
        <v>18</v>
      </c>
      <c r="C335" s="1" t="s">
        <v>24</v>
      </c>
      <c r="D335" s="1" t="s">
        <v>11</v>
      </c>
      <c r="E335" s="1" t="s">
        <v>12</v>
      </c>
      <c r="F335" s="1">
        <v>84</v>
      </c>
      <c r="G335" s="1">
        <v>94</v>
      </c>
      <c r="H335" s="1">
        <v>91</v>
      </c>
      <c r="I335" s="1">
        <v>84</v>
      </c>
    </row>
    <row r="336" spans="1:9" ht="13.2" x14ac:dyDescent="0.25">
      <c r="A336" s="1" t="s">
        <v>8</v>
      </c>
      <c r="B336" s="1" t="s">
        <v>18</v>
      </c>
      <c r="C336" s="1" t="s">
        <v>14</v>
      </c>
      <c r="D336" s="1" t="s">
        <v>23</v>
      </c>
      <c r="E336" s="1" t="s">
        <v>12</v>
      </c>
      <c r="F336" s="1">
        <v>47</v>
      </c>
      <c r="G336" s="1">
        <v>64</v>
      </c>
      <c r="H336" s="1">
        <v>64</v>
      </c>
      <c r="I336" s="1">
        <v>47</v>
      </c>
    </row>
    <row r="337" spans="1:9" ht="13.2" x14ac:dyDescent="0.25">
      <c r="A337" s="1" t="s">
        <v>19</v>
      </c>
      <c r="B337" s="1" t="s">
        <v>18</v>
      </c>
      <c r="C337" s="1" t="s">
        <v>16</v>
      </c>
      <c r="D337" s="1" t="s">
        <v>11</v>
      </c>
      <c r="E337" s="1" t="s">
        <v>12</v>
      </c>
      <c r="F337" s="1">
        <v>98</v>
      </c>
      <c r="G337" s="1">
        <v>90</v>
      </c>
      <c r="H337" s="1">
        <v>85</v>
      </c>
      <c r="I337" s="1">
        <v>98</v>
      </c>
    </row>
    <row r="338" spans="1:9" ht="13.2" x14ac:dyDescent="0.25">
      <c r="A338" s="1" t="s">
        <v>8</v>
      </c>
      <c r="B338" s="1" t="s">
        <v>13</v>
      </c>
      <c r="C338" s="1" t="s">
        <v>16</v>
      </c>
      <c r="D338" s="1" t="s">
        <v>11</v>
      </c>
      <c r="E338" s="1" t="s">
        <v>12</v>
      </c>
      <c r="F338" s="1">
        <v>77</v>
      </c>
      <c r="G338" s="1">
        <v>79</v>
      </c>
      <c r="H338" s="1">
        <v>79</v>
      </c>
      <c r="I338" s="1">
        <v>77</v>
      </c>
    </row>
    <row r="339" spans="1:9" ht="13.2" x14ac:dyDescent="0.25">
      <c r="A339" s="1" t="s">
        <v>19</v>
      </c>
      <c r="B339" s="1" t="s">
        <v>18</v>
      </c>
      <c r="C339" s="1" t="s">
        <v>16</v>
      </c>
      <c r="D339" s="1" t="s">
        <v>11</v>
      </c>
      <c r="E339" s="1" t="s">
        <v>12</v>
      </c>
      <c r="F339" s="1">
        <v>63</v>
      </c>
      <c r="G339" s="1">
        <v>67</v>
      </c>
      <c r="H339" s="1">
        <v>57</v>
      </c>
      <c r="I339" s="1">
        <v>63</v>
      </c>
    </row>
    <row r="340" spans="1:9" ht="13.2" x14ac:dyDescent="0.25">
      <c r="A340" s="1" t="s">
        <v>8</v>
      </c>
      <c r="B340" s="1" t="s">
        <v>18</v>
      </c>
      <c r="C340" s="1" t="s">
        <v>14</v>
      </c>
      <c r="D340" s="1" t="s">
        <v>11</v>
      </c>
      <c r="E340" s="1" t="s">
        <v>17</v>
      </c>
      <c r="F340" s="1">
        <v>69</v>
      </c>
      <c r="G340" s="1">
        <v>83</v>
      </c>
      <c r="H340" s="1">
        <v>83</v>
      </c>
      <c r="I340" s="1">
        <v>69</v>
      </c>
    </row>
    <row r="341" spans="1:9" ht="13.2" x14ac:dyDescent="0.25">
      <c r="A341" s="1" t="s">
        <v>19</v>
      </c>
      <c r="B341" s="1" t="s">
        <v>9</v>
      </c>
      <c r="C341" s="1" t="s">
        <v>24</v>
      </c>
      <c r="D341" s="1" t="s">
        <v>23</v>
      </c>
      <c r="E341" s="1" t="s">
        <v>12</v>
      </c>
      <c r="F341" s="1">
        <v>59</v>
      </c>
      <c r="G341" s="1">
        <v>61</v>
      </c>
      <c r="H341" s="1">
        <v>58</v>
      </c>
      <c r="I341" s="1">
        <v>59</v>
      </c>
    </row>
    <row r="342" spans="1:9" ht="13.2" x14ac:dyDescent="0.25">
      <c r="A342" s="1" t="s">
        <v>8</v>
      </c>
      <c r="B342" s="1" t="s">
        <v>18</v>
      </c>
      <c r="C342" s="1" t="s">
        <v>14</v>
      </c>
      <c r="D342" s="1" t="s">
        <v>11</v>
      </c>
      <c r="E342" s="1" t="s">
        <v>12</v>
      </c>
      <c r="F342" s="1">
        <v>74</v>
      </c>
      <c r="G342" s="1">
        <v>90</v>
      </c>
      <c r="H342" s="1">
        <v>85</v>
      </c>
      <c r="I342" s="1">
        <v>74</v>
      </c>
    </row>
    <row r="343" spans="1:9" ht="13.2" x14ac:dyDescent="0.25">
      <c r="A343" s="1" t="s">
        <v>19</v>
      </c>
      <c r="B343" s="1" t="s">
        <v>15</v>
      </c>
      <c r="C343" s="1" t="s">
        <v>22</v>
      </c>
      <c r="D343" s="1" t="s">
        <v>23</v>
      </c>
      <c r="E343" s="1" t="s">
        <v>12</v>
      </c>
      <c r="F343" s="1">
        <v>45</v>
      </c>
      <c r="G343" s="1">
        <v>47</v>
      </c>
      <c r="H343" s="1">
        <v>44</v>
      </c>
      <c r="I343" s="1">
        <v>45</v>
      </c>
    </row>
    <row r="344" spans="1:9" ht="13.2" x14ac:dyDescent="0.25">
      <c r="A344" s="1" t="s">
        <v>19</v>
      </c>
      <c r="B344" s="1" t="s">
        <v>13</v>
      </c>
      <c r="C344" s="1" t="s">
        <v>14</v>
      </c>
      <c r="D344" s="1" t="s">
        <v>23</v>
      </c>
      <c r="E344" s="1" t="s">
        <v>12</v>
      </c>
      <c r="F344" s="1">
        <v>54</v>
      </c>
      <c r="G344" s="1">
        <v>56</v>
      </c>
      <c r="H344" s="1">
        <v>56</v>
      </c>
      <c r="I344" s="1">
        <v>54</v>
      </c>
    </row>
    <row r="345" spans="1:9" ht="13.2" x14ac:dyDescent="0.25">
      <c r="A345" s="1" t="s">
        <v>8</v>
      </c>
      <c r="B345" s="1" t="s">
        <v>18</v>
      </c>
      <c r="C345" s="1" t="s">
        <v>22</v>
      </c>
      <c r="D345" s="1" t="s">
        <v>11</v>
      </c>
      <c r="E345" s="1" t="s">
        <v>17</v>
      </c>
      <c r="F345" s="1">
        <v>62</v>
      </c>
      <c r="G345" s="1">
        <v>69</v>
      </c>
      <c r="H345" s="1">
        <v>72</v>
      </c>
      <c r="I345" s="1">
        <v>62</v>
      </c>
    </row>
    <row r="346" spans="1:9" ht="13.2" x14ac:dyDescent="0.25">
      <c r="A346" s="1" t="s">
        <v>8</v>
      </c>
      <c r="B346" s="1" t="s">
        <v>9</v>
      </c>
      <c r="C346" s="1" t="s">
        <v>20</v>
      </c>
      <c r="D346" s="1" t="s">
        <v>11</v>
      </c>
      <c r="E346" s="1" t="s">
        <v>12</v>
      </c>
      <c r="F346" s="1">
        <v>60</v>
      </c>
      <c r="G346" s="1">
        <v>50</v>
      </c>
      <c r="H346" s="1">
        <v>56</v>
      </c>
      <c r="I346" s="1">
        <v>60</v>
      </c>
    </row>
    <row r="347" spans="1:9" ht="13.2" x14ac:dyDescent="0.25">
      <c r="A347" s="1" t="s">
        <v>8</v>
      </c>
      <c r="B347" s="1" t="s">
        <v>13</v>
      </c>
      <c r="C347" s="1" t="s">
        <v>24</v>
      </c>
      <c r="D347" s="1" t="s">
        <v>11</v>
      </c>
      <c r="E347" s="1" t="s">
        <v>12</v>
      </c>
      <c r="F347" s="1">
        <v>63</v>
      </c>
      <c r="G347" s="1">
        <v>80</v>
      </c>
      <c r="H347" s="1">
        <v>80</v>
      </c>
      <c r="I347" s="1">
        <v>63</v>
      </c>
    </row>
    <row r="348" spans="1:9" ht="13.2" x14ac:dyDescent="0.25">
      <c r="A348" s="1" t="s">
        <v>19</v>
      </c>
      <c r="B348" s="1" t="s">
        <v>18</v>
      </c>
      <c r="C348" s="1" t="s">
        <v>22</v>
      </c>
      <c r="D348" s="1" t="s">
        <v>23</v>
      </c>
      <c r="E348" s="1" t="s">
        <v>17</v>
      </c>
      <c r="F348" s="1">
        <v>44</v>
      </c>
      <c r="G348" s="1">
        <v>39</v>
      </c>
      <c r="H348" s="1">
        <v>41</v>
      </c>
      <c r="I348" s="1">
        <v>44</v>
      </c>
    </row>
    <row r="349" spans="1:9" ht="13.2" x14ac:dyDescent="0.25">
      <c r="A349" s="1" t="s">
        <v>8</v>
      </c>
      <c r="B349" s="1" t="s">
        <v>18</v>
      </c>
      <c r="C349" s="1" t="s">
        <v>14</v>
      </c>
      <c r="D349" s="1" t="s">
        <v>11</v>
      </c>
      <c r="E349" s="1" t="s">
        <v>17</v>
      </c>
      <c r="F349" s="1">
        <v>96</v>
      </c>
      <c r="G349" s="1">
        <v>100</v>
      </c>
      <c r="H349" s="1">
        <v>100</v>
      </c>
      <c r="I349" s="1">
        <v>96</v>
      </c>
    </row>
    <row r="350" spans="1:9" ht="13.2" x14ac:dyDescent="0.25">
      <c r="A350" s="1" t="s">
        <v>8</v>
      </c>
      <c r="B350" s="1" t="s">
        <v>21</v>
      </c>
      <c r="C350" s="1" t="s">
        <v>10</v>
      </c>
      <c r="D350" s="1" t="s">
        <v>23</v>
      </c>
      <c r="E350" s="1" t="s">
        <v>17</v>
      </c>
      <c r="F350" s="1">
        <v>73</v>
      </c>
      <c r="G350" s="1">
        <v>82</v>
      </c>
      <c r="H350" s="1">
        <v>89</v>
      </c>
      <c r="I350" s="1">
        <v>73</v>
      </c>
    </row>
    <row r="351" spans="1:9" ht="13.2" x14ac:dyDescent="0.25">
      <c r="A351" s="1" t="s">
        <v>8</v>
      </c>
      <c r="B351" s="1" t="s">
        <v>13</v>
      </c>
      <c r="C351" s="1" t="s">
        <v>20</v>
      </c>
      <c r="D351" s="1" t="s">
        <v>23</v>
      </c>
      <c r="E351" s="1" t="s">
        <v>12</v>
      </c>
      <c r="F351" s="1">
        <v>65</v>
      </c>
      <c r="G351" s="1">
        <v>87</v>
      </c>
      <c r="H351" s="1">
        <v>84</v>
      </c>
      <c r="I351" s="1">
        <v>65</v>
      </c>
    </row>
    <row r="352" spans="1:9" ht="13.2" x14ac:dyDescent="0.25">
      <c r="A352" s="1" t="s">
        <v>19</v>
      </c>
      <c r="B352" s="1" t="s">
        <v>9</v>
      </c>
      <c r="C352" s="1" t="s">
        <v>20</v>
      </c>
      <c r="D352" s="1" t="s">
        <v>23</v>
      </c>
      <c r="E352" s="1" t="s">
        <v>12</v>
      </c>
      <c r="F352" s="1">
        <v>56</v>
      </c>
      <c r="G352" s="1">
        <v>62</v>
      </c>
      <c r="H352" s="1">
        <v>58</v>
      </c>
      <c r="I352" s="1">
        <v>56</v>
      </c>
    </row>
    <row r="353" spans="1:9" ht="13.2" x14ac:dyDescent="0.25">
      <c r="A353" s="1" t="s">
        <v>19</v>
      </c>
      <c r="B353" s="1" t="s">
        <v>9</v>
      </c>
      <c r="C353" s="1" t="s">
        <v>24</v>
      </c>
      <c r="D353" s="1" t="s">
        <v>11</v>
      </c>
      <c r="E353" s="1" t="s">
        <v>17</v>
      </c>
      <c r="F353" s="1">
        <v>92</v>
      </c>
      <c r="G353" s="1">
        <v>81</v>
      </c>
      <c r="H353" s="1">
        <v>91</v>
      </c>
      <c r="I353" s="1">
        <v>92</v>
      </c>
    </row>
    <row r="354" spans="1:9" ht="13.2" x14ac:dyDescent="0.25">
      <c r="A354" s="1" t="s">
        <v>8</v>
      </c>
      <c r="B354" s="1" t="s">
        <v>18</v>
      </c>
      <c r="C354" s="1" t="s">
        <v>16</v>
      </c>
      <c r="D354" s="1" t="s">
        <v>23</v>
      </c>
      <c r="E354" s="1" t="s">
        <v>17</v>
      </c>
      <c r="F354" s="1">
        <v>50</v>
      </c>
      <c r="G354" s="1">
        <v>68</v>
      </c>
      <c r="H354" s="1">
        <v>74</v>
      </c>
      <c r="I354" s="1">
        <v>50</v>
      </c>
    </row>
    <row r="355" spans="1:9" ht="13.2" x14ac:dyDescent="0.25">
      <c r="A355" s="1" t="s">
        <v>8</v>
      </c>
      <c r="B355" s="1" t="s">
        <v>13</v>
      </c>
      <c r="C355" s="1" t="s">
        <v>20</v>
      </c>
      <c r="D355" s="1" t="s">
        <v>11</v>
      </c>
      <c r="E355" s="1" t="s">
        <v>17</v>
      </c>
      <c r="F355" s="1">
        <v>75</v>
      </c>
      <c r="G355" s="1">
        <v>76</v>
      </c>
      <c r="H355" s="1">
        <v>83</v>
      </c>
      <c r="I355" s="1">
        <v>75</v>
      </c>
    </row>
    <row r="356" spans="1:9" ht="13.2" x14ac:dyDescent="0.25">
      <c r="A356" s="1" t="s">
        <v>8</v>
      </c>
      <c r="B356" s="1" t="s">
        <v>21</v>
      </c>
      <c r="C356" s="1" t="s">
        <v>14</v>
      </c>
      <c r="D356" s="1" t="s">
        <v>11</v>
      </c>
      <c r="E356" s="1" t="s">
        <v>17</v>
      </c>
      <c r="F356" s="1">
        <v>82</v>
      </c>
      <c r="G356" s="1">
        <v>88</v>
      </c>
      <c r="H356" s="1">
        <v>92</v>
      </c>
      <c r="I356" s="1">
        <v>82</v>
      </c>
    </row>
    <row r="357" spans="1:9" ht="13.2" x14ac:dyDescent="0.25">
      <c r="A357" s="1" t="s">
        <v>8</v>
      </c>
      <c r="B357" s="1" t="s">
        <v>9</v>
      </c>
      <c r="C357" s="1" t="s">
        <v>22</v>
      </c>
      <c r="D357" s="1" t="s">
        <v>23</v>
      </c>
      <c r="E357" s="1" t="s">
        <v>12</v>
      </c>
      <c r="F357" s="1">
        <v>58</v>
      </c>
      <c r="G357" s="1">
        <v>76</v>
      </c>
      <c r="H357" s="1">
        <v>68</v>
      </c>
      <c r="I357" s="1">
        <v>58</v>
      </c>
    </row>
    <row r="358" spans="1:9" ht="13.2" x14ac:dyDescent="0.25">
      <c r="A358" s="1" t="s">
        <v>8</v>
      </c>
      <c r="B358" s="1" t="s">
        <v>18</v>
      </c>
      <c r="C358" s="1" t="s">
        <v>10</v>
      </c>
      <c r="D358" s="1" t="s">
        <v>23</v>
      </c>
      <c r="E358" s="1" t="s">
        <v>17</v>
      </c>
      <c r="F358" s="1">
        <v>42</v>
      </c>
      <c r="G358" s="1">
        <v>53</v>
      </c>
      <c r="H358" s="1">
        <v>62</v>
      </c>
      <c r="I358" s="1">
        <v>42</v>
      </c>
    </row>
    <row r="359" spans="1:9" ht="13.2" x14ac:dyDescent="0.25">
      <c r="A359" s="1" t="s">
        <v>19</v>
      </c>
      <c r="B359" s="1" t="s">
        <v>9</v>
      </c>
      <c r="C359" s="1" t="s">
        <v>16</v>
      </c>
      <c r="D359" s="1" t="s">
        <v>11</v>
      </c>
      <c r="E359" s="1" t="s">
        <v>12</v>
      </c>
      <c r="F359" s="1">
        <v>80</v>
      </c>
      <c r="G359" s="1">
        <v>72</v>
      </c>
      <c r="H359" s="1">
        <v>64</v>
      </c>
      <c r="I359" s="1">
        <v>80</v>
      </c>
    </row>
    <row r="360" spans="1:9" ht="13.2" x14ac:dyDescent="0.25">
      <c r="A360" s="1" t="s">
        <v>19</v>
      </c>
      <c r="B360" s="1" t="s">
        <v>18</v>
      </c>
      <c r="C360" s="1" t="s">
        <v>20</v>
      </c>
      <c r="D360" s="1" t="s">
        <v>23</v>
      </c>
      <c r="E360" s="1" t="s">
        <v>12</v>
      </c>
      <c r="F360" s="1">
        <v>62</v>
      </c>
      <c r="G360" s="1">
        <v>58</v>
      </c>
      <c r="H360" s="1">
        <v>52</v>
      </c>
      <c r="I360" s="1">
        <v>62</v>
      </c>
    </row>
    <row r="361" spans="1:9" ht="13.2" x14ac:dyDescent="0.25">
      <c r="A361" s="1" t="s">
        <v>8</v>
      </c>
      <c r="B361" s="1" t="s">
        <v>15</v>
      </c>
      <c r="C361" s="1" t="s">
        <v>10</v>
      </c>
      <c r="D361" s="1" t="s">
        <v>11</v>
      </c>
      <c r="E361" s="1" t="s">
        <v>12</v>
      </c>
      <c r="F361" s="1">
        <v>76</v>
      </c>
      <c r="G361" s="1">
        <v>78</v>
      </c>
      <c r="H361" s="1">
        <v>77</v>
      </c>
      <c r="I361" s="1">
        <v>76</v>
      </c>
    </row>
    <row r="362" spans="1:9" ht="13.2" x14ac:dyDescent="0.25">
      <c r="A362" s="1" t="s">
        <v>19</v>
      </c>
      <c r="B362" s="1" t="s">
        <v>21</v>
      </c>
      <c r="C362" s="1" t="s">
        <v>16</v>
      </c>
      <c r="D362" s="1" t="s">
        <v>11</v>
      </c>
      <c r="E362" s="1" t="s">
        <v>17</v>
      </c>
      <c r="F362" s="1">
        <v>90</v>
      </c>
      <c r="G362" s="1">
        <v>80</v>
      </c>
      <c r="H362" s="1">
        <v>81</v>
      </c>
      <c r="I362" s="1">
        <v>90</v>
      </c>
    </row>
    <row r="363" spans="1:9" ht="13.2" x14ac:dyDescent="0.25">
      <c r="A363" s="1" t="s">
        <v>8</v>
      </c>
      <c r="B363" s="1" t="s">
        <v>21</v>
      </c>
      <c r="C363" s="1" t="s">
        <v>10</v>
      </c>
      <c r="D363" s="1" t="s">
        <v>23</v>
      </c>
      <c r="E363" s="1" t="s">
        <v>17</v>
      </c>
      <c r="F363" s="1">
        <v>65</v>
      </c>
      <c r="G363" s="1">
        <v>70</v>
      </c>
      <c r="H363" s="1">
        <v>74</v>
      </c>
      <c r="I363" s="1">
        <v>65</v>
      </c>
    </row>
    <row r="364" spans="1:9" ht="13.2" x14ac:dyDescent="0.25">
      <c r="A364" s="1" t="s">
        <v>8</v>
      </c>
      <c r="B364" s="1" t="s">
        <v>9</v>
      </c>
      <c r="C364" s="1" t="s">
        <v>10</v>
      </c>
      <c r="D364" s="1" t="s">
        <v>11</v>
      </c>
      <c r="E364" s="1" t="s">
        <v>12</v>
      </c>
      <c r="F364" s="1">
        <v>43</v>
      </c>
      <c r="G364" s="1">
        <v>51</v>
      </c>
      <c r="H364" s="1">
        <v>42</v>
      </c>
      <c r="I364" s="1">
        <v>43</v>
      </c>
    </row>
    <row r="365" spans="1:9" ht="13.2" x14ac:dyDescent="0.25">
      <c r="A365" s="1" t="s">
        <v>19</v>
      </c>
      <c r="B365" s="1" t="s">
        <v>18</v>
      </c>
      <c r="C365" s="1" t="s">
        <v>24</v>
      </c>
      <c r="D365" s="1" t="s">
        <v>11</v>
      </c>
      <c r="E365" s="1" t="s">
        <v>17</v>
      </c>
      <c r="F365" s="1">
        <v>100</v>
      </c>
      <c r="G365" s="1">
        <v>88</v>
      </c>
      <c r="H365" s="1">
        <v>92</v>
      </c>
      <c r="I365" s="1">
        <v>100</v>
      </c>
    </row>
    <row r="366" spans="1:9" ht="13.2" x14ac:dyDescent="0.25">
      <c r="A366" s="1" t="s">
        <v>19</v>
      </c>
      <c r="B366" s="1" t="s">
        <v>18</v>
      </c>
      <c r="C366" s="1" t="s">
        <v>22</v>
      </c>
      <c r="D366" s="1" t="s">
        <v>11</v>
      </c>
      <c r="E366" s="1" t="s">
        <v>17</v>
      </c>
      <c r="F366" s="1">
        <v>84</v>
      </c>
      <c r="G366" s="1">
        <v>69</v>
      </c>
      <c r="H366" s="1">
        <v>74</v>
      </c>
      <c r="I366" s="1">
        <v>84</v>
      </c>
    </row>
    <row r="367" spans="1:9" ht="13.2" x14ac:dyDescent="0.25">
      <c r="A367" s="1" t="s">
        <v>8</v>
      </c>
      <c r="B367" s="1" t="s">
        <v>21</v>
      </c>
      <c r="C367" s="1" t="s">
        <v>16</v>
      </c>
      <c r="D367" s="1" t="s">
        <v>11</v>
      </c>
      <c r="E367" s="1" t="s">
        <v>12</v>
      </c>
      <c r="F367" s="1">
        <v>94</v>
      </c>
      <c r="G367" s="1">
        <v>97</v>
      </c>
      <c r="H367" s="1">
        <v>97</v>
      </c>
      <c r="I367" s="1">
        <v>94</v>
      </c>
    </row>
    <row r="368" spans="1:9" ht="13.2" x14ac:dyDescent="0.25">
      <c r="A368" s="1" t="s">
        <v>8</v>
      </c>
      <c r="B368" s="1" t="s">
        <v>21</v>
      </c>
      <c r="C368" s="1" t="s">
        <v>16</v>
      </c>
      <c r="D368" s="1" t="s">
        <v>11</v>
      </c>
      <c r="E368" s="1" t="s">
        <v>12</v>
      </c>
      <c r="F368" s="1">
        <v>88</v>
      </c>
      <c r="G368" s="1">
        <v>89</v>
      </c>
      <c r="H368" s="1">
        <v>86</v>
      </c>
      <c r="I368" s="1">
        <v>88</v>
      </c>
    </row>
    <row r="369" spans="1:9" ht="13.2" x14ac:dyDescent="0.25">
      <c r="A369" s="1" t="s">
        <v>19</v>
      </c>
      <c r="B369" s="1" t="s">
        <v>18</v>
      </c>
      <c r="C369" s="1" t="s">
        <v>16</v>
      </c>
      <c r="D369" s="1" t="s">
        <v>11</v>
      </c>
      <c r="E369" s="1" t="s">
        <v>12</v>
      </c>
      <c r="F369" s="1">
        <v>61</v>
      </c>
      <c r="G369" s="1">
        <v>54</v>
      </c>
      <c r="H369" s="1">
        <v>58</v>
      </c>
      <c r="I369" s="1">
        <v>61</v>
      </c>
    </row>
    <row r="370" spans="1:9" ht="13.2" x14ac:dyDescent="0.25">
      <c r="A370" s="1" t="s">
        <v>19</v>
      </c>
      <c r="B370" s="1" t="s">
        <v>18</v>
      </c>
      <c r="C370" s="1" t="s">
        <v>22</v>
      </c>
      <c r="D370" s="1" t="s">
        <v>11</v>
      </c>
      <c r="E370" s="1" t="s">
        <v>12</v>
      </c>
      <c r="F370" s="1">
        <v>59</v>
      </c>
      <c r="G370" s="1">
        <v>61</v>
      </c>
      <c r="H370" s="1">
        <v>58</v>
      </c>
      <c r="I370" s="1">
        <v>59</v>
      </c>
    </row>
    <row r="371" spans="1:9" ht="13.2" x14ac:dyDescent="0.25">
      <c r="A371" s="1" t="s">
        <v>19</v>
      </c>
      <c r="B371" s="1" t="s">
        <v>13</v>
      </c>
      <c r="C371" s="1" t="s">
        <v>10</v>
      </c>
      <c r="D371" s="1" t="s">
        <v>11</v>
      </c>
      <c r="E371" s="1" t="s">
        <v>17</v>
      </c>
      <c r="F371" s="1">
        <v>45</v>
      </c>
      <c r="G371" s="1">
        <v>49</v>
      </c>
      <c r="H371" s="1">
        <v>47</v>
      </c>
      <c r="I371" s="1">
        <v>45</v>
      </c>
    </row>
    <row r="372" spans="1:9" ht="13.2" x14ac:dyDescent="0.25">
      <c r="A372" s="1" t="s">
        <v>19</v>
      </c>
      <c r="B372" s="1" t="s">
        <v>18</v>
      </c>
      <c r="C372" s="1" t="s">
        <v>16</v>
      </c>
      <c r="D372" s="1" t="s">
        <v>23</v>
      </c>
      <c r="E372" s="1" t="s">
        <v>12</v>
      </c>
      <c r="F372" s="1">
        <v>28</v>
      </c>
      <c r="G372" s="1">
        <v>32</v>
      </c>
      <c r="H372" s="1">
        <v>27</v>
      </c>
      <c r="I372" s="1">
        <v>28</v>
      </c>
    </row>
    <row r="373" spans="1:9" ht="13.2" x14ac:dyDescent="0.25">
      <c r="A373" s="1" t="s">
        <v>19</v>
      </c>
      <c r="B373" s="1" t="s">
        <v>15</v>
      </c>
      <c r="C373" s="1" t="s">
        <v>22</v>
      </c>
      <c r="D373" s="1" t="s">
        <v>23</v>
      </c>
      <c r="E373" s="1" t="s">
        <v>17</v>
      </c>
      <c r="F373" s="1">
        <v>46</v>
      </c>
      <c r="G373" s="1">
        <v>48</v>
      </c>
      <c r="H373" s="1">
        <v>50</v>
      </c>
      <c r="I373" s="1">
        <v>46</v>
      </c>
    </row>
    <row r="374" spans="1:9" ht="13.2" x14ac:dyDescent="0.25">
      <c r="A374" s="1" t="s">
        <v>19</v>
      </c>
      <c r="B374" s="1" t="s">
        <v>18</v>
      </c>
      <c r="C374" s="1" t="s">
        <v>16</v>
      </c>
      <c r="D374" s="1" t="s">
        <v>23</v>
      </c>
      <c r="E374" s="1" t="s">
        <v>17</v>
      </c>
      <c r="F374" s="1">
        <v>66</v>
      </c>
      <c r="G374" s="1">
        <v>62</v>
      </c>
      <c r="H374" s="1">
        <v>57</v>
      </c>
      <c r="I374" s="1">
        <v>66</v>
      </c>
    </row>
    <row r="375" spans="1:9" ht="13.2" x14ac:dyDescent="0.25">
      <c r="A375" s="1" t="s">
        <v>8</v>
      </c>
      <c r="B375" s="1" t="s">
        <v>18</v>
      </c>
      <c r="C375" s="1" t="s">
        <v>14</v>
      </c>
      <c r="D375" s="1" t="s">
        <v>11</v>
      </c>
      <c r="E375" s="1" t="s">
        <v>12</v>
      </c>
      <c r="F375" s="1">
        <v>34</v>
      </c>
      <c r="G375" s="1">
        <v>43</v>
      </c>
      <c r="H375" s="1">
        <v>44</v>
      </c>
      <c r="I375" s="1">
        <v>34</v>
      </c>
    </row>
    <row r="376" spans="1:9" ht="13.2" x14ac:dyDescent="0.25">
      <c r="A376" s="1" t="s">
        <v>19</v>
      </c>
      <c r="B376" s="1" t="s">
        <v>18</v>
      </c>
      <c r="C376" s="1" t="s">
        <v>16</v>
      </c>
      <c r="D376" s="1" t="s">
        <v>11</v>
      </c>
      <c r="E376" s="1" t="s">
        <v>17</v>
      </c>
      <c r="F376" s="1">
        <v>94</v>
      </c>
      <c r="G376" s="1">
        <v>92</v>
      </c>
      <c r="H376" s="1">
        <v>87</v>
      </c>
      <c r="I376" s="1">
        <v>94</v>
      </c>
    </row>
    <row r="377" spans="1:9" ht="13.2" x14ac:dyDescent="0.25">
      <c r="A377" s="1" t="s">
        <v>8</v>
      </c>
      <c r="B377" s="1" t="s">
        <v>18</v>
      </c>
      <c r="C377" s="1" t="s">
        <v>14</v>
      </c>
      <c r="D377" s="1" t="s">
        <v>11</v>
      </c>
      <c r="E377" s="1" t="s">
        <v>12</v>
      </c>
      <c r="F377" s="1">
        <v>55</v>
      </c>
      <c r="G377" s="1">
        <v>65</v>
      </c>
      <c r="H377" s="1">
        <v>68</v>
      </c>
      <c r="I377" s="1">
        <v>55</v>
      </c>
    </row>
    <row r="378" spans="1:9" ht="13.2" x14ac:dyDescent="0.25">
      <c r="A378" s="1" t="s">
        <v>19</v>
      </c>
      <c r="B378" s="1" t="s">
        <v>18</v>
      </c>
      <c r="C378" s="1" t="s">
        <v>14</v>
      </c>
      <c r="D378" s="1" t="s">
        <v>11</v>
      </c>
      <c r="E378" s="1" t="s">
        <v>12</v>
      </c>
      <c r="F378" s="1">
        <v>90</v>
      </c>
      <c r="G378" s="1">
        <v>86</v>
      </c>
      <c r="H378" s="1">
        <v>81</v>
      </c>
      <c r="I378" s="1">
        <v>90</v>
      </c>
    </row>
    <row r="379" spans="1:9" ht="13.2" x14ac:dyDescent="0.25">
      <c r="A379" s="1" t="s">
        <v>19</v>
      </c>
      <c r="B379" s="1" t="s">
        <v>21</v>
      </c>
      <c r="C379" s="1" t="s">
        <v>22</v>
      </c>
      <c r="D379" s="1" t="s">
        <v>11</v>
      </c>
      <c r="E379" s="1" t="s">
        <v>17</v>
      </c>
      <c r="F379" s="1">
        <v>80</v>
      </c>
      <c r="G379" s="1">
        <v>79</v>
      </c>
      <c r="H379" s="1">
        <v>79</v>
      </c>
      <c r="I379" s="1">
        <v>80</v>
      </c>
    </row>
    <row r="380" spans="1:9" ht="13.2" x14ac:dyDescent="0.25">
      <c r="A380" s="1" t="s">
        <v>19</v>
      </c>
      <c r="B380" s="1" t="s">
        <v>18</v>
      </c>
      <c r="C380" s="1" t="s">
        <v>22</v>
      </c>
      <c r="D380" s="1" t="s">
        <v>11</v>
      </c>
      <c r="E380" s="1" t="s">
        <v>12</v>
      </c>
      <c r="F380" s="1">
        <v>78</v>
      </c>
      <c r="G380" s="1">
        <v>70</v>
      </c>
      <c r="H380" s="1">
        <v>71</v>
      </c>
      <c r="I380" s="1">
        <v>78</v>
      </c>
    </row>
    <row r="381" spans="1:9" ht="13.2" x14ac:dyDescent="0.25">
      <c r="A381" s="1" t="s">
        <v>8</v>
      </c>
      <c r="B381" s="1" t="s">
        <v>18</v>
      </c>
      <c r="C381" s="1" t="s">
        <v>22</v>
      </c>
      <c r="D381" s="1" t="s">
        <v>23</v>
      </c>
      <c r="E381" s="1" t="s">
        <v>17</v>
      </c>
      <c r="F381" s="1">
        <v>46</v>
      </c>
      <c r="G381" s="1">
        <v>58</v>
      </c>
      <c r="H381" s="1">
        <v>59</v>
      </c>
      <c r="I381" s="1">
        <v>46</v>
      </c>
    </row>
    <row r="382" spans="1:9" ht="13.2" x14ac:dyDescent="0.25">
      <c r="A382" s="1" t="s">
        <v>19</v>
      </c>
      <c r="B382" s="1" t="s">
        <v>13</v>
      </c>
      <c r="C382" s="1" t="s">
        <v>22</v>
      </c>
      <c r="D382" s="1" t="s">
        <v>11</v>
      </c>
      <c r="E382" s="1" t="s">
        <v>17</v>
      </c>
      <c r="F382" s="1">
        <v>75</v>
      </c>
      <c r="G382" s="1">
        <v>74</v>
      </c>
      <c r="H382" s="1">
        <v>77</v>
      </c>
      <c r="I382" s="1">
        <v>75</v>
      </c>
    </row>
    <row r="383" spans="1:9" ht="13.2" x14ac:dyDescent="0.25">
      <c r="A383" s="1" t="s">
        <v>8</v>
      </c>
      <c r="B383" s="1" t="s">
        <v>18</v>
      </c>
      <c r="C383" s="1" t="s">
        <v>22</v>
      </c>
      <c r="D383" s="1" t="s">
        <v>11</v>
      </c>
      <c r="E383" s="1" t="s">
        <v>17</v>
      </c>
      <c r="F383" s="1">
        <v>85</v>
      </c>
      <c r="G383" s="1">
        <v>84</v>
      </c>
      <c r="H383" s="1">
        <v>89</v>
      </c>
      <c r="I383" s="1">
        <v>85</v>
      </c>
    </row>
    <row r="384" spans="1:9" ht="13.2" x14ac:dyDescent="0.25">
      <c r="A384" s="1" t="s">
        <v>19</v>
      </c>
      <c r="B384" s="1" t="s">
        <v>21</v>
      </c>
      <c r="C384" s="1" t="s">
        <v>10</v>
      </c>
      <c r="D384" s="1" t="s">
        <v>23</v>
      </c>
      <c r="E384" s="1" t="s">
        <v>12</v>
      </c>
      <c r="F384" s="1">
        <v>60</v>
      </c>
      <c r="G384" s="1">
        <v>52</v>
      </c>
      <c r="H384" s="1">
        <v>51</v>
      </c>
      <c r="I384" s="1">
        <v>60</v>
      </c>
    </row>
    <row r="385" spans="1:9" ht="13.2" x14ac:dyDescent="0.25">
      <c r="A385" s="1" t="s">
        <v>8</v>
      </c>
      <c r="B385" s="1" t="s">
        <v>9</v>
      </c>
      <c r="C385" s="1" t="s">
        <v>22</v>
      </c>
      <c r="D385" s="1" t="s">
        <v>23</v>
      </c>
      <c r="E385" s="1" t="s">
        <v>12</v>
      </c>
      <c r="F385" s="1">
        <v>67</v>
      </c>
      <c r="G385" s="1">
        <v>79</v>
      </c>
      <c r="H385" s="1">
        <v>78</v>
      </c>
      <c r="I385" s="1">
        <v>67</v>
      </c>
    </row>
    <row r="386" spans="1:9" ht="13.2" x14ac:dyDescent="0.25">
      <c r="A386" s="1" t="s">
        <v>19</v>
      </c>
      <c r="B386" s="1" t="s">
        <v>9</v>
      </c>
      <c r="C386" s="1" t="s">
        <v>20</v>
      </c>
      <c r="D386" s="1" t="s">
        <v>11</v>
      </c>
      <c r="E386" s="1" t="s">
        <v>12</v>
      </c>
      <c r="F386" s="1">
        <v>54</v>
      </c>
      <c r="G386" s="1">
        <v>33</v>
      </c>
      <c r="H386" s="1">
        <v>39</v>
      </c>
      <c r="I386" s="1">
        <v>54</v>
      </c>
    </row>
    <row r="387" spans="1:9" ht="13.2" x14ac:dyDescent="0.25">
      <c r="A387" s="1" t="s">
        <v>19</v>
      </c>
      <c r="B387" s="1" t="s">
        <v>13</v>
      </c>
      <c r="C387" s="1" t="s">
        <v>22</v>
      </c>
      <c r="D387" s="1" t="s">
        <v>23</v>
      </c>
      <c r="E387" s="1" t="s">
        <v>12</v>
      </c>
      <c r="F387" s="1">
        <v>57</v>
      </c>
      <c r="G387" s="1">
        <v>61</v>
      </c>
      <c r="H387" s="1">
        <v>56</v>
      </c>
      <c r="I387" s="1">
        <v>57</v>
      </c>
    </row>
    <row r="388" spans="1:9" ht="13.2" x14ac:dyDescent="0.25">
      <c r="A388" s="1" t="s">
        <v>19</v>
      </c>
      <c r="B388" s="1" t="s">
        <v>9</v>
      </c>
      <c r="C388" s="1" t="s">
        <v>20</v>
      </c>
      <c r="D388" s="1" t="s">
        <v>11</v>
      </c>
      <c r="E388" s="1" t="s">
        <v>12</v>
      </c>
      <c r="F388" s="1">
        <v>77</v>
      </c>
      <c r="G388" s="1">
        <v>77</v>
      </c>
      <c r="H388" s="1">
        <v>76</v>
      </c>
      <c r="I388" s="1">
        <v>77</v>
      </c>
    </row>
    <row r="389" spans="1:9" ht="13.2" x14ac:dyDescent="0.25">
      <c r="A389" s="1" t="s">
        <v>19</v>
      </c>
      <c r="B389" s="1" t="s">
        <v>13</v>
      </c>
      <c r="C389" s="1" t="s">
        <v>10</v>
      </c>
      <c r="D389" s="1" t="s">
        <v>11</v>
      </c>
      <c r="E389" s="1" t="s">
        <v>12</v>
      </c>
      <c r="F389" s="1">
        <v>84</v>
      </c>
      <c r="G389" s="1">
        <v>89</v>
      </c>
      <c r="H389" s="1">
        <v>79</v>
      </c>
      <c r="I389" s="1">
        <v>84</v>
      </c>
    </row>
    <row r="390" spans="1:9" ht="13.2" x14ac:dyDescent="0.25">
      <c r="A390" s="1" t="s">
        <v>19</v>
      </c>
      <c r="B390" s="1" t="s">
        <v>18</v>
      </c>
      <c r="C390" s="1" t="s">
        <v>22</v>
      </c>
      <c r="D390" s="1" t="s">
        <v>11</v>
      </c>
      <c r="E390" s="1" t="s">
        <v>12</v>
      </c>
      <c r="F390" s="1">
        <v>44</v>
      </c>
      <c r="G390" s="1">
        <v>34</v>
      </c>
      <c r="H390" s="1">
        <v>31</v>
      </c>
      <c r="I390" s="1">
        <v>44</v>
      </c>
    </row>
    <row r="391" spans="1:9" ht="13.2" x14ac:dyDescent="0.25">
      <c r="A391" s="1" t="s">
        <v>8</v>
      </c>
      <c r="B391" s="1" t="s">
        <v>15</v>
      </c>
      <c r="C391" s="1" t="s">
        <v>10</v>
      </c>
      <c r="D391" s="1" t="s">
        <v>11</v>
      </c>
      <c r="E391" s="1" t="s">
        <v>17</v>
      </c>
      <c r="F391" s="1">
        <v>61</v>
      </c>
      <c r="G391" s="1">
        <v>76</v>
      </c>
      <c r="H391" s="1">
        <v>76</v>
      </c>
      <c r="I391" s="1">
        <v>61</v>
      </c>
    </row>
    <row r="392" spans="1:9" ht="13.2" x14ac:dyDescent="0.25">
      <c r="A392" s="1" t="s">
        <v>8</v>
      </c>
      <c r="B392" s="1" t="s">
        <v>15</v>
      </c>
      <c r="C392" s="1" t="s">
        <v>14</v>
      </c>
      <c r="D392" s="1" t="s">
        <v>23</v>
      </c>
      <c r="E392" s="1" t="s">
        <v>12</v>
      </c>
      <c r="F392" s="1">
        <v>35</v>
      </c>
      <c r="G392" s="1">
        <v>51</v>
      </c>
      <c r="H392" s="1">
        <v>47</v>
      </c>
      <c r="I392" s="1">
        <v>35</v>
      </c>
    </row>
    <row r="393" spans="1:9" ht="13.2" x14ac:dyDescent="0.25">
      <c r="A393" s="1" t="s">
        <v>8</v>
      </c>
      <c r="B393" s="1" t="s">
        <v>13</v>
      </c>
      <c r="C393" s="1" t="s">
        <v>10</v>
      </c>
      <c r="D393" s="1" t="s">
        <v>11</v>
      </c>
      <c r="E393" s="1" t="s">
        <v>12</v>
      </c>
      <c r="F393" s="1">
        <v>69</v>
      </c>
      <c r="G393" s="1">
        <v>84</v>
      </c>
      <c r="H393" s="1">
        <v>78</v>
      </c>
      <c r="I393" s="1">
        <v>69</v>
      </c>
    </row>
    <row r="394" spans="1:9" ht="13.2" x14ac:dyDescent="0.25">
      <c r="A394" s="1" t="s">
        <v>19</v>
      </c>
      <c r="B394" s="1" t="s">
        <v>9</v>
      </c>
      <c r="C394" s="1" t="s">
        <v>14</v>
      </c>
      <c r="D394" s="1" t="s">
        <v>11</v>
      </c>
      <c r="E394" s="1" t="s">
        <v>17</v>
      </c>
      <c r="F394" s="1">
        <v>77</v>
      </c>
      <c r="G394" s="1">
        <v>65</v>
      </c>
      <c r="H394" s="1">
        <v>71</v>
      </c>
      <c r="I394" s="1">
        <v>77</v>
      </c>
    </row>
    <row r="395" spans="1:9" ht="13.2" x14ac:dyDescent="0.25">
      <c r="A395" s="1" t="s">
        <v>8</v>
      </c>
      <c r="B395" s="1" t="s">
        <v>18</v>
      </c>
      <c r="C395" s="1" t="s">
        <v>22</v>
      </c>
      <c r="D395" s="1" t="s">
        <v>23</v>
      </c>
      <c r="E395" s="1" t="s">
        <v>17</v>
      </c>
      <c r="F395" s="1">
        <v>43</v>
      </c>
      <c r="G395" s="1">
        <v>62</v>
      </c>
      <c r="H395" s="1">
        <v>55</v>
      </c>
      <c r="I395" s="1">
        <v>43</v>
      </c>
    </row>
    <row r="396" spans="1:9" ht="13.2" x14ac:dyDescent="0.25">
      <c r="A396" s="1" t="s">
        <v>19</v>
      </c>
      <c r="B396" s="1" t="s">
        <v>13</v>
      </c>
      <c r="C396" s="1" t="s">
        <v>16</v>
      </c>
      <c r="D396" s="1" t="s">
        <v>11</v>
      </c>
      <c r="E396" s="1" t="s">
        <v>12</v>
      </c>
      <c r="F396" s="1">
        <v>58</v>
      </c>
      <c r="G396" s="1">
        <v>60</v>
      </c>
      <c r="H396" s="1">
        <v>57</v>
      </c>
      <c r="I396" s="1">
        <v>58</v>
      </c>
    </row>
    <row r="397" spans="1:9" ht="13.2" x14ac:dyDescent="0.25">
      <c r="A397" s="1" t="s">
        <v>19</v>
      </c>
      <c r="B397" s="1" t="s">
        <v>9</v>
      </c>
      <c r="C397" s="1" t="s">
        <v>14</v>
      </c>
      <c r="D397" s="1" t="s">
        <v>11</v>
      </c>
      <c r="E397" s="1" t="s">
        <v>17</v>
      </c>
      <c r="F397" s="1">
        <v>65</v>
      </c>
      <c r="G397" s="1">
        <v>67</v>
      </c>
      <c r="H397" s="1">
        <v>68</v>
      </c>
      <c r="I397" s="1">
        <v>65</v>
      </c>
    </row>
    <row r="398" spans="1:9" ht="13.2" x14ac:dyDescent="0.25">
      <c r="A398" s="1" t="s">
        <v>8</v>
      </c>
      <c r="B398" s="1" t="s">
        <v>15</v>
      </c>
      <c r="C398" s="1" t="s">
        <v>20</v>
      </c>
      <c r="D398" s="1" t="s">
        <v>23</v>
      </c>
      <c r="E398" s="1" t="s">
        <v>17</v>
      </c>
      <c r="F398" s="1">
        <v>44</v>
      </c>
      <c r="G398" s="1">
        <v>62</v>
      </c>
      <c r="H398" s="1">
        <v>62</v>
      </c>
      <c r="I398" s="1">
        <v>44</v>
      </c>
    </row>
    <row r="399" spans="1:9" ht="13.2" x14ac:dyDescent="0.25">
      <c r="A399" s="1" t="s">
        <v>8</v>
      </c>
      <c r="B399" s="1" t="s">
        <v>21</v>
      </c>
      <c r="C399" s="1" t="s">
        <v>10</v>
      </c>
      <c r="D399" s="1" t="s">
        <v>11</v>
      </c>
      <c r="E399" s="1" t="s">
        <v>12</v>
      </c>
      <c r="F399" s="1">
        <v>80</v>
      </c>
      <c r="G399" s="1">
        <v>86</v>
      </c>
      <c r="H399" s="1">
        <v>82</v>
      </c>
      <c r="I399" s="1">
        <v>80</v>
      </c>
    </row>
    <row r="400" spans="1:9" ht="13.2" x14ac:dyDescent="0.25">
      <c r="A400" s="1" t="s">
        <v>19</v>
      </c>
      <c r="B400" s="1" t="s">
        <v>18</v>
      </c>
      <c r="C400" s="1" t="s">
        <v>10</v>
      </c>
      <c r="D400" s="1" t="s">
        <v>11</v>
      </c>
      <c r="E400" s="1" t="s">
        <v>12</v>
      </c>
      <c r="F400" s="1">
        <v>70</v>
      </c>
      <c r="G400" s="1">
        <v>67</v>
      </c>
      <c r="H400" s="1">
        <v>65</v>
      </c>
      <c r="I400" s="1">
        <v>70</v>
      </c>
    </row>
    <row r="401" spans="1:9" ht="13.2" x14ac:dyDescent="0.25">
      <c r="A401" s="1" t="s">
        <v>19</v>
      </c>
      <c r="B401" s="1" t="s">
        <v>9</v>
      </c>
      <c r="C401" s="1" t="s">
        <v>20</v>
      </c>
      <c r="D401" s="1" t="s">
        <v>23</v>
      </c>
      <c r="E401" s="1" t="s">
        <v>17</v>
      </c>
      <c r="F401" s="1">
        <v>58</v>
      </c>
      <c r="G401" s="1">
        <v>56</v>
      </c>
      <c r="H401" s="1">
        <v>58</v>
      </c>
      <c r="I401" s="1">
        <v>58</v>
      </c>
    </row>
    <row r="402" spans="1:9" ht="13.2" x14ac:dyDescent="0.25">
      <c r="A402" s="1" t="s">
        <v>8</v>
      </c>
      <c r="B402" s="1" t="s">
        <v>21</v>
      </c>
      <c r="C402" s="1" t="s">
        <v>20</v>
      </c>
      <c r="D402" s="1" t="s">
        <v>11</v>
      </c>
      <c r="E402" s="1" t="s">
        <v>12</v>
      </c>
      <c r="F402" s="1">
        <v>98</v>
      </c>
      <c r="G402" s="1">
        <v>100</v>
      </c>
      <c r="H402" s="1">
        <v>95</v>
      </c>
      <c r="I402" s="1">
        <v>98</v>
      </c>
    </row>
    <row r="403" spans="1:9" ht="13.2" x14ac:dyDescent="0.25">
      <c r="A403" s="1" t="s">
        <v>19</v>
      </c>
      <c r="B403" s="1" t="s">
        <v>13</v>
      </c>
      <c r="C403" s="1" t="s">
        <v>14</v>
      </c>
      <c r="D403" s="1" t="s">
        <v>11</v>
      </c>
      <c r="E403" s="1" t="s">
        <v>12</v>
      </c>
      <c r="F403" s="1">
        <v>41</v>
      </c>
      <c r="G403" s="1">
        <v>31</v>
      </c>
      <c r="H403" s="1">
        <v>27</v>
      </c>
      <c r="I403" s="1">
        <v>41</v>
      </c>
    </row>
    <row r="404" spans="1:9" ht="13.2" x14ac:dyDescent="0.25">
      <c r="A404" s="1" t="s">
        <v>8</v>
      </c>
      <c r="B404" s="1" t="s">
        <v>18</v>
      </c>
      <c r="C404" s="1" t="s">
        <v>20</v>
      </c>
      <c r="D404" s="1" t="s">
        <v>11</v>
      </c>
      <c r="E404" s="1" t="s">
        <v>12</v>
      </c>
      <c r="F404" s="1">
        <v>69</v>
      </c>
      <c r="G404" s="1">
        <v>68</v>
      </c>
      <c r="H404" s="1">
        <v>67</v>
      </c>
      <c r="I404" s="1">
        <v>69</v>
      </c>
    </row>
    <row r="405" spans="1:9" ht="13.2" x14ac:dyDescent="0.25">
      <c r="A405" s="1" t="s">
        <v>8</v>
      </c>
      <c r="B405" s="1" t="s">
        <v>18</v>
      </c>
      <c r="C405" s="1" t="s">
        <v>22</v>
      </c>
      <c r="D405" s="1" t="s">
        <v>23</v>
      </c>
      <c r="E405" s="1" t="s">
        <v>17</v>
      </c>
      <c r="F405" s="1">
        <v>69</v>
      </c>
      <c r="G405" s="1">
        <v>79</v>
      </c>
      <c r="H405" s="1">
        <v>79</v>
      </c>
      <c r="I405" s="1">
        <v>69</v>
      </c>
    </row>
    <row r="406" spans="1:9" ht="13.2" x14ac:dyDescent="0.25">
      <c r="A406" s="1" t="s">
        <v>19</v>
      </c>
      <c r="B406" s="1" t="s">
        <v>9</v>
      </c>
      <c r="C406" s="1" t="s">
        <v>16</v>
      </c>
      <c r="D406" s="1" t="s">
        <v>23</v>
      </c>
      <c r="E406" s="1" t="s">
        <v>12</v>
      </c>
      <c r="F406" s="1">
        <v>85</v>
      </c>
      <c r="G406" s="1">
        <v>68</v>
      </c>
      <c r="H406" s="1">
        <v>69</v>
      </c>
      <c r="I406" s="1">
        <v>85</v>
      </c>
    </row>
    <row r="407" spans="1:9" ht="13.2" x14ac:dyDescent="0.25">
      <c r="A407" s="1" t="s">
        <v>8</v>
      </c>
      <c r="B407" s="1" t="s">
        <v>18</v>
      </c>
      <c r="C407" s="1" t="s">
        <v>22</v>
      </c>
      <c r="D407" s="1" t="s">
        <v>11</v>
      </c>
      <c r="E407" s="1" t="s">
        <v>12</v>
      </c>
      <c r="F407" s="1">
        <v>79</v>
      </c>
      <c r="G407" s="1">
        <v>97</v>
      </c>
      <c r="H407" s="1">
        <v>90</v>
      </c>
      <c r="I407" s="1">
        <v>79</v>
      </c>
    </row>
    <row r="408" spans="1:9" ht="13.2" x14ac:dyDescent="0.25">
      <c r="A408" s="1" t="s">
        <v>8</v>
      </c>
      <c r="B408" s="1" t="s">
        <v>13</v>
      </c>
      <c r="C408" s="1" t="s">
        <v>16</v>
      </c>
      <c r="D408" s="1" t="s">
        <v>11</v>
      </c>
      <c r="E408" s="1" t="s">
        <v>17</v>
      </c>
      <c r="F408" s="1">
        <v>67</v>
      </c>
      <c r="G408" s="1">
        <v>66</v>
      </c>
      <c r="H408" s="1">
        <v>74</v>
      </c>
      <c r="I408" s="1">
        <v>67</v>
      </c>
    </row>
    <row r="409" spans="1:9" ht="13.2" x14ac:dyDescent="0.25">
      <c r="A409" s="1" t="s">
        <v>19</v>
      </c>
      <c r="B409" s="1" t="s">
        <v>13</v>
      </c>
      <c r="C409" s="1" t="s">
        <v>10</v>
      </c>
      <c r="D409" s="1" t="s">
        <v>23</v>
      </c>
      <c r="E409" s="1" t="s">
        <v>12</v>
      </c>
      <c r="F409" s="1">
        <v>40</v>
      </c>
      <c r="G409" s="1">
        <v>48</v>
      </c>
      <c r="H409" s="1">
        <v>45</v>
      </c>
      <c r="I409" s="1">
        <v>40</v>
      </c>
    </row>
    <row r="410" spans="1:9" ht="13.2" x14ac:dyDescent="0.25">
      <c r="A410" s="1" t="s">
        <v>8</v>
      </c>
      <c r="B410" s="1" t="s">
        <v>13</v>
      </c>
      <c r="C410" s="1" t="s">
        <v>16</v>
      </c>
      <c r="D410" s="1" t="s">
        <v>11</v>
      </c>
      <c r="E410" s="1" t="s">
        <v>12</v>
      </c>
      <c r="F410" s="1">
        <v>45</v>
      </c>
      <c r="G410" s="1">
        <v>53</v>
      </c>
      <c r="H410" s="1">
        <v>56</v>
      </c>
      <c r="I410" s="1">
        <v>45</v>
      </c>
    </row>
    <row r="411" spans="1:9" ht="13.2" x14ac:dyDescent="0.25">
      <c r="A411" s="1" t="s">
        <v>19</v>
      </c>
      <c r="B411" s="1" t="s">
        <v>15</v>
      </c>
      <c r="C411" s="1" t="s">
        <v>16</v>
      </c>
      <c r="D411" s="1" t="s">
        <v>11</v>
      </c>
      <c r="E411" s="1" t="s">
        <v>17</v>
      </c>
      <c r="F411" s="1">
        <v>45</v>
      </c>
      <c r="G411" s="1">
        <v>51</v>
      </c>
      <c r="H411" s="1">
        <v>39</v>
      </c>
      <c r="I411" s="1">
        <v>45</v>
      </c>
    </row>
    <row r="412" spans="1:9" ht="13.2" x14ac:dyDescent="0.25">
      <c r="A412" s="1" t="s">
        <v>19</v>
      </c>
      <c r="B412" s="1" t="s">
        <v>18</v>
      </c>
      <c r="C412" s="1" t="s">
        <v>16</v>
      </c>
      <c r="D412" s="1" t="s">
        <v>23</v>
      </c>
      <c r="E412" s="1" t="s">
        <v>12</v>
      </c>
      <c r="F412" s="1">
        <v>39</v>
      </c>
      <c r="G412" s="1">
        <v>58</v>
      </c>
      <c r="H412" s="1">
        <v>47</v>
      </c>
      <c r="I412" s="1">
        <v>39</v>
      </c>
    </row>
    <row r="413" spans="1:9" ht="13.2" x14ac:dyDescent="0.25">
      <c r="A413" s="1" t="s">
        <v>8</v>
      </c>
      <c r="B413" s="1" t="s">
        <v>13</v>
      </c>
      <c r="C413" s="1" t="s">
        <v>10</v>
      </c>
      <c r="D413" s="1" t="s">
        <v>23</v>
      </c>
      <c r="E413" s="1" t="s">
        <v>12</v>
      </c>
      <c r="F413" s="1">
        <v>55</v>
      </c>
      <c r="G413" s="1">
        <v>65</v>
      </c>
      <c r="H413" s="1">
        <v>58</v>
      </c>
      <c r="I413" s="1">
        <v>55</v>
      </c>
    </row>
    <row r="414" spans="1:9" ht="13.2" x14ac:dyDescent="0.25">
      <c r="A414" s="1" t="s">
        <v>8</v>
      </c>
      <c r="B414" s="1" t="s">
        <v>21</v>
      </c>
      <c r="C414" s="1" t="s">
        <v>14</v>
      </c>
      <c r="D414" s="1" t="s">
        <v>11</v>
      </c>
      <c r="E414" s="1" t="s">
        <v>17</v>
      </c>
      <c r="F414" s="1">
        <v>64</v>
      </c>
      <c r="G414" s="1">
        <v>59</v>
      </c>
      <c r="H414" s="1">
        <v>63</v>
      </c>
      <c r="I414" s="1">
        <v>64</v>
      </c>
    </row>
    <row r="415" spans="1:9" ht="13.2" x14ac:dyDescent="0.25">
      <c r="A415" s="1" t="s">
        <v>8</v>
      </c>
      <c r="B415" s="1" t="s">
        <v>18</v>
      </c>
      <c r="C415" s="1" t="s">
        <v>10</v>
      </c>
      <c r="D415" s="1" t="s">
        <v>11</v>
      </c>
      <c r="E415" s="1" t="s">
        <v>17</v>
      </c>
      <c r="F415" s="1">
        <v>38</v>
      </c>
      <c r="G415" s="1">
        <v>53</v>
      </c>
      <c r="H415" s="1">
        <v>55</v>
      </c>
      <c r="I415" s="1">
        <v>38</v>
      </c>
    </row>
    <row r="416" spans="1:9" ht="13.2" x14ac:dyDescent="0.25">
      <c r="A416" s="1" t="s">
        <v>19</v>
      </c>
      <c r="B416" s="1" t="s">
        <v>13</v>
      </c>
      <c r="C416" s="1" t="s">
        <v>14</v>
      </c>
      <c r="D416" s="1" t="s">
        <v>23</v>
      </c>
      <c r="E416" s="1" t="s">
        <v>12</v>
      </c>
      <c r="F416" s="1">
        <v>59</v>
      </c>
      <c r="G416" s="1">
        <v>51</v>
      </c>
      <c r="H416" s="1">
        <v>53</v>
      </c>
      <c r="I416" s="1">
        <v>59</v>
      </c>
    </row>
    <row r="417" spans="1:9" ht="13.2" x14ac:dyDescent="0.25">
      <c r="A417" s="1" t="s">
        <v>19</v>
      </c>
      <c r="B417" s="1" t="s">
        <v>13</v>
      </c>
      <c r="C417" s="1" t="s">
        <v>22</v>
      </c>
      <c r="D417" s="1" t="s">
        <v>11</v>
      </c>
      <c r="E417" s="1" t="s">
        <v>12</v>
      </c>
      <c r="F417" s="1">
        <v>92</v>
      </c>
      <c r="G417" s="1">
        <v>80</v>
      </c>
      <c r="H417" s="1">
        <v>78</v>
      </c>
      <c r="I417" s="1">
        <v>92</v>
      </c>
    </row>
    <row r="418" spans="1:9" ht="13.2" x14ac:dyDescent="0.25">
      <c r="A418" s="1" t="s">
        <v>8</v>
      </c>
      <c r="B418" s="1" t="s">
        <v>13</v>
      </c>
      <c r="C418" s="1" t="s">
        <v>20</v>
      </c>
      <c r="D418" s="1" t="s">
        <v>23</v>
      </c>
      <c r="E418" s="1" t="s">
        <v>12</v>
      </c>
      <c r="F418" s="1">
        <v>46</v>
      </c>
      <c r="G418" s="1">
        <v>68</v>
      </c>
      <c r="H418" s="1">
        <v>67</v>
      </c>
      <c r="I418" s="1">
        <v>46</v>
      </c>
    </row>
    <row r="419" spans="1:9" ht="13.2" x14ac:dyDescent="0.25">
      <c r="A419" s="1" t="s">
        <v>19</v>
      </c>
      <c r="B419" s="1" t="s">
        <v>13</v>
      </c>
      <c r="C419" s="1" t="s">
        <v>24</v>
      </c>
      <c r="D419" s="1" t="s">
        <v>23</v>
      </c>
      <c r="E419" s="1" t="s">
        <v>17</v>
      </c>
      <c r="F419" s="1">
        <v>78</v>
      </c>
      <c r="G419" s="1">
        <v>81</v>
      </c>
      <c r="H419" s="1">
        <v>77</v>
      </c>
      <c r="I419" s="1">
        <v>78</v>
      </c>
    </row>
    <row r="420" spans="1:9" ht="13.2" x14ac:dyDescent="0.25">
      <c r="A420" s="1" t="s">
        <v>19</v>
      </c>
      <c r="B420" s="1" t="s">
        <v>15</v>
      </c>
      <c r="C420" s="1" t="s">
        <v>22</v>
      </c>
      <c r="D420" s="1" t="s">
        <v>11</v>
      </c>
      <c r="E420" s="1" t="s">
        <v>12</v>
      </c>
      <c r="F420" s="1">
        <v>63</v>
      </c>
      <c r="G420" s="1">
        <v>53</v>
      </c>
      <c r="H420" s="1">
        <v>48</v>
      </c>
      <c r="I420" s="1">
        <v>63</v>
      </c>
    </row>
    <row r="421" spans="1:9" ht="13.2" x14ac:dyDescent="0.25">
      <c r="A421" s="1" t="s">
        <v>8</v>
      </c>
      <c r="B421" s="1" t="s">
        <v>18</v>
      </c>
      <c r="C421" s="1" t="s">
        <v>24</v>
      </c>
      <c r="D421" s="1" t="s">
        <v>11</v>
      </c>
      <c r="E421" s="1" t="s">
        <v>12</v>
      </c>
      <c r="F421" s="1">
        <v>52</v>
      </c>
      <c r="G421" s="1">
        <v>64</v>
      </c>
      <c r="H421" s="1">
        <v>69</v>
      </c>
      <c r="I421" s="1">
        <v>52</v>
      </c>
    </row>
    <row r="422" spans="1:9" ht="13.2" x14ac:dyDescent="0.25">
      <c r="A422" s="1" t="s">
        <v>19</v>
      </c>
      <c r="B422" s="1" t="s">
        <v>15</v>
      </c>
      <c r="C422" s="1" t="s">
        <v>10</v>
      </c>
      <c r="D422" s="1" t="s">
        <v>11</v>
      </c>
      <c r="E422" s="1" t="s">
        <v>17</v>
      </c>
      <c r="F422" s="1">
        <v>55</v>
      </c>
      <c r="G422" s="1">
        <v>51</v>
      </c>
      <c r="H422" s="1">
        <v>46</v>
      </c>
      <c r="I422" s="1">
        <v>55</v>
      </c>
    </row>
    <row r="423" spans="1:9" ht="13.2" x14ac:dyDescent="0.25">
      <c r="A423" s="1" t="s">
        <v>8</v>
      </c>
      <c r="B423" s="1" t="s">
        <v>9</v>
      </c>
      <c r="C423" s="1" t="s">
        <v>14</v>
      </c>
      <c r="D423" s="1" t="s">
        <v>23</v>
      </c>
      <c r="E423" s="1" t="s">
        <v>12</v>
      </c>
      <c r="F423" s="1">
        <v>62</v>
      </c>
      <c r="G423" s="1">
        <v>82</v>
      </c>
      <c r="H423" s="1">
        <v>68</v>
      </c>
      <c r="I423" s="1">
        <v>62</v>
      </c>
    </row>
    <row r="424" spans="1:9" ht="13.2" x14ac:dyDescent="0.25">
      <c r="A424" s="1" t="s">
        <v>19</v>
      </c>
      <c r="B424" s="1" t="s">
        <v>9</v>
      </c>
      <c r="C424" s="1" t="s">
        <v>10</v>
      </c>
      <c r="D424" s="1" t="s">
        <v>11</v>
      </c>
      <c r="E424" s="1" t="s">
        <v>12</v>
      </c>
      <c r="F424" s="1">
        <v>88</v>
      </c>
      <c r="G424" s="1">
        <v>77</v>
      </c>
      <c r="H424" s="1">
        <v>78</v>
      </c>
      <c r="I424" s="1">
        <v>88</v>
      </c>
    </row>
    <row r="425" spans="1:9" ht="13.2" x14ac:dyDescent="0.25">
      <c r="A425" s="1" t="s">
        <v>19</v>
      </c>
      <c r="B425" s="1" t="s">
        <v>13</v>
      </c>
      <c r="C425" s="1" t="s">
        <v>14</v>
      </c>
      <c r="D425" s="1" t="s">
        <v>23</v>
      </c>
      <c r="E425" s="1" t="s">
        <v>17</v>
      </c>
      <c r="F425" s="1">
        <v>93</v>
      </c>
      <c r="G425" s="1">
        <v>87</v>
      </c>
      <c r="H425" s="1">
        <v>87</v>
      </c>
      <c r="I425" s="1">
        <v>93</v>
      </c>
    </row>
    <row r="426" spans="1:9" ht="13.2" x14ac:dyDescent="0.25">
      <c r="A426" s="1" t="s">
        <v>19</v>
      </c>
      <c r="B426" s="1" t="s">
        <v>9</v>
      </c>
      <c r="C426" s="1" t="s">
        <v>20</v>
      </c>
      <c r="D426" s="1" t="s">
        <v>11</v>
      </c>
      <c r="E426" s="1" t="s">
        <v>12</v>
      </c>
      <c r="F426" s="1">
        <v>69</v>
      </c>
      <c r="G426" s="1">
        <v>66</v>
      </c>
      <c r="H426" s="1">
        <v>65</v>
      </c>
      <c r="I426" s="1">
        <v>69</v>
      </c>
    </row>
    <row r="427" spans="1:9" ht="13.2" x14ac:dyDescent="0.25">
      <c r="A427" s="1" t="s">
        <v>8</v>
      </c>
      <c r="B427" s="1" t="s">
        <v>15</v>
      </c>
      <c r="C427" s="1" t="s">
        <v>16</v>
      </c>
      <c r="D427" s="1" t="s">
        <v>23</v>
      </c>
      <c r="E427" s="1" t="s">
        <v>17</v>
      </c>
      <c r="F427" s="1">
        <v>66</v>
      </c>
      <c r="G427" s="1">
        <v>77</v>
      </c>
      <c r="H427" s="1">
        <v>79</v>
      </c>
      <c r="I427" s="1">
        <v>66</v>
      </c>
    </row>
    <row r="428" spans="1:9" ht="13.2" x14ac:dyDescent="0.25">
      <c r="A428" s="1" t="s">
        <v>19</v>
      </c>
      <c r="B428" s="1" t="s">
        <v>21</v>
      </c>
      <c r="C428" s="1" t="s">
        <v>22</v>
      </c>
      <c r="D428" s="1" t="s">
        <v>11</v>
      </c>
      <c r="E428" s="1" t="s">
        <v>17</v>
      </c>
      <c r="F428" s="1">
        <v>67</v>
      </c>
      <c r="G428" s="1">
        <v>64</v>
      </c>
      <c r="H428" s="1">
        <v>63</v>
      </c>
      <c r="I428" s="1">
        <v>67</v>
      </c>
    </row>
    <row r="429" spans="1:9" ht="13.2" x14ac:dyDescent="0.25">
      <c r="A429" s="1" t="s">
        <v>8</v>
      </c>
      <c r="B429" s="1" t="s">
        <v>9</v>
      </c>
      <c r="C429" s="1" t="s">
        <v>24</v>
      </c>
      <c r="D429" s="1" t="s">
        <v>23</v>
      </c>
      <c r="E429" s="1" t="s">
        <v>12</v>
      </c>
      <c r="F429" s="1">
        <v>55</v>
      </c>
      <c r="G429" s="1">
        <v>65</v>
      </c>
      <c r="H429" s="1">
        <v>67</v>
      </c>
      <c r="I429" s="1">
        <v>55</v>
      </c>
    </row>
    <row r="430" spans="1:9" ht="13.2" x14ac:dyDescent="0.25">
      <c r="A430" s="1" t="s">
        <v>8</v>
      </c>
      <c r="B430" s="1" t="s">
        <v>21</v>
      </c>
      <c r="C430" s="1" t="s">
        <v>10</v>
      </c>
      <c r="D430" s="1" t="s">
        <v>23</v>
      </c>
      <c r="E430" s="1" t="s">
        <v>12</v>
      </c>
      <c r="F430" s="1">
        <v>66</v>
      </c>
      <c r="G430" s="1">
        <v>73</v>
      </c>
      <c r="H430" s="1">
        <v>67</v>
      </c>
      <c r="I430" s="1">
        <v>66</v>
      </c>
    </row>
    <row r="431" spans="1:9" ht="13.2" x14ac:dyDescent="0.25">
      <c r="A431" s="1" t="s">
        <v>8</v>
      </c>
      <c r="B431" s="1" t="s">
        <v>21</v>
      </c>
      <c r="C431" s="1" t="s">
        <v>22</v>
      </c>
      <c r="D431" s="1" t="s">
        <v>23</v>
      </c>
      <c r="E431" s="1" t="s">
        <v>12</v>
      </c>
      <c r="F431" s="1">
        <v>61</v>
      </c>
      <c r="G431" s="1">
        <v>71</v>
      </c>
      <c r="H431" s="1">
        <v>70</v>
      </c>
      <c r="I431" s="1">
        <v>61</v>
      </c>
    </row>
    <row r="432" spans="1:9" ht="13.2" x14ac:dyDescent="0.25">
      <c r="A432" s="1" t="s">
        <v>8</v>
      </c>
      <c r="B432" s="1" t="s">
        <v>15</v>
      </c>
      <c r="C432" s="1" t="s">
        <v>14</v>
      </c>
      <c r="D432" s="1" t="s">
        <v>11</v>
      </c>
      <c r="E432" s="1" t="s">
        <v>12</v>
      </c>
      <c r="F432" s="1">
        <v>55</v>
      </c>
      <c r="G432" s="1">
        <v>55</v>
      </c>
      <c r="H432" s="1">
        <v>58</v>
      </c>
      <c r="I432" s="1">
        <v>55</v>
      </c>
    </row>
    <row r="433" spans="1:9" ht="13.2" x14ac:dyDescent="0.25">
      <c r="A433" s="1" t="s">
        <v>8</v>
      </c>
      <c r="B433" s="1" t="s">
        <v>18</v>
      </c>
      <c r="C433" s="1" t="s">
        <v>14</v>
      </c>
      <c r="D433" s="1" t="s">
        <v>23</v>
      </c>
      <c r="E433" s="1" t="s">
        <v>12</v>
      </c>
      <c r="F433" s="1">
        <v>71</v>
      </c>
      <c r="G433" s="1">
        <v>90</v>
      </c>
      <c r="H433" s="1">
        <v>88</v>
      </c>
      <c r="I433" s="1">
        <v>71</v>
      </c>
    </row>
    <row r="434" spans="1:9" ht="13.2" x14ac:dyDescent="0.25">
      <c r="A434" s="1" t="s">
        <v>8</v>
      </c>
      <c r="B434" s="1" t="s">
        <v>13</v>
      </c>
      <c r="C434" s="1" t="s">
        <v>16</v>
      </c>
      <c r="D434" s="1" t="s">
        <v>11</v>
      </c>
      <c r="E434" s="1" t="s">
        <v>12</v>
      </c>
      <c r="F434" s="1">
        <v>49</v>
      </c>
      <c r="G434" s="1">
        <v>55</v>
      </c>
      <c r="H434" s="1">
        <v>56</v>
      </c>
      <c r="I434" s="1">
        <v>49</v>
      </c>
    </row>
    <row r="435" spans="1:9" ht="13.2" x14ac:dyDescent="0.25">
      <c r="A435" s="1" t="s">
        <v>8</v>
      </c>
      <c r="B435" s="1" t="s">
        <v>9</v>
      </c>
      <c r="C435" s="1" t="s">
        <v>10</v>
      </c>
      <c r="D435" s="1" t="s">
        <v>11</v>
      </c>
      <c r="E435" s="1" t="s">
        <v>12</v>
      </c>
      <c r="F435" s="1">
        <v>50</v>
      </c>
      <c r="G435" s="1">
        <v>53</v>
      </c>
      <c r="H435" s="1">
        <v>48</v>
      </c>
      <c r="I435" s="1">
        <v>50</v>
      </c>
    </row>
    <row r="436" spans="1:9" ht="13.2" x14ac:dyDescent="0.25">
      <c r="A436" s="1" t="s">
        <v>19</v>
      </c>
      <c r="B436" s="1" t="s">
        <v>18</v>
      </c>
      <c r="C436" s="1" t="s">
        <v>22</v>
      </c>
      <c r="D436" s="1" t="s">
        <v>11</v>
      </c>
      <c r="E436" s="1" t="s">
        <v>17</v>
      </c>
      <c r="F436" s="1">
        <v>59</v>
      </c>
      <c r="G436" s="1">
        <v>54</v>
      </c>
      <c r="H436" s="1">
        <v>53</v>
      </c>
      <c r="I436" s="1">
        <v>59</v>
      </c>
    </row>
    <row r="437" spans="1:9" ht="13.2" x14ac:dyDescent="0.25">
      <c r="A437" s="1" t="s">
        <v>8</v>
      </c>
      <c r="B437" s="1" t="s">
        <v>9</v>
      </c>
      <c r="C437" s="1" t="s">
        <v>22</v>
      </c>
      <c r="D437" s="1" t="s">
        <v>23</v>
      </c>
      <c r="E437" s="1" t="s">
        <v>12</v>
      </c>
      <c r="F437" s="1">
        <v>14</v>
      </c>
      <c r="G437" s="1">
        <v>37</v>
      </c>
      <c r="H437" s="1">
        <v>31</v>
      </c>
      <c r="I437" s="1">
        <v>14</v>
      </c>
    </row>
    <row r="438" spans="1:9" ht="13.2" x14ac:dyDescent="0.25">
      <c r="A438" s="1" t="s">
        <v>19</v>
      </c>
      <c r="B438" s="1" t="s">
        <v>18</v>
      </c>
      <c r="C438" s="1" t="s">
        <v>22</v>
      </c>
      <c r="D438" s="1" t="s">
        <v>23</v>
      </c>
      <c r="E438" s="1" t="s">
        <v>12</v>
      </c>
      <c r="F438" s="1">
        <v>39</v>
      </c>
      <c r="G438" s="1">
        <v>42</v>
      </c>
      <c r="H438" s="1">
        <v>33</v>
      </c>
      <c r="I438" s="1">
        <v>39</v>
      </c>
    </row>
    <row r="439" spans="1:9" ht="13.2" x14ac:dyDescent="0.25">
      <c r="A439" s="1" t="s">
        <v>8</v>
      </c>
      <c r="B439" s="1" t="s">
        <v>9</v>
      </c>
      <c r="C439" s="1" t="s">
        <v>10</v>
      </c>
      <c r="D439" s="1" t="s">
        <v>23</v>
      </c>
      <c r="E439" s="1" t="s">
        <v>17</v>
      </c>
      <c r="F439" s="1">
        <v>51</v>
      </c>
      <c r="G439" s="1">
        <v>68</v>
      </c>
      <c r="H439" s="1">
        <v>70</v>
      </c>
      <c r="I439" s="1">
        <v>51</v>
      </c>
    </row>
    <row r="440" spans="1:9" ht="13.2" x14ac:dyDescent="0.25">
      <c r="A440" s="1" t="s">
        <v>8</v>
      </c>
      <c r="B440" s="1" t="s">
        <v>18</v>
      </c>
      <c r="C440" s="1" t="s">
        <v>16</v>
      </c>
      <c r="D440" s="1" t="s">
        <v>11</v>
      </c>
      <c r="E440" s="1" t="s">
        <v>12</v>
      </c>
      <c r="F440" s="1">
        <v>76</v>
      </c>
      <c r="G440" s="1">
        <v>82</v>
      </c>
      <c r="H440" s="1">
        <v>87</v>
      </c>
      <c r="I440" s="1">
        <v>76</v>
      </c>
    </row>
    <row r="441" spans="1:9" ht="13.2" x14ac:dyDescent="0.25">
      <c r="A441" s="1" t="s">
        <v>19</v>
      </c>
      <c r="B441" s="1" t="s">
        <v>9</v>
      </c>
      <c r="C441" s="1" t="s">
        <v>16</v>
      </c>
      <c r="D441" s="1" t="s">
        <v>11</v>
      </c>
      <c r="E441" s="1" t="s">
        <v>12</v>
      </c>
      <c r="F441" s="1">
        <v>60</v>
      </c>
      <c r="G441" s="1">
        <v>49</v>
      </c>
      <c r="H441" s="1">
        <v>52</v>
      </c>
      <c r="I441" s="1">
        <v>60</v>
      </c>
    </row>
    <row r="442" spans="1:9" ht="13.2" x14ac:dyDescent="0.25">
      <c r="A442" s="1" t="s">
        <v>8</v>
      </c>
      <c r="B442" s="1" t="s">
        <v>18</v>
      </c>
      <c r="C442" s="1" t="s">
        <v>10</v>
      </c>
      <c r="D442" s="1" t="s">
        <v>11</v>
      </c>
      <c r="E442" s="1" t="s">
        <v>12</v>
      </c>
      <c r="F442" s="1">
        <v>55</v>
      </c>
      <c r="G442" s="1">
        <v>69</v>
      </c>
      <c r="H442" s="1">
        <v>66</v>
      </c>
      <c r="I442" s="1">
        <v>55</v>
      </c>
    </row>
    <row r="443" spans="1:9" ht="13.2" x14ac:dyDescent="0.25">
      <c r="A443" s="1" t="s">
        <v>8</v>
      </c>
      <c r="B443" s="1" t="s">
        <v>18</v>
      </c>
      <c r="C443" s="1" t="s">
        <v>24</v>
      </c>
      <c r="D443" s="1" t="s">
        <v>11</v>
      </c>
      <c r="E443" s="1" t="s">
        <v>12</v>
      </c>
      <c r="F443" s="1">
        <v>84</v>
      </c>
      <c r="G443" s="1">
        <v>86</v>
      </c>
      <c r="H443" s="1">
        <v>88</v>
      </c>
      <c r="I443" s="1">
        <v>84</v>
      </c>
    </row>
    <row r="444" spans="1:9" ht="13.2" x14ac:dyDescent="0.25">
      <c r="A444" s="1" t="s">
        <v>19</v>
      </c>
      <c r="B444" s="1" t="s">
        <v>13</v>
      </c>
      <c r="C444" s="1" t="s">
        <v>14</v>
      </c>
      <c r="D444" s="1" t="s">
        <v>11</v>
      </c>
      <c r="E444" s="1" t="s">
        <v>12</v>
      </c>
      <c r="F444" s="1">
        <v>96</v>
      </c>
      <c r="G444" s="1">
        <v>91</v>
      </c>
      <c r="H444" s="1">
        <v>87</v>
      </c>
      <c r="I444" s="1">
        <v>96</v>
      </c>
    </row>
    <row r="445" spans="1:9" ht="13.2" x14ac:dyDescent="0.25">
      <c r="A445" s="1" t="s">
        <v>8</v>
      </c>
      <c r="B445" s="1" t="s">
        <v>9</v>
      </c>
      <c r="C445" s="1" t="s">
        <v>22</v>
      </c>
      <c r="D445" s="1" t="s">
        <v>11</v>
      </c>
      <c r="E445" s="1" t="s">
        <v>12</v>
      </c>
      <c r="F445" s="1">
        <v>42</v>
      </c>
      <c r="G445" s="1">
        <v>43</v>
      </c>
      <c r="H445" s="1">
        <v>49</v>
      </c>
      <c r="I445" s="1">
        <v>42</v>
      </c>
    </row>
    <row r="446" spans="1:9" ht="13.2" x14ac:dyDescent="0.25">
      <c r="A446" s="1" t="s">
        <v>8</v>
      </c>
      <c r="B446" s="1" t="s">
        <v>18</v>
      </c>
      <c r="C446" s="1" t="s">
        <v>22</v>
      </c>
      <c r="D446" s="1" t="s">
        <v>11</v>
      </c>
      <c r="E446" s="1" t="s">
        <v>17</v>
      </c>
      <c r="F446" s="1">
        <v>81</v>
      </c>
      <c r="G446" s="1">
        <v>85</v>
      </c>
      <c r="H446" s="1">
        <v>91</v>
      </c>
      <c r="I446" s="1">
        <v>81</v>
      </c>
    </row>
    <row r="447" spans="1:9" ht="13.2" x14ac:dyDescent="0.25">
      <c r="A447" s="1" t="s">
        <v>19</v>
      </c>
      <c r="B447" s="1" t="s">
        <v>18</v>
      </c>
      <c r="C447" s="1" t="s">
        <v>20</v>
      </c>
      <c r="D447" s="1" t="s">
        <v>11</v>
      </c>
      <c r="E447" s="1" t="s">
        <v>12</v>
      </c>
      <c r="F447" s="1">
        <v>75</v>
      </c>
      <c r="G447" s="1">
        <v>77</v>
      </c>
      <c r="H447" s="1">
        <v>78</v>
      </c>
      <c r="I447" s="1">
        <v>75</v>
      </c>
    </row>
    <row r="448" spans="1:9" ht="13.2" x14ac:dyDescent="0.25">
      <c r="A448" s="1" t="s">
        <v>19</v>
      </c>
      <c r="B448" s="1" t="s">
        <v>18</v>
      </c>
      <c r="C448" s="1" t="s">
        <v>14</v>
      </c>
      <c r="D448" s="1" t="s">
        <v>11</v>
      </c>
      <c r="E448" s="1" t="s">
        <v>17</v>
      </c>
      <c r="F448" s="1">
        <v>72</v>
      </c>
      <c r="G448" s="1">
        <v>73</v>
      </c>
      <c r="H448" s="1">
        <v>77</v>
      </c>
      <c r="I448" s="1">
        <v>72</v>
      </c>
    </row>
    <row r="449" spans="1:9" ht="13.2" x14ac:dyDescent="0.25">
      <c r="A449" s="1" t="s">
        <v>8</v>
      </c>
      <c r="B449" s="1" t="s">
        <v>18</v>
      </c>
      <c r="C449" s="1" t="s">
        <v>10</v>
      </c>
      <c r="D449" s="1" t="s">
        <v>23</v>
      </c>
      <c r="E449" s="1" t="s">
        <v>17</v>
      </c>
      <c r="F449" s="1">
        <v>59</v>
      </c>
      <c r="G449" s="1">
        <v>65</v>
      </c>
      <c r="H449" s="1">
        <v>67</v>
      </c>
      <c r="I449" s="1">
        <v>59</v>
      </c>
    </row>
    <row r="450" spans="1:9" ht="13.2" x14ac:dyDescent="0.25">
      <c r="A450" s="1" t="s">
        <v>8</v>
      </c>
      <c r="B450" s="1" t="s">
        <v>18</v>
      </c>
      <c r="C450" s="1" t="s">
        <v>14</v>
      </c>
      <c r="D450" s="1" t="s">
        <v>23</v>
      </c>
      <c r="E450" s="1" t="s">
        <v>17</v>
      </c>
      <c r="F450" s="1">
        <v>55</v>
      </c>
      <c r="G450" s="1">
        <v>66</v>
      </c>
      <c r="H450" s="1">
        <v>67</v>
      </c>
      <c r="I450" s="1">
        <v>55</v>
      </c>
    </row>
    <row r="451" spans="1:9" ht="13.2" x14ac:dyDescent="0.25">
      <c r="A451" s="1" t="s">
        <v>19</v>
      </c>
      <c r="B451" s="1" t="s">
        <v>13</v>
      </c>
      <c r="C451" s="1" t="s">
        <v>14</v>
      </c>
      <c r="D451" s="1" t="s">
        <v>23</v>
      </c>
      <c r="E451" s="1" t="s">
        <v>12</v>
      </c>
      <c r="F451" s="1">
        <v>41</v>
      </c>
      <c r="G451" s="1">
        <v>43</v>
      </c>
      <c r="H451" s="1">
        <v>37</v>
      </c>
      <c r="I451" s="1">
        <v>41</v>
      </c>
    </row>
    <row r="452" spans="1:9" ht="13.2" x14ac:dyDescent="0.25">
      <c r="A452" s="1" t="s">
        <v>8</v>
      </c>
      <c r="B452" s="1" t="s">
        <v>13</v>
      </c>
      <c r="C452" s="1" t="s">
        <v>16</v>
      </c>
      <c r="D452" s="1" t="s">
        <v>11</v>
      </c>
      <c r="E452" s="1" t="s">
        <v>17</v>
      </c>
      <c r="F452" s="1">
        <v>60</v>
      </c>
      <c r="G452" s="1">
        <v>66</v>
      </c>
      <c r="H452" s="1">
        <v>74</v>
      </c>
      <c r="I452" s="1">
        <v>60</v>
      </c>
    </row>
    <row r="453" spans="1:9" ht="13.2" x14ac:dyDescent="0.25">
      <c r="A453" s="1" t="s">
        <v>8</v>
      </c>
      <c r="B453" s="1" t="s">
        <v>9</v>
      </c>
      <c r="C453" s="1" t="s">
        <v>24</v>
      </c>
      <c r="D453" s="1" t="s">
        <v>23</v>
      </c>
      <c r="E453" s="1" t="s">
        <v>17</v>
      </c>
      <c r="F453" s="1">
        <v>39</v>
      </c>
      <c r="G453" s="1">
        <v>55</v>
      </c>
      <c r="H453" s="1">
        <v>57</v>
      </c>
      <c r="I453" s="1">
        <v>39</v>
      </c>
    </row>
    <row r="454" spans="1:9" ht="13.2" x14ac:dyDescent="0.25">
      <c r="A454" s="1" t="s">
        <v>8</v>
      </c>
      <c r="B454" s="1" t="s">
        <v>18</v>
      </c>
      <c r="C454" s="1" t="s">
        <v>10</v>
      </c>
      <c r="D454" s="1" t="s">
        <v>11</v>
      </c>
      <c r="E454" s="1" t="s">
        <v>17</v>
      </c>
      <c r="F454" s="1">
        <v>51</v>
      </c>
      <c r="G454" s="1">
        <v>51</v>
      </c>
      <c r="H454" s="1">
        <v>57</v>
      </c>
      <c r="I454" s="1">
        <v>51</v>
      </c>
    </row>
    <row r="455" spans="1:9" ht="13.2" x14ac:dyDescent="0.25">
      <c r="A455" s="1" t="s">
        <v>8</v>
      </c>
      <c r="B455" s="1" t="s">
        <v>9</v>
      </c>
      <c r="C455" s="1" t="s">
        <v>22</v>
      </c>
      <c r="D455" s="1" t="s">
        <v>11</v>
      </c>
      <c r="E455" s="1" t="s">
        <v>12</v>
      </c>
      <c r="F455" s="1">
        <v>45</v>
      </c>
      <c r="G455" s="1">
        <v>52</v>
      </c>
      <c r="H455" s="1">
        <v>57</v>
      </c>
      <c r="I455" s="1">
        <v>45</v>
      </c>
    </row>
    <row r="456" spans="1:9" ht="13.2" x14ac:dyDescent="0.25">
      <c r="A456" s="1" t="s">
        <v>8</v>
      </c>
      <c r="B456" s="1" t="s">
        <v>9</v>
      </c>
      <c r="C456" s="1" t="s">
        <v>22</v>
      </c>
      <c r="D456" s="1" t="s">
        <v>11</v>
      </c>
      <c r="E456" s="1" t="s">
        <v>12</v>
      </c>
      <c r="F456" s="1">
        <v>62</v>
      </c>
      <c r="G456" s="1">
        <v>59</v>
      </c>
      <c r="H456" s="1">
        <v>61</v>
      </c>
      <c r="I456" s="1">
        <v>62</v>
      </c>
    </row>
    <row r="457" spans="1:9" ht="13.2" x14ac:dyDescent="0.25">
      <c r="A457" s="1" t="s">
        <v>8</v>
      </c>
      <c r="B457" s="1" t="s">
        <v>18</v>
      </c>
      <c r="C457" s="1" t="s">
        <v>22</v>
      </c>
      <c r="D457" s="1" t="s">
        <v>11</v>
      </c>
      <c r="E457" s="1" t="s">
        <v>12</v>
      </c>
      <c r="F457" s="1">
        <v>65</v>
      </c>
      <c r="G457" s="1">
        <v>73</v>
      </c>
      <c r="H457" s="1">
        <v>79</v>
      </c>
      <c r="I457" s="1">
        <v>65</v>
      </c>
    </row>
    <row r="458" spans="1:9" ht="13.2" x14ac:dyDescent="0.25">
      <c r="A458" s="1" t="s">
        <v>8</v>
      </c>
      <c r="B458" s="1" t="s">
        <v>21</v>
      </c>
      <c r="C458" s="1" t="s">
        <v>14</v>
      </c>
      <c r="D458" s="1" t="s">
        <v>11</v>
      </c>
      <c r="E458" s="1" t="s">
        <v>12</v>
      </c>
      <c r="F458" s="1">
        <v>71</v>
      </c>
      <c r="G458" s="1">
        <v>70</v>
      </c>
      <c r="H458" s="1">
        <v>68</v>
      </c>
      <c r="I458" s="1">
        <v>71</v>
      </c>
    </row>
    <row r="459" spans="1:9" ht="13.2" x14ac:dyDescent="0.25">
      <c r="A459" s="1" t="s">
        <v>8</v>
      </c>
      <c r="B459" s="1" t="s">
        <v>18</v>
      </c>
      <c r="C459" s="1" t="s">
        <v>20</v>
      </c>
      <c r="D459" s="1" t="s">
        <v>11</v>
      </c>
      <c r="E459" s="1" t="s">
        <v>12</v>
      </c>
      <c r="F459" s="1">
        <v>65</v>
      </c>
      <c r="G459" s="1">
        <v>69</v>
      </c>
      <c r="H459" s="1">
        <v>71</v>
      </c>
      <c r="I459" s="1">
        <v>65</v>
      </c>
    </row>
    <row r="460" spans="1:9" ht="13.2" x14ac:dyDescent="0.25">
      <c r="A460" s="1" t="s">
        <v>8</v>
      </c>
      <c r="B460" s="1" t="s">
        <v>9</v>
      </c>
      <c r="C460" s="1" t="s">
        <v>14</v>
      </c>
      <c r="D460" s="1" t="s">
        <v>11</v>
      </c>
      <c r="E460" s="1" t="s">
        <v>17</v>
      </c>
      <c r="F460" s="1">
        <v>43</v>
      </c>
      <c r="G460" s="1">
        <v>52</v>
      </c>
      <c r="H460" s="1">
        <v>54</v>
      </c>
      <c r="I460" s="1">
        <v>43</v>
      </c>
    </row>
    <row r="461" spans="1:9" ht="13.2" x14ac:dyDescent="0.25">
      <c r="A461" s="1" t="s">
        <v>8</v>
      </c>
      <c r="B461" s="1" t="s">
        <v>18</v>
      </c>
      <c r="C461" s="1" t="s">
        <v>16</v>
      </c>
      <c r="D461" s="1" t="s">
        <v>11</v>
      </c>
      <c r="E461" s="1" t="s">
        <v>17</v>
      </c>
      <c r="F461" s="1">
        <v>73</v>
      </c>
      <c r="G461" s="1">
        <v>84</v>
      </c>
      <c r="H461" s="1">
        <v>78</v>
      </c>
      <c r="I461" s="1">
        <v>73</v>
      </c>
    </row>
    <row r="462" spans="1:9" ht="13.2" x14ac:dyDescent="0.25">
      <c r="A462" s="1" t="s">
        <v>8</v>
      </c>
      <c r="B462" s="1" t="s">
        <v>18</v>
      </c>
      <c r="C462" s="1" t="s">
        <v>22</v>
      </c>
      <c r="D462" s="1" t="s">
        <v>11</v>
      </c>
      <c r="E462" s="1" t="s">
        <v>12</v>
      </c>
      <c r="F462" s="1">
        <v>75</v>
      </c>
      <c r="G462" s="1">
        <v>88</v>
      </c>
      <c r="H462" s="1">
        <v>79</v>
      </c>
      <c r="I462" s="1">
        <v>75</v>
      </c>
    </row>
    <row r="463" spans="1:9" ht="13.2" x14ac:dyDescent="0.25">
      <c r="A463" s="1" t="s">
        <v>8</v>
      </c>
      <c r="B463" s="1" t="s">
        <v>18</v>
      </c>
      <c r="C463" s="1" t="s">
        <v>10</v>
      </c>
      <c r="D463" s="1" t="s">
        <v>11</v>
      </c>
      <c r="E463" s="1" t="s">
        <v>12</v>
      </c>
      <c r="F463" s="1">
        <v>60</v>
      </c>
      <c r="G463" s="1">
        <v>77</v>
      </c>
      <c r="H463" s="1">
        <v>72</v>
      </c>
      <c r="I463" s="1">
        <v>60</v>
      </c>
    </row>
    <row r="464" spans="1:9" ht="13.2" x14ac:dyDescent="0.25">
      <c r="A464" s="1" t="s">
        <v>19</v>
      </c>
      <c r="B464" s="1" t="s">
        <v>9</v>
      </c>
      <c r="C464" s="1" t="s">
        <v>10</v>
      </c>
      <c r="D464" s="1" t="s">
        <v>11</v>
      </c>
      <c r="E464" s="1" t="s">
        <v>12</v>
      </c>
      <c r="F464" s="1">
        <v>59</v>
      </c>
      <c r="G464" s="1">
        <v>45</v>
      </c>
      <c r="H464" s="1">
        <v>44</v>
      </c>
      <c r="I464" s="1">
        <v>59</v>
      </c>
    </row>
    <row r="465" spans="1:9" ht="13.2" x14ac:dyDescent="0.25">
      <c r="A465" s="1" t="s">
        <v>8</v>
      </c>
      <c r="B465" s="1" t="s">
        <v>18</v>
      </c>
      <c r="C465" s="1" t="s">
        <v>14</v>
      </c>
      <c r="D465" s="1" t="s">
        <v>11</v>
      </c>
      <c r="E465" s="1" t="s">
        <v>12</v>
      </c>
      <c r="F465" s="1">
        <v>60</v>
      </c>
      <c r="G465" s="1">
        <v>75</v>
      </c>
      <c r="H465" s="1">
        <v>71</v>
      </c>
      <c r="I465" s="1">
        <v>60</v>
      </c>
    </row>
    <row r="466" spans="1:9" ht="13.2" x14ac:dyDescent="0.25">
      <c r="A466" s="1" t="s">
        <v>8</v>
      </c>
      <c r="B466" s="1" t="s">
        <v>9</v>
      </c>
      <c r="C466" s="1" t="s">
        <v>16</v>
      </c>
      <c r="D466" s="1" t="s">
        <v>11</v>
      </c>
      <c r="E466" s="1" t="s">
        <v>12</v>
      </c>
      <c r="F466" s="1">
        <v>77</v>
      </c>
      <c r="G466" s="1">
        <v>87</v>
      </c>
      <c r="H466" s="1">
        <v>84</v>
      </c>
      <c r="I466" s="1">
        <v>77</v>
      </c>
    </row>
    <row r="467" spans="1:9" ht="13.2" x14ac:dyDescent="0.25">
      <c r="A467" s="1" t="s">
        <v>19</v>
      </c>
      <c r="B467" s="1" t="s">
        <v>18</v>
      </c>
      <c r="C467" s="1" t="s">
        <v>16</v>
      </c>
      <c r="D467" s="1" t="s">
        <v>11</v>
      </c>
      <c r="E467" s="1" t="s">
        <v>12</v>
      </c>
      <c r="F467" s="1">
        <v>84</v>
      </c>
      <c r="G467" s="1">
        <v>79</v>
      </c>
      <c r="H467" s="1">
        <v>76</v>
      </c>
      <c r="I467" s="1">
        <v>84</v>
      </c>
    </row>
    <row r="468" spans="1:9" ht="13.2" x14ac:dyDescent="0.25">
      <c r="A468" s="1" t="s">
        <v>8</v>
      </c>
      <c r="B468" s="1" t="s">
        <v>9</v>
      </c>
      <c r="C468" s="1" t="s">
        <v>10</v>
      </c>
      <c r="D468" s="1" t="s">
        <v>11</v>
      </c>
      <c r="E468" s="1" t="s">
        <v>17</v>
      </c>
      <c r="F468" s="1">
        <v>57</v>
      </c>
      <c r="G468" s="1">
        <v>66</v>
      </c>
      <c r="H468" s="1">
        <v>74</v>
      </c>
      <c r="I468" s="1">
        <v>57</v>
      </c>
    </row>
    <row r="469" spans="1:9" ht="13.2" x14ac:dyDescent="0.25">
      <c r="A469" s="1" t="s">
        <v>8</v>
      </c>
      <c r="B469" s="1" t="s">
        <v>9</v>
      </c>
      <c r="C469" s="1" t="s">
        <v>16</v>
      </c>
      <c r="D469" s="1" t="s">
        <v>11</v>
      </c>
      <c r="E469" s="1" t="s">
        <v>12</v>
      </c>
      <c r="F469" s="1">
        <v>84</v>
      </c>
      <c r="G469" s="1">
        <v>92</v>
      </c>
      <c r="H469" s="1">
        <v>93</v>
      </c>
      <c r="I469" s="1">
        <v>84</v>
      </c>
    </row>
    <row r="470" spans="1:9" ht="13.2" x14ac:dyDescent="0.25">
      <c r="A470" s="1" t="s">
        <v>19</v>
      </c>
      <c r="B470" s="1" t="s">
        <v>21</v>
      </c>
      <c r="C470" s="1" t="s">
        <v>10</v>
      </c>
      <c r="D470" s="1" t="s">
        <v>11</v>
      </c>
      <c r="E470" s="1" t="s">
        <v>12</v>
      </c>
      <c r="F470" s="1">
        <v>60</v>
      </c>
      <c r="G470" s="1">
        <v>51</v>
      </c>
      <c r="H470" s="1">
        <v>46</v>
      </c>
      <c r="I470" s="1">
        <v>60</v>
      </c>
    </row>
    <row r="471" spans="1:9" ht="13.2" x14ac:dyDescent="0.25">
      <c r="A471" s="1" t="s">
        <v>8</v>
      </c>
      <c r="B471" s="1" t="s">
        <v>18</v>
      </c>
      <c r="C471" s="1" t="s">
        <v>20</v>
      </c>
      <c r="D471" s="1" t="s">
        <v>11</v>
      </c>
      <c r="E471" s="1" t="s">
        <v>12</v>
      </c>
      <c r="F471" s="1">
        <v>75</v>
      </c>
      <c r="G471" s="1">
        <v>86</v>
      </c>
      <c r="H471" s="1">
        <v>87</v>
      </c>
      <c r="I471" s="1">
        <v>75</v>
      </c>
    </row>
    <row r="472" spans="1:9" ht="13.2" x14ac:dyDescent="0.25">
      <c r="A472" s="1" t="s">
        <v>8</v>
      </c>
      <c r="B472" s="1" t="s">
        <v>9</v>
      </c>
      <c r="C472" s="1" t="s">
        <v>14</v>
      </c>
      <c r="D472" s="1" t="s">
        <v>11</v>
      </c>
      <c r="E472" s="1" t="s">
        <v>17</v>
      </c>
      <c r="F472" s="1">
        <v>60</v>
      </c>
      <c r="G472" s="1">
        <v>62</v>
      </c>
      <c r="H472" s="1">
        <v>72</v>
      </c>
      <c r="I472" s="1">
        <v>60</v>
      </c>
    </row>
    <row r="473" spans="1:9" ht="13.2" x14ac:dyDescent="0.25">
      <c r="A473" s="1" t="s">
        <v>8</v>
      </c>
      <c r="B473" s="1" t="s">
        <v>9</v>
      </c>
      <c r="C473" s="1" t="s">
        <v>20</v>
      </c>
      <c r="D473" s="1" t="s">
        <v>11</v>
      </c>
      <c r="E473" s="1" t="s">
        <v>17</v>
      </c>
      <c r="F473" s="1">
        <v>72</v>
      </c>
      <c r="G473" s="1">
        <v>71</v>
      </c>
      <c r="H473" s="1">
        <v>73</v>
      </c>
      <c r="I473" s="1">
        <v>72</v>
      </c>
    </row>
    <row r="474" spans="1:9" ht="13.2" x14ac:dyDescent="0.25">
      <c r="A474" s="1" t="s">
        <v>19</v>
      </c>
      <c r="B474" s="1" t="s">
        <v>18</v>
      </c>
      <c r="C474" s="1" t="s">
        <v>16</v>
      </c>
      <c r="D474" s="1" t="s">
        <v>11</v>
      </c>
      <c r="E474" s="1" t="s">
        <v>12</v>
      </c>
      <c r="F474" s="1">
        <v>54</v>
      </c>
      <c r="G474" s="1">
        <v>64</v>
      </c>
      <c r="H474" s="1">
        <v>64</v>
      </c>
      <c r="I474" s="1">
        <v>54</v>
      </c>
    </row>
    <row r="475" spans="1:9" ht="13.2" x14ac:dyDescent="0.25">
      <c r="A475" s="1" t="s">
        <v>19</v>
      </c>
      <c r="B475" s="1" t="s">
        <v>18</v>
      </c>
      <c r="C475" s="1" t="s">
        <v>16</v>
      </c>
      <c r="D475" s="1" t="s">
        <v>11</v>
      </c>
      <c r="E475" s="1" t="s">
        <v>12</v>
      </c>
      <c r="F475" s="1">
        <v>80</v>
      </c>
      <c r="G475" s="1">
        <v>77</v>
      </c>
      <c r="H475" s="1">
        <v>67</v>
      </c>
      <c r="I475" s="1">
        <v>80</v>
      </c>
    </row>
    <row r="476" spans="1:9" ht="13.2" x14ac:dyDescent="0.25">
      <c r="A476" s="1" t="s">
        <v>19</v>
      </c>
      <c r="B476" s="1" t="s">
        <v>15</v>
      </c>
      <c r="C476" s="1" t="s">
        <v>10</v>
      </c>
      <c r="D476" s="1" t="s">
        <v>23</v>
      </c>
      <c r="E476" s="1" t="s">
        <v>12</v>
      </c>
      <c r="F476" s="1">
        <v>72</v>
      </c>
      <c r="G476" s="1">
        <v>69</v>
      </c>
      <c r="H476" s="1">
        <v>68</v>
      </c>
      <c r="I476" s="1">
        <v>72</v>
      </c>
    </row>
    <row r="477" spans="1:9" ht="13.2" x14ac:dyDescent="0.25">
      <c r="A477" s="1" t="s">
        <v>19</v>
      </c>
      <c r="B477" s="1" t="s">
        <v>18</v>
      </c>
      <c r="C477" s="1" t="s">
        <v>22</v>
      </c>
      <c r="D477" s="1" t="s">
        <v>23</v>
      </c>
      <c r="E477" s="1" t="s">
        <v>17</v>
      </c>
      <c r="F477" s="1">
        <v>60</v>
      </c>
      <c r="G477" s="1">
        <v>71</v>
      </c>
      <c r="H477" s="1">
        <v>67</v>
      </c>
      <c r="I477" s="1">
        <v>60</v>
      </c>
    </row>
    <row r="478" spans="1:9" ht="13.2" x14ac:dyDescent="0.25">
      <c r="A478" s="1" t="s">
        <v>8</v>
      </c>
      <c r="B478" s="1" t="s">
        <v>13</v>
      </c>
      <c r="C478" s="1" t="s">
        <v>10</v>
      </c>
      <c r="D478" s="1" t="s">
        <v>11</v>
      </c>
      <c r="E478" s="1" t="s">
        <v>17</v>
      </c>
      <c r="F478" s="1">
        <v>76</v>
      </c>
      <c r="G478" s="1">
        <v>83</v>
      </c>
      <c r="H478" s="1">
        <v>80</v>
      </c>
      <c r="I478" s="1">
        <v>76</v>
      </c>
    </row>
    <row r="479" spans="1:9" ht="13.2" x14ac:dyDescent="0.25">
      <c r="A479" s="1" t="s">
        <v>8</v>
      </c>
      <c r="B479" s="1" t="s">
        <v>21</v>
      </c>
      <c r="C479" s="1" t="s">
        <v>22</v>
      </c>
      <c r="D479" s="1" t="s">
        <v>23</v>
      </c>
      <c r="E479" s="1" t="s">
        <v>12</v>
      </c>
      <c r="F479" s="1">
        <v>78</v>
      </c>
      <c r="G479" s="1">
        <v>87</v>
      </c>
      <c r="H479" s="1">
        <v>82</v>
      </c>
      <c r="I479" s="1">
        <v>78</v>
      </c>
    </row>
    <row r="480" spans="1:9" ht="13.2" x14ac:dyDescent="0.25">
      <c r="A480" s="1" t="s">
        <v>19</v>
      </c>
      <c r="B480" s="1" t="s">
        <v>21</v>
      </c>
      <c r="C480" s="1" t="s">
        <v>22</v>
      </c>
      <c r="D480" s="1" t="s">
        <v>23</v>
      </c>
      <c r="E480" s="1" t="s">
        <v>12</v>
      </c>
      <c r="F480" s="1">
        <v>77</v>
      </c>
      <c r="G480" s="1">
        <v>74</v>
      </c>
      <c r="H480" s="1">
        <v>67</v>
      </c>
      <c r="I480" s="1">
        <v>77</v>
      </c>
    </row>
    <row r="481" spans="1:9" ht="13.2" x14ac:dyDescent="0.25">
      <c r="A481" s="1" t="s">
        <v>8</v>
      </c>
      <c r="B481" s="1" t="s">
        <v>13</v>
      </c>
      <c r="C481" s="1" t="s">
        <v>16</v>
      </c>
      <c r="D481" s="1" t="s">
        <v>23</v>
      </c>
      <c r="E481" s="1" t="s">
        <v>17</v>
      </c>
      <c r="F481" s="1">
        <v>52</v>
      </c>
      <c r="G481" s="1">
        <v>64</v>
      </c>
      <c r="H481" s="1">
        <v>69</v>
      </c>
      <c r="I481" s="1">
        <v>52</v>
      </c>
    </row>
    <row r="482" spans="1:9" ht="13.2" x14ac:dyDescent="0.25">
      <c r="A482" s="1" t="s">
        <v>19</v>
      </c>
      <c r="B482" s="1" t="s">
        <v>13</v>
      </c>
      <c r="C482" s="1" t="s">
        <v>10</v>
      </c>
      <c r="D482" s="1" t="s">
        <v>23</v>
      </c>
      <c r="E482" s="1" t="s">
        <v>17</v>
      </c>
      <c r="F482" s="1">
        <v>59</v>
      </c>
      <c r="G482" s="1">
        <v>77</v>
      </c>
      <c r="H482" s="1">
        <v>76</v>
      </c>
      <c r="I482" s="1">
        <v>59</v>
      </c>
    </row>
    <row r="483" spans="1:9" ht="13.2" x14ac:dyDescent="0.25">
      <c r="A483" s="1" t="s">
        <v>19</v>
      </c>
      <c r="B483" s="1" t="s">
        <v>13</v>
      </c>
      <c r="C483" s="1" t="s">
        <v>10</v>
      </c>
      <c r="D483" s="1" t="s">
        <v>23</v>
      </c>
      <c r="E483" s="1" t="s">
        <v>17</v>
      </c>
      <c r="F483" s="1">
        <v>75</v>
      </c>
      <c r="G483" s="1">
        <v>73</v>
      </c>
      <c r="H483" s="1">
        <v>76</v>
      </c>
      <c r="I483" s="1">
        <v>75</v>
      </c>
    </row>
    <row r="484" spans="1:9" ht="13.2" x14ac:dyDescent="0.25">
      <c r="A484" s="1" t="s">
        <v>8</v>
      </c>
      <c r="B484" s="1" t="s">
        <v>18</v>
      </c>
      <c r="C484" s="1" t="s">
        <v>14</v>
      </c>
      <c r="D484" s="1" t="s">
        <v>11</v>
      </c>
      <c r="E484" s="1" t="s">
        <v>17</v>
      </c>
      <c r="F484" s="1">
        <v>60</v>
      </c>
      <c r="G484" s="1">
        <v>56</v>
      </c>
      <c r="H484" s="1">
        <v>58</v>
      </c>
      <c r="I484" s="1">
        <v>60</v>
      </c>
    </row>
    <row r="485" spans="1:9" ht="13.2" x14ac:dyDescent="0.25">
      <c r="A485" s="1" t="s">
        <v>19</v>
      </c>
      <c r="B485" s="1" t="s">
        <v>18</v>
      </c>
      <c r="C485" s="1" t="s">
        <v>10</v>
      </c>
      <c r="D485" s="1" t="s">
        <v>23</v>
      </c>
      <c r="E485" s="1" t="s">
        <v>17</v>
      </c>
      <c r="F485" s="1">
        <v>47</v>
      </c>
      <c r="G485" s="1">
        <v>49</v>
      </c>
      <c r="H485" s="1">
        <v>48</v>
      </c>
      <c r="I485" s="1">
        <v>47</v>
      </c>
    </row>
    <row r="486" spans="1:9" ht="13.2" x14ac:dyDescent="0.25">
      <c r="A486" s="1" t="s">
        <v>19</v>
      </c>
      <c r="B486" s="1" t="s">
        <v>18</v>
      </c>
      <c r="C486" s="1" t="s">
        <v>16</v>
      </c>
      <c r="D486" s="1" t="s">
        <v>23</v>
      </c>
      <c r="E486" s="1" t="s">
        <v>17</v>
      </c>
      <c r="F486" s="1">
        <v>58</v>
      </c>
      <c r="G486" s="1">
        <v>59</v>
      </c>
      <c r="H486" s="1">
        <v>60</v>
      </c>
      <c r="I486" s="1">
        <v>58</v>
      </c>
    </row>
    <row r="487" spans="1:9" ht="13.2" x14ac:dyDescent="0.25">
      <c r="A487" s="1" t="s">
        <v>8</v>
      </c>
      <c r="B487" s="1" t="s">
        <v>18</v>
      </c>
      <c r="C487" s="1" t="s">
        <v>14</v>
      </c>
      <c r="D487" s="1" t="s">
        <v>23</v>
      </c>
      <c r="E487" s="1" t="s">
        <v>12</v>
      </c>
      <c r="F487" s="1">
        <v>54</v>
      </c>
      <c r="G487" s="1">
        <v>68</v>
      </c>
      <c r="H487" s="1">
        <v>55</v>
      </c>
      <c r="I487" s="1">
        <v>54</v>
      </c>
    </row>
    <row r="488" spans="1:9" ht="13.2" x14ac:dyDescent="0.25">
      <c r="A488" s="1" t="s">
        <v>19</v>
      </c>
      <c r="B488" s="1" t="s">
        <v>21</v>
      </c>
      <c r="C488" s="1" t="s">
        <v>10</v>
      </c>
      <c r="D488" s="1" t="s">
        <v>11</v>
      </c>
      <c r="E488" s="1" t="s">
        <v>12</v>
      </c>
      <c r="F488" s="1">
        <v>74</v>
      </c>
      <c r="G488" s="1">
        <v>72</v>
      </c>
      <c r="H488" s="1">
        <v>64</v>
      </c>
      <c r="I488" s="1">
        <v>74</v>
      </c>
    </row>
    <row r="489" spans="1:9" ht="13.2" x14ac:dyDescent="0.25">
      <c r="A489" s="1" t="s">
        <v>19</v>
      </c>
      <c r="B489" s="1" t="s">
        <v>13</v>
      </c>
      <c r="C489" s="1" t="s">
        <v>10</v>
      </c>
      <c r="D489" s="1" t="s">
        <v>11</v>
      </c>
      <c r="E489" s="1" t="s">
        <v>12</v>
      </c>
      <c r="F489" s="1">
        <v>70</v>
      </c>
      <c r="G489" s="1">
        <v>76</v>
      </c>
      <c r="H489" s="1">
        <v>66</v>
      </c>
      <c r="I489" s="1">
        <v>70</v>
      </c>
    </row>
    <row r="490" spans="1:9" ht="13.2" x14ac:dyDescent="0.25">
      <c r="A490" s="1" t="s">
        <v>8</v>
      </c>
      <c r="B490" s="1" t="s">
        <v>9</v>
      </c>
      <c r="C490" s="1" t="s">
        <v>20</v>
      </c>
      <c r="D490" s="1" t="s">
        <v>11</v>
      </c>
      <c r="E490" s="1" t="s">
        <v>17</v>
      </c>
      <c r="F490" s="1">
        <v>99</v>
      </c>
      <c r="G490" s="1">
        <v>100</v>
      </c>
      <c r="H490" s="1">
        <v>100</v>
      </c>
      <c r="I490" s="1">
        <v>99</v>
      </c>
    </row>
    <row r="491" spans="1:9" ht="13.2" x14ac:dyDescent="0.25">
      <c r="A491" s="1" t="s">
        <v>8</v>
      </c>
      <c r="B491" s="1" t="s">
        <v>18</v>
      </c>
      <c r="C491" s="1" t="s">
        <v>14</v>
      </c>
      <c r="D491" s="1" t="s">
        <v>23</v>
      </c>
      <c r="E491" s="1" t="s">
        <v>12</v>
      </c>
      <c r="F491" s="1">
        <v>74</v>
      </c>
      <c r="G491" s="1">
        <v>85</v>
      </c>
      <c r="H491" s="1">
        <v>81</v>
      </c>
      <c r="I491" s="1">
        <v>74</v>
      </c>
    </row>
    <row r="492" spans="1:9" ht="13.2" x14ac:dyDescent="0.25">
      <c r="A492" s="1" t="s">
        <v>8</v>
      </c>
      <c r="B492" s="1" t="s">
        <v>9</v>
      </c>
      <c r="C492" s="1" t="s">
        <v>10</v>
      </c>
      <c r="D492" s="1" t="s">
        <v>11</v>
      </c>
      <c r="E492" s="1" t="s">
        <v>12</v>
      </c>
      <c r="F492" s="1">
        <v>83</v>
      </c>
      <c r="G492" s="1">
        <v>90</v>
      </c>
      <c r="H492" s="1">
        <v>88</v>
      </c>
      <c r="I492" s="1">
        <v>83</v>
      </c>
    </row>
    <row r="493" spans="1:9" ht="13.2" x14ac:dyDescent="0.25">
      <c r="A493" s="1" t="s">
        <v>8</v>
      </c>
      <c r="B493" s="1" t="s">
        <v>18</v>
      </c>
      <c r="C493" s="1" t="s">
        <v>16</v>
      </c>
      <c r="D493" s="1" t="s">
        <v>23</v>
      </c>
      <c r="E493" s="1" t="s">
        <v>12</v>
      </c>
      <c r="F493" s="1">
        <v>39</v>
      </c>
      <c r="G493" s="1">
        <v>57</v>
      </c>
      <c r="H493" s="1">
        <v>48</v>
      </c>
      <c r="I493" s="1">
        <v>39</v>
      </c>
    </row>
    <row r="494" spans="1:9" ht="13.2" x14ac:dyDescent="0.25">
      <c r="A494" s="1" t="s">
        <v>8</v>
      </c>
      <c r="B494" s="1" t="s">
        <v>21</v>
      </c>
      <c r="C494" s="1" t="s">
        <v>10</v>
      </c>
      <c r="D494" s="1" t="s">
        <v>11</v>
      </c>
      <c r="E494" s="1" t="s">
        <v>17</v>
      </c>
      <c r="F494" s="1">
        <v>85</v>
      </c>
      <c r="G494" s="1">
        <v>89</v>
      </c>
      <c r="H494" s="1">
        <v>92</v>
      </c>
      <c r="I494" s="1">
        <v>85</v>
      </c>
    </row>
    <row r="495" spans="1:9" ht="13.2" x14ac:dyDescent="0.25">
      <c r="A495" s="1" t="s">
        <v>8</v>
      </c>
      <c r="B495" s="1" t="s">
        <v>13</v>
      </c>
      <c r="C495" s="1" t="s">
        <v>14</v>
      </c>
      <c r="D495" s="1" t="s">
        <v>23</v>
      </c>
      <c r="E495" s="1" t="s">
        <v>12</v>
      </c>
      <c r="F495" s="1">
        <v>74</v>
      </c>
      <c r="G495" s="1">
        <v>77</v>
      </c>
      <c r="H495" s="1">
        <v>75</v>
      </c>
      <c r="I495" s="1">
        <v>74</v>
      </c>
    </row>
    <row r="496" spans="1:9" ht="13.2" x14ac:dyDescent="0.25">
      <c r="A496" s="1" t="s">
        <v>19</v>
      </c>
      <c r="B496" s="1" t="s">
        <v>18</v>
      </c>
      <c r="C496" s="1" t="s">
        <v>10</v>
      </c>
      <c r="D496" s="1" t="s">
        <v>11</v>
      </c>
      <c r="E496" s="1" t="s">
        <v>12</v>
      </c>
      <c r="F496" s="1">
        <v>76</v>
      </c>
      <c r="G496" s="1">
        <v>71</v>
      </c>
      <c r="H496" s="1">
        <v>65</v>
      </c>
      <c r="I496" s="1">
        <v>76</v>
      </c>
    </row>
    <row r="497" spans="1:9" ht="13.2" x14ac:dyDescent="0.25">
      <c r="A497" s="1" t="s">
        <v>8</v>
      </c>
      <c r="B497" s="1" t="s">
        <v>9</v>
      </c>
      <c r="C497" s="1" t="s">
        <v>16</v>
      </c>
      <c r="D497" s="1" t="s">
        <v>11</v>
      </c>
      <c r="E497" s="1" t="s">
        <v>12</v>
      </c>
      <c r="F497" s="1">
        <v>57</v>
      </c>
      <c r="G497" s="1">
        <v>59</v>
      </c>
      <c r="H497" s="1">
        <v>67</v>
      </c>
      <c r="I497" s="1">
        <v>57</v>
      </c>
    </row>
    <row r="498" spans="1:9" ht="13.2" x14ac:dyDescent="0.25">
      <c r="A498" s="1" t="s">
        <v>19</v>
      </c>
      <c r="B498" s="1" t="s">
        <v>18</v>
      </c>
      <c r="C498" s="1" t="s">
        <v>22</v>
      </c>
      <c r="D498" s="1" t="s">
        <v>23</v>
      </c>
      <c r="E498" s="1" t="s">
        <v>17</v>
      </c>
      <c r="F498" s="1">
        <v>51</v>
      </c>
      <c r="G498" s="1">
        <v>56</v>
      </c>
      <c r="H498" s="1">
        <v>62</v>
      </c>
      <c r="I498" s="1">
        <v>51</v>
      </c>
    </row>
    <row r="499" spans="1:9" ht="13.2" x14ac:dyDescent="0.25">
      <c r="A499" s="1" t="s">
        <v>19</v>
      </c>
      <c r="B499" s="1" t="s">
        <v>18</v>
      </c>
      <c r="C499" s="1" t="s">
        <v>22</v>
      </c>
      <c r="D499" s="1" t="s">
        <v>11</v>
      </c>
      <c r="E499" s="1" t="s">
        <v>12</v>
      </c>
      <c r="F499" s="1">
        <v>57</v>
      </c>
      <c r="G499" s="1">
        <v>49</v>
      </c>
      <c r="H499" s="1">
        <v>50</v>
      </c>
      <c r="I499" s="1">
        <v>57</v>
      </c>
    </row>
    <row r="500" spans="1:9" ht="13.2" x14ac:dyDescent="0.25">
      <c r="A500" s="1" t="s">
        <v>19</v>
      </c>
      <c r="B500" s="1" t="s">
        <v>18</v>
      </c>
      <c r="C500" s="1" t="s">
        <v>16</v>
      </c>
      <c r="D500" s="1" t="s">
        <v>23</v>
      </c>
      <c r="E500" s="1" t="s">
        <v>12</v>
      </c>
      <c r="F500" s="1">
        <v>57</v>
      </c>
      <c r="G500" s="1">
        <v>54</v>
      </c>
      <c r="H500" s="1">
        <v>55</v>
      </c>
      <c r="I500" s="1">
        <v>57</v>
      </c>
    </row>
    <row r="501" spans="1:9" ht="13.2" x14ac:dyDescent="0.25">
      <c r="A501" s="1" t="s">
        <v>19</v>
      </c>
      <c r="B501" s="1" t="s">
        <v>13</v>
      </c>
      <c r="C501" s="1" t="s">
        <v>16</v>
      </c>
      <c r="D501" s="1" t="s">
        <v>23</v>
      </c>
      <c r="E501" s="1" t="s">
        <v>17</v>
      </c>
      <c r="F501" s="1">
        <v>56</v>
      </c>
      <c r="G501" s="1">
        <v>60</v>
      </c>
      <c r="H501" s="1">
        <v>58</v>
      </c>
      <c r="I501" s="1">
        <v>56</v>
      </c>
    </row>
    <row r="502" spans="1:9" ht="13.2" x14ac:dyDescent="0.25">
      <c r="A502" s="1"/>
      <c r="B502" s="1"/>
      <c r="C502" s="1"/>
      <c r="D502" s="1"/>
      <c r="E502" s="1"/>
      <c r="F502" s="1"/>
      <c r="G502" s="1"/>
      <c r="H502" s="1"/>
      <c r="I502" s="1">
        <v>91</v>
      </c>
    </row>
    <row r="503" spans="1:9" ht="13.2" x14ac:dyDescent="0.25">
      <c r="A503" s="1"/>
      <c r="B503" s="1"/>
      <c r="C503" s="1"/>
      <c r="D503" s="1"/>
      <c r="E503" s="1"/>
      <c r="F503" s="1"/>
      <c r="G503" s="1"/>
      <c r="H503" s="1"/>
      <c r="I503" s="1">
        <v>63</v>
      </c>
    </row>
    <row r="504" spans="1:9" ht="13.2" x14ac:dyDescent="0.25">
      <c r="A504" s="1"/>
      <c r="B504" s="1"/>
      <c r="C504" s="1"/>
      <c r="D504" s="1"/>
      <c r="E504" s="1"/>
      <c r="F504" s="1"/>
      <c r="G504" s="1"/>
      <c r="H504" s="1"/>
      <c r="I504" s="1">
        <v>83</v>
      </c>
    </row>
    <row r="505" spans="1:9" ht="13.2" x14ac:dyDescent="0.25">
      <c r="A505" s="1"/>
      <c r="B505" s="1"/>
      <c r="C505" s="1"/>
      <c r="D505" s="1"/>
      <c r="E505" s="1"/>
      <c r="F505" s="1"/>
      <c r="G505" s="1"/>
      <c r="H505" s="1"/>
      <c r="I505" s="1">
        <v>98</v>
      </c>
    </row>
    <row r="506" spans="1:9" ht="13.2" x14ac:dyDescent="0.25">
      <c r="A506" s="1"/>
      <c r="B506" s="1"/>
      <c r="C506" s="1"/>
      <c r="D506" s="1"/>
      <c r="E506" s="1"/>
      <c r="F506" s="1"/>
      <c r="G506" s="1"/>
      <c r="H506" s="1"/>
      <c r="I506" s="1">
        <v>57</v>
      </c>
    </row>
    <row r="507" spans="1:9" ht="13.2" x14ac:dyDescent="0.25">
      <c r="A507" s="1"/>
      <c r="B507" s="1"/>
      <c r="C507" s="1"/>
      <c r="D507" s="1"/>
      <c r="E507" s="1"/>
      <c r="F507" s="1"/>
      <c r="G507" s="1"/>
      <c r="H507" s="1"/>
      <c r="I507" s="1">
        <v>78</v>
      </c>
    </row>
    <row r="508" spans="1:9" ht="13.2" x14ac:dyDescent="0.25">
      <c r="A508" s="1"/>
      <c r="B508" s="1"/>
      <c r="C508" s="1"/>
      <c r="D508" s="1"/>
      <c r="E508" s="1"/>
      <c r="F508" s="1"/>
      <c r="G508" s="1"/>
      <c r="H508" s="1"/>
      <c r="I508" s="1">
        <v>34</v>
      </c>
    </row>
    <row r="509" spans="1:9" ht="13.2" x14ac:dyDescent="0.25">
      <c r="A509" s="1"/>
      <c r="B509" s="1"/>
      <c r="C509" s="1"/>
      <c r="D509" s="1"/>
      <c r="E509" s="1"/>
      <c r="F509" s="1"/>
      <c r="G509" s="1"/>
      <c r="H509" s="1"/>
      <c r="I509" s="1">
        <v>65</v>
      </c>
    </row>
    <row r="510" spans="1:9" ht="13.2" x14ac:dyDescent="0.25">
      <c r="A510" s="1"/>
      <c r="B510" s="1"/>
      <c r="C510" s="1"/>
      <c r="D510" s="1"/>
      <c r="E510" s="1"/>
      <c r="F510" s="1"/>
      <c r="G510" s="1"/>
      <c r="H510" s="1"/>
      <c r="I510" s="1">
        <v>85</v>
      </c>
    </row>
    <row r="511" spans="1:9" ht="13.2" x14ac:dyDescent="0.25">
      <c r="A511" s="1"/>
      <c r="B511" s="1"/>
      <c r="C511" s="1"/>
      <c r="D511" s="1"/>
      <c r="E511" s="1"/>
      <c r="F511" s="1"/>
      <c r="G511" s="1"/>
      <c r="H511" s="1"/>
      <c r="I511" s="1">
        <v>92</v>
      </c>
    </row>
    <row r="512" spans="1:9" ht="13.2" x14ac:dyDescent="0.25">
      <c r="A512" s="1"/>
      <c r="B512" s="1"/>
      <c r="C512" s="1"/>
      <c r="D512" s="1"/>
      <c r="E512" s="1"/>
      <c r="F512" s="1"/>
      <c r="G512" s="1"/>
      <c r="H512" s="1"/>
      <c r="I512" s="1">
        <v>58</v>
      </c>
    </row>
    <row r="513" spans="1:9" ht="13.2" x14ac:dyDescent="0.25">
      <c r="A513" s="1"/>
      <c r="B513" s="1"/>
      <c r="C513" s="1"/>
      <c r="D513" s="1"/>
      <c r="E513" s="1"/>
      <c r="F513" s="1"/>
      <c r="G513" s="1"/>
      <c r="H513" s="1"/>
      <c r="I513" s="1">
        <v>62</v>
      </c>
    </row>
    <row r="514" spans="1:9" ht="13.2" x14ac:dyDescent="0.25">
      <c r="A514" s="1"/>
      <c r="B514" s="1"/>
      <c r="C514" s="1"/>
      <c r="D514" s="1"/>
      <c r="E514" s="1"/>
      <c r="F514" s="1"/>
      <c r="G514" s="1"/>
      <c r="H514" s="1"/>
      <c r="I514" s="1">
        <v>87</v>
      </c>
    </row>
    <row r="515" spans="1:9" ht="13.2" x14ac:dyDescent="0.25">
      <c r="A515" s="1"/>
      <c r="B515" s="1"/>
      <c r="C515" s="1"/>
      <c r="D515" s="1"/>
      <c r="E515" s="1"/>
      <c r="F515" s="1"/>
      <c r="G515" s="1"/>
      <c r="H515" s="1"/>
      <c r="I515" s="1">
        <v>77</v>
      </c>
    </row>
    <row r="516" spans="1:9" ht="13.2" x14ac:dyDescent="0.25">
      <c r="A516" s="1"/>
      <c r="B516" s="1"/>
      <c r="C516" s="1"/>
      <c r="D516" s="1"/>
      <c r="E516" s="1"/>
      <c r="F516" s="1"/>
      <c r="G516" s="1"/>
      <c r="H516" s="1"/>
      <c r="I516" s="1">
        <v>54</v>
      </c>
    </row>
    <row r="517" spans="1:9" ht="13.2" x14ac:dyDescent="0.25">
      <c r="A517" s="1"/>
      <c r="B517" s="1"/>
      <c r="C517" s="1"/>
      <c r="D517" s="1"/>
      <c r="E517" s="1"/>
      <c r="F517" s="1"/>
      <c r="G517" s="1"/>
      <c r="H517" s="1"/>
      <c r="I517" s="1">
        <v>92</v>
      </c>
    </row>
    <row r="518" spans="1:9" ht="13.2" x14ac:dyDescent="0.25">
      <c r="A518" s="1"/>
      <c r="B518" s="1"/>
      <c r="C518" s="1"/>
      <c r="D518" s="1"/>
      <c r="E518" s="1"/>
      <c r="F518" s="1"/>
      <c r="G518" s="1"/>
      <c r="H518" s="1"/>
      <c r="I518" s="1">
        <v>56</v>
      </c>
    </row>
    <row r="519" spans="1:9" ht="13.2" x14ac:dyDescent="0.25">
      <c r="A519" s="1"/>
      <c r="B519" s="1"/>
      <c r="C519" s="1"/>
      <c r="D519" s="1"/>
      <c r="E519" s="1"/>
      <c r="F519" s="1"/>
      <c r="G519" s="1"/>
      <c r="H519" s="1"/>
      <c r="I519" s="1">
        <v>53</v>
      </c>
    </row>
    <row r="520" spans="1:9" ht="13.2" x14ac:dyDescent="0.25">
      <c r="A520" s="1"/>
      <c r="B520" s="1"/>
      <c r="C520" s="1"/>
      <c r="D520" s="1"/>
      <c r="E520" s="1"/>
      <c r="F520" s="1"/>
      <c r="G520" s="1"/>
      <c r="H520" s="1"/>
      <c r="I520" s="1">
        <v>73</v>
      </c>
    </row>
    <row r="521" spans="1:9" ht="13.2" x14ac:dyDescent="0.25">
      <c r="A521" s="1"/>
      <c r="B521" s="1"/>
      <c r="C521" s="1"/>
      <c r="D521" s="1"/>
      <c r="E521" s="1"/>
      <c r="F521" s="1"/>
      <c r="G521" s="1"/>
      <c r="H521" s="1"/>
      <c r="I521" s="1">
        <v>64</v>
      </c>
    </row>
    <row r="522" spans="1:9" ht="13.2" x14ac:dyDescent="0.25">
      <c r="A522" s="1"/>
      <c r="B522" s="1"/>
      <c r="C522" s="1"/>
      <c r="D522" s="1"/>
      <c r="E522" s="1"/>
      <c r="F522" s="1"/>
      <c r="G522" s="1"/>
      <c r="H522" s="1"/>
      <c r="I522" s="1">
        <v>58</v>
      </c>
    </row>
    <row r="523" spans="1:9" ht="13.2" x14ac:dyDescent="0.25">
      <c r="A523" s="1"/>
      <c r="B523" s="1"/>
      <c r="C523" s="1"/>
      <c r="D523" s="1"/>
      <c r="E523" s="1"/>
      <c r="F523" s="1"/>
      <c r="G523" s="1"/>
      <c r="H523" s="1"/>
      <c r="I523" s="1">
        <v>88</v>
      </c>
    </row>
    <row r="524" spans="1:9" ht="13.2" x14ac:dyDescent="0.25">
      <c r="A524" s="1"/>
      <c r="B524" s="1"/>
      <c r="C524" s="1"/>
      <c r="D524" s="1"/>
      <c r="E524" s="1"/>
      <c r="F524" s="1"/>
      <c r="G524" s="1"/>
      <c r="H524" s="1"/>
      <c r="I524" s="1">
        <v>56</v>
      </c>
    </row>
    <row r="525" spans="1:9" ht="13.2" x14ac:dyDescent="0.25">
      <c r="A525" s="1"/>
      <c r="B525" s="1"/>
      <c r="C525" s="1"/>
      <c r="D525" s="1"/>
      <c r="E525" s="1"/>
      <c r="F525" s="1"/>
      <c r="G525" s="1"/>
      <c r="H525" s="1"/>
      <c r="I525" s="1">
        <v>82</v>
      </c>
    </row>
    <row r="526" spans="1:9" ht="13.2" x14ac:dyDescent="0.25">
      <c r="A526" s="1"/>
      <c r="B526" s="1"/>
      <c r="C526" s="1"/>
      <c r="D526" s="1"/>
      <c r="E526" s="1"/>
      <c r="F526" s="1"/>
      <c r="G526" s="1"/>
      <c r="H526" s="1"/>
      <c r="I526" s="1">
        <v>97</v>
      </c>
    </row>
    <row r="527" spans="1:9" ht="13.2" x14ac:dyDescent="0.25">
      <c r="A527" s="1"/>
      <c r="B527" s="1"/>
      <c r="C527" s="1"/>
      <c r="D527" s="1"/>
      <c r="E527" s="1"/>
      <c r="F527" s="1"/>
      <c r="G527" s="1"/>
      <c r="H527" s="1"/>
      <c r="I527" s="1">
        <v>49</v>
      </c>
    </row>
    <row r="528" spans="1:9" ht="13.2" x14ac:dyDescent="0.25">
      <c r="A528" s="1"/>
      <c r="B528" s="1"/>
      <c r="C528" s="1"/>
      <c r="D528" s="1"/>
      <c r="E528" s="1"/>
      <c r="F528" s="1"/>
      <c r="G528" s="1"/>
      <c r="H528" s="1"/>
      <c r="I528" s="1">
        <v>55</v>
      </c>
    </row>
    <row r="529" spans="1:9" ht="13.2" x14ac:dyDescent="0.25">
      <c r="A529" s="1"/>
      <c r="B529" s="1"/>
      <c r="C529" s="1"/>
      <c r="D529" s="1"/>
      <c r="E529" s="1"/>
      <c r="F529" s="1"/>
      <c r="G529" s="1"/>
      <c r="H529" s="1"/>
      <c r="I529" s="1">
        <v>56</v>
      </c>
    </row>
    <row r="530" spans="1:9" ht="13.2" x14ac:dyDescent="0.25">
      <c r="A530" s="1"/>
      <c r="B530" s="1"/>
      <c r="C530" s="1"/>
      <c r="D530" s="1"/>
      <c r="E530" s="1"/>
      <c r="F530" s="1"/>
      <c r="G530" s="1"/>
      <c r="H530" s="1"/>
      <c r="I530" s="1">
        <v>54</v>
      </c>
    </row>
    <row r="531" spans="1:9" ht="13.2" x14ac:dyDescent="0.25">
      <c r="A531" s="1"/>
      <c r="B531" s="1"/>
      <c r="C531" s="1"/>
      <c r="D531" s="1"/>
      <c r="E531" s="1"/>
      <c r="F531" s="1"/>
      <c r="G531" s="1"/>
      <c r="H531" s="1"/>
      <c r="I531" s="1">
        <v>74</v>
      </c>
    </row>
    <row r="532" spans="1:9" ht="13.2" x14ac:dyDescent="0.25">
      <c r="A532" s="1"/>
      <c r="B532" s="1"/>
      <c r="C532" s="1"/>
      <c r="D532" s="1"/>
      <c r="E532" s="1"/>
      <c r="F532" s="1"/>
      <c r="G532" s="1"/>
      <c r="H532" s="1"/>
      <c r="I532" s="1">
        <v>37</v>
      </c>
    </row>
    <row r="533" spans="1:9" ht="13.2" x14ac:dyDescent="0.25">
      <c r="A533" s="1"/>
      <c r="B533" s="1"/>
      <c r="C533" s="1"/>
      <c r="D533" s="1"/>
      <c r="E533" s="1"/>
      <c r="F533" s="1"/>
      <c r="G533" s="1"/>
      <c r="H533" s="1"/>
      <c r="I533" s="1">
        <v>57</v>
      </c>
    </row>
    <row r="534" spans="1:9" ht="13.2" x14ac:dyDescent="0.25">
      <c r="A534" s="1"/>
      <c r="B534" s="1"/>
      <c r="C534" s="1"/>
      <c r="D534" s="1"/>
      <c r="E534" s="1"/>
      <c r="F534" s="1"/>
      <c r="G534" s="1"/>
      <c r="H534" s="1"/>
      <c r="I534" s="1">
        <v>68</v>
      </c>
    </row>
    <row r="535" spans="1:9" ht="13.2" x14ac:dyDescent="0.25">
      <c r="A535" s="1"/>
      <c r="B535" s="1"/>
      <c r="C535" s="1"/>
      <c r="D535" s="1"/>
      <c r="E535" s="1"/>
      <c r="F535" s="1"/>
      <c r="G535" s="1"/>
      <c r="H535" s="1"/>
      <c r="I535" s="1">
        <v>66</v>
      </c>
    </row>
    <row r="536" spans="1:9" ht="13.2" x14ac:dyDescent="0.25">
      <c r="A536" s="1"/>
      <c r="B536" s="1"/>
      <c r="C536" s="1"/>
      <c r="D536" s="1"/>
      <c r="E536" s="1"/>
      <c r="F536" s="1"/>
      <c r="G536" s="1"/>
      <c r="H536" s="1"/>
      <c r="I536" s="1">
        <v>87</v>
      </c>
    </row>
    <row r="537" spans="1:9" ht="13.2" x14ac:dyDescent="0.25">
      <c r="A537" s="1"/>
      <c r="B537" s="1"/>
      <c r="C537" s="1"/>
      <c r="D537" s="1"/>
      <c r="E537" s="1"/>
      <c r="F537" s="1"/>
      <c r="G537" s="1"/>
      <c r="H537" s="1"/>
      <c r="I537" s="1">
        <v>91</v>
      </c>
    </row>
    <row r="538" spans="1:9" ht="13.2" x14ac:dyDescent="0.25">
      <c r="A538" s="1"/>
      <c r="B538" s="1"/>
      <c r="C538" s="1"/>
      <c r="D538" s="1"/>
      <c r="E538" s="1"/>
      <c r="F538" s="1"/>
      <c r="G538" s="1"/>
      <c r="H538" s="1"/>
      <c r="I538" s="1">
        <v>68</v>
      </c>
    </row>
    <row r="539" spans="1:9" ht="13.2" x14ac:dyDescent="0.25">
      <c r="A539" s="1"/>
      <c r="B539" s="1"/>
      <c r="C539" s="1"/>
      <c r="D539" s="1"/>
      <c r="E539" s="1"/>
      <c r="F539" s="1"/>
      <c r="G539" s="1"/>
      <c r="H539" s="1"/>
      <c r="I539" s="1">
        <v>85</v>
      </c>
    </row>
    <row r="540" spans="1:9" ht="13.2" x14ac:dyDescent="0.25">
      <c r="A540" s="1"/>
      <c r="B540" s="1"/>
      <c r="C540" s="1"/>
      <c r="D540" s="1"/>
      <c r="E540" s="1"/>
      <c r="F540" s="1"/>
      <c r="G540" s="1"/>
      <c r="H540" s="1"/>
      <c r="I540" s="1">
        <v>73</v>
      </c>
    </row>
    <row r="541" spans="1:9" ht="13.2" x14ac:dyDescent="0.25">
      <c r="A541" s="1"/>
      <c r="B541" s="1"/>
      <c r="C541" s="1"/>
      <c r="D541" s="1"/>
      <c r="E541" s="1"/>
      <c r="F541" s="1"/>
      <c r="G541" s="1"/>
      <c r="H541" s="1"/>
      <c r="I541" s="1">
        <v>86</v>
      </c>
    </row>
    <row r="542" spans="1:9" ht="13.2" x14ac:dyDescent="0.25">
      <c r="A542" s="1"/>
      <c r="B542" s="1"/>
      <c r="C542" s="1"/>
      <c r="D542" s="1"/>
      <c r="E542" s="1"/>
      <c r="F542" s="1"/>
      <c r="G542" s="1"/>
      <c r="H542" s="1"/>
      <c r="I542" s="1">
        <v>59</v>
      </c>
    </row>
    <row r="543" spans="1:9" ht="13.2" x14ac:dyDescent="0.25">
      <c r="A543" s="1"/>
      <c r="B543" s="1"/>
      <c r="C543" s="1"/>
      <c r="D543" s="1"/>
      <c r="E543" s="1"/>
      <c r="F543" s="1"/>
      <c r="G543" s="1"/>
      <c r="H543" s="1"/>
      <c r="I543" s="1">
        <v>57</v>
      </c>
    </row>
    <row r="544" spans="1:9" ht="13.2" x14ac:dyDescent="0.25">
      <c r="A544" s="1"/>
      <c r="B544" s="1"/>
      <c r="C544" s="1"/>
      <c r="D544" s="1"/>
      <c r="E544" s="1"/>
      <c r="F544" s="1"/>
      <c r="G544" s="1"/>
      <c r="H544" s="1"/>
      <c r="I544" s="1">
        <v>59</v>
      </c>
    </row>
    <row r="545" spans="1:9" ht="13.2" x14ac:dyDescent="0.25">
      <c r="A545" s="1"/>
      <c r="B545" s="1"/>
      <c r="C545" s="1"/>
      <c r="D545" s="1"/>
      <c r="E545" s="1"/>
      <c r="F545" s="1"/>
      <c r="G545" s="1"/>
      <c r="H545" s="1"/>
      <c r="I545" s="1">
        <v>75</v>
      </c>
    </row>
    <row r="546" spans="1:9" ht="13.2" x14ac:dyDescent="0.25">
      <c r="A546" s="1"/>
      <c r="B546" s="1"/>
      <c r="C546" s="1"/>
      <c r="D546" s="1"/>
      <c r="E546" s="1"/>
      <c r="F546" s="1"/>
      <c r="G546" s="1"/>
      <c r="H546" s="1"/>
      <c r="I546" s="1">
        <v>57</v>
      </c>
    </row>
    <row r="547" spans="1:9" ht="13.2" x14ac:dyDescent="0.25">
      <c r="A547" s="1"/>
      <c r="B547" s="1"/>
      <c r="C547" s="1"/>
      <c r="D547" s="1"/>
      <c r="E547" s="1"/>
      <c r="F547" s="1"/>
      <c r="G547" s="1"/>
      <c r="H547" s="1"/>
      <c r="I547" s="1">
        <v>100</v>
      </c>
    </row>
    <row r="548" spans="1:9" ht="13.2" x14ac:dyDescent="0.25">
      <c r="A548" s="1"/>
      <c r="B548" s="1"/>
      <c r="C548" s="1"/>
      <c r="D548" s="1"/>
      <c r="E548" s="1"/>
      <c r="F548" s="1"/>
      <c r="G548" s="1"/>
      <c r="H548" s="1"/>
      <c r="I548" s="1">
        <v>68</v>
      </c>
    </row>
    <row r="549" spans="1:9" ht="13.2" x14ac:dyDescent="0.25">
      <c r="A549" s="1"/>
      <c r="B549" s="1"/>
      <c r="C549" s="1"/>
      <c r="D549" s="1"/>
      <c r="E549" s="1"/>
      <c r="F549" s="1"/>
      <c r="G549" s="1"/>
      <c r="H549" s="1"/>
      <c r="I549" s="1">
        <v>65</v>
      </c>
    </row>
    <row r="550" spans="1:9" ht="13.2" x14ac:dyDescent="0.25">
      <c r="A550" s="1"/>
      <c r="B550" s="1"/>
      <c r="C550" s="1"/>
      <c r="D550" s="1"/>
      <c r="E550" s="1"/>
      <c r="F550" s="1"/>
      <c r="G550" s="1"/>
      <c r="H550" s="1"/>
      <c r="I550" s="1">
        <v>90</v>
      </c>
    </row>
    <row r="551" spans="1:9" ht="13.2" x14ac:dyDescent="0.25">
      <c r="A551" s="1"/>
      <c r="B551" s="1"/>
      <c r="C551" s="1"/>
      <c r="D551" s="1"/>
      <c r="E551" s="1"/>
      <c r="F551" s="1"/>
      <c r="G551" s="1"/>
      <c r="H551" s="1"/>
      <c r="I551" s="1">
        <v>69</v>
      </c>
    </row>
    <row r="552" spans="1:9" ht="13.2" x14ac:dyDescent="0.25">
      <c r="A552" s="1"/>
      <c r="B552" s="1"/>
      <c r="C552" s="1"/>
      <c r="D552" s="1"/>
      <c r="E552" s="1"/>
      <c r="F552" s="1"/>
      <c r="G552" s="1"/>
      <c r="H552" s="1"/>
      <c r="I552" s="1">
        <v>78</v>
      </c>
    </row>
    <row r="553" spans="1:9" ht="13.2" x14ac:dyDescent="0.25">
      <c r="A553" s="1"/>
      <c r="B553" s="1"/>
      <c r="C553" s="1"/>
      <c r="D553" s="1"/>
      <c r="E553" s="1"/>
      <c r="F553" s="1"/>
      <c r="G553" s="1"/>
      <c r="H553" s="1"/>
      <c r="I553" s="1">
        <v>63</v>
      </c>
    </row>
    <row r="554" spans="1:9" ht="13.2" x14ac:dyDescent="0.25">
      <c r="A554" s="1"/>
      <c r="B554" s="1"/>
      <c r="C554" s="1"/>
      <c r="D554" s="1"/>
      <c r="E554" s="1"/>
      <c r="F554" s="1"/>
      <c r="G554" s="1"/>
      <c r="H554" s="1"/>
      <c r="I554" s="1">
        <v>64</v>
      </c>
    </row>
    <row r="555" spans="1:9" ht="13.2" x14ac:dyDescent="0.25">
      <c r="A555" s="1"/>
      <c r="B555" s="1"/>
      <c r="C555" s="1"/>
      <c r="D555" s="1"/>
      <c r="E555" s="1"/>
      <c r="F555" s="1"/>
      <c r="G555" s="1"/>
      <c r="H555" s="1"/>
      <c r="I555" s="1">
        <v>65</v>
      </c>
    </row>
    <row r="556" spans="1:9" ht="13.2" x14ac:dyDescent="0.25">
      <c r="A556" s="1"/>
      <c r="B556" s="1"/>
      <c r="C556" s="1"/>
      <c r="D556" s="1"/>
      <c r="E556" s="1"/>
      <c r="F556" s="1"/>
      <c r="G556" s="1"/>
      <c r="H556" s="1"/>
      <c r="I556" s="1">
        <v>40</v>
      </c>
    </row>
    <row r="557" spans="1:9" ht="13.2" x14ac:dyDescent="0.25">
      <c r="A557" s="1"/>
      <c r="B557" s="1"/>
      <c r="C557" s="1"/>
      <c r="D557" s="1"/>
      <c r="E557" s="1"/>
      <c r="F557" s="1"/>
      <c r="G557" s="1"/>
      <c r="H557" s="1"/>
      <c r="I557" s="1">
        <v>48</v>
      </c>
    </row>
    <row r="558" spans="1:9" ht="13.2" x14ac:dyDescent="0.25">
      <c r="A558" s="1"/>
      <c r="B558" s="1"/>
      <c r="C558" s="1"/>
      <c r="D558" s="1"/>
      <c r="E558" s="1"/>
      <c r="F558" s="1"/>
      <c r="G558" s="1"/>
      <c r="H558" s="1"/>
      <c r="I558" s="1">
        <v>50</v>
      </c>
    </row>
    <row r="559" spans="1:9" ht="13.2" x14ac:dyDescent="0.25">
      <c r="A559" s="1"/>
      <c r="B559" s="1"/>
      <c r="C559" s="1"/>
      <c r="D559" s="1"/>
      <c r="E559" s="1"/>
      <c r="F559" s="1"/>
      <c r="G559" s="1"/>
      <c r="H559" s="1"/>
      <c r="I559" s="1">
        <v>65</v>
      </c>
    </row>
    <row r="560" spans="1:9" ht="13.2" x14ac:dyDescent="0.25">
      <c r="A560" s="1"/>
      <c r="B560" s="1"/>
      <c r="C560" s="1"/>
      <c r="D560" s="1"/>
      <c r="E560" s="1"/>
      <c r="F560" s="1"/>
      <c r="G560" s="1"/>
      <c r="H560" s="1"/>
      <c r="I560" s="1">
        <v>79</v>
      </c>
    </row>
    <row r="561" spans="1:9" ht="13.2" x14ac:dyDescent="0.25">
      <c r="A561" s="1"/>
      <c r="B561" s="1"/>
      <c r="C561" s="1"/>
      <c r="D561" s="1"/>
      <c r="E561" s="1"/>
      <c r="F561" s="1"/>
      <c r="G561" s="1"/>
      <c r="H561" s="1"/>
      <c r="I561" s="1">
        <v>80</v>
      </c>
    </row>
    <row r="562" spans="1:9" ht="13.2" x14ac:dyDescent="0.25">
      <c r="A562" s="1"/>
      <c r="B562" s="1"/>
      <c r="C562" s="1"/>
      <c r="D562" s="1"/>
      <c r="E562" s="1"/>
      <c r="F562" s="1"/>
      <c r="G562" s="1"/>
      <c r="H562" s="1"/>
      <c r="I562" s="1">
        <v>96</v>
      </c>
    </row>
    <row r="563" spans="1:9" ht="13.2" x14ac:dyDescent="0.25">
      <c r="A563" s="1"/>
      <c r="B563" s="1"/>
      <c r="C563" s="1"/>
      <c r="D563" s="1"/>
      <c r="E563" s="1"/>
      <c r="F563" s="1"/>
      <c r="G563" s="1"/>
      <c r="H563" s="1"/>
      <c r="I563" s="1">
        <v>73</v>
      </c>
    </row>
    <row r="564" spans="1:9" ht="13.2" x14ac:dyDescent="0.25">
      <c r="A564" s="1"/>
      <c r="B564" s="1"/>
      <c r="C564" s="1"/>
      <c r="D564" s="1"/>
      <c r="E564" s="1"/>
      <c r="F564" s="1"/>
      <c r="G564" s="1"/>
      <c r="H564" s="1"/>
      <c r="I564" s="1">
        <v>72</v>
      </c>
    </row>
    <row r="565" spans="1:9" ht="13.2" x14ac:dyDescent="0.25">
      <c r="A565" s="1"/>
      <c r="B565" s="1"/>
      <c r="C565" s="1"/>
      <c r="D565" s="1"/>
      <c r="E565" s="1"/>
      <c r="F565" s="1"/>
      <c r="G565" s="1"/>
      <c r="H565" s="1"/>
      <c r="I565" s="1">
        <v>62</v>
      </c>
    </row>
    <row r="566" spans="1:9" ht="13.2" x14ac:dyDescent="0.25">
      <c r="A566" s="1"/>
      <c r="B566" s="1"/>
      <c r="C566" s="1"/>
      <c r="D566" s="1"/>
      <c r="E566" s="1"/>
      <c r="F566" s="1"/>
      <c r="G566" s="1"/>
      <c r="H566" s="1"/>
      <c r="I566" s="1">
        <v>95</v>
      </c>
    </row>
    <row r="567" spans="1:9" ht="13.2" x14ac:dyDescent="0.25">
      <c r="A567" s="1"/>
      <c r="B567" s="1"/>
      <c r="C567" s="1"/>
      <c r="D567" s="1"/>
      <c r="E567" s="1"/>
      <c r="F567" s="1"/>
      <c r="G567" s="1"/>
      <c r="H567" s="1"/>
      <c r="I567" s="1">
        <v>92</v>
      </c>
    </row>
    <row r="568" spans="1:9" ht="13.2" x14ac:dyDescent="0.25">
      <c r="A568" s="1"/>
      <c r="B568" s="1"/>
      <c r="C568" s="1"/>
      <c r="D568" s="1"/>
      <c r="E568" s="1"/>
      <c r="F568" s="1"/>
      <c r="G568" s="1"/>
      <c r="H568" s="1"/>
      <c r="I568" s="1">
        <v>64</v>
      </c>
    </row>
    <row r="569" spans="1:9" ht="13.2" x14ac:dyDescent="0.25">
      <c r="A569" s="1"/>
      <c r="B569" s="1"/>
      <c r="C569" s="1"/>
      <c r="D569" s="1"/>
      <c r="E569" s="1"/>
      <c r="F569" s="1"/>
      <c r="G569" s="1"/>
      <c r="H569" s="1"/>
      <c r="I569" s="1">
        <v>67</v>
      </c>
    </row>
    <row r="570" spans="1:9" ht="13.2" x14ac:dyDescent="0.25">
      <c r="A570" s="1"/>
      <c r="B570" s="1"/>
      <c r="C570" s="1"/>
      <c r="D570" s="1"/>
      <c r="E570" s="1"/>
      <c r="F570" s="1"/>
      <c r="G570" s="1"/>
      <c r="H570" s="1"/>
      <c r="I570" s="1">
        <v>76</v>
      </c>
    </row>
    <row r="571" spans="1:9" ht="13.2" x14ac:dyDescent="0.25">
      <c r="A571" s="1"/>
      <c r="B571" s="1"/>
      <c r="C571" s="1"/>
      <c r="D571" s="1"/>
      <c r="E571" s="1"/>
      <c r="F571" s="1"/>
      <c r="G571" s="1"/>
      <c r="H571" s="1"/>
      <c r="I571" s="1">
        <v>87</v>
      </c>
    </row>
    <row r="572" spans="1:9" ht="13.2" x14ac:dyDescent="0.25">
      <c r="A572" s="1"/>
      <c r="B572" s="1"/>
      <c r="C572" s="1"/>
      <c r="D572" s="1"/>
      <c r="E572" s="1"/>
      <c r="F572" s="1"/>
      <c r="G572" s="1"/>
      <c r="H572" s="1"/>
      <c r="I572" s="1">
        <v>65</v>
      </c>
    </row>
    <row r="573" spans="1:9" ht="13.2" x14ac:dyDescent="0.25">
      <c r="A573" s="1"/>
      <c r="B573" s="1"/>
      <c r="C573" s="1"/>
      <c r="D573" s="1"/>
      <c r="E573" s="1"/>
      <c r="F573" s="1"/>
      <c r="G573" s="1"/>
      <c r="H573" s="1"/>
      <c r="I573" s="1">
        <v>64</v>
      </c>
    </row>
    <row r="574" spans="1:9" ht="13.2" x14ac:dyDescent="0.25">
      <c r="A574" s="1"/>
      <c r="B574" s="1"/>
      <c r="C574" s="1"/>
      <c r="D574" s="1"/>
      <c r="E574" s="1"/>
      <c r="F574" s="1"/>
      <c r="G574" s="1"/>
      <c r="H574" s="1"/>
      <c r="I574" s="1">
        <v>90</v>
      </c>
    </row>
    <row r="575" spans="1:9" ht="13.2" x14ac:dyDescent="0.25">
      <c r="A575" s="1"/>
      <c r="B575" s="1"/>
      <c r="C575" s="1"/>
      <c r="D575" s="1"/>
      <c r="E575" s="1"/>
      <c r="F575" s="1"/>
      <c r="G575" s="1"/>
      <c r="H575" s="1"/>
      <c r="I575" s="1">
        <v>65</v>
      </c>
    </row>
    <row r="576" spans="1:9" ht="13.2" x14ac:dyDescent="0.25">
      <c r="A576" s="1"/>
      <c r="B576" s="1"/>
      <c r="C576" s="1"/>
      <c r="D576" s="1"/>
      <c r="E576" s="1"/>
      <c r="F576" s="1"/>
      <c r="G576" s="1"/>
      <c r="H576" s="1"/>
      <c r="I576" s="1">
        <v>70</v>
      </c>
    </row>
    <row r="577" spans="1:9" ht="13.2" x14ac:dyDescent="0.25">
      <c r="A577" s="1"/>
      <c r="B577" s="1"/>
      <c r="C577" s="1"/>
      <c r="D577" s="1"/>
      <c r="E577" s="1"/>
      <c r="F577" s="1"/>
      <c r="G577" s="1"/>
      <c r="H577" s="1"/>
      <c r="I577" s="1">
        <v>87</v>
      </c>
    </row>
    <row r="578" spans="1:9" ht="13.2" x14ac:dyDescent="0.25">
      <c r="A578" s="1"/>
      <c r="B578" s="1"/>
      <c r="C578" s="1"/>
      <c r="D578" s="1"/>
      <c r="E578" s="1"/>
      <c r="F578" s="1"/>
      <c r="G578" s="1"/>
      <c r="H578" s="1"/>
      <c r="I578" s="1">
        <v>73</v>
      </c>
    </row>
    <row r="579" spans="1:9" ht="13.2" x14ac:dyDescent="0.25">
      <c r="A579" s="1"/>
      <c r="B579" s="1"/>
      <c r="C579" s="1"/>
      <c r="D579" s="1"/>
      <c r="E579" s="1"/>
      <c r="F579" s="1"/>
      <c r="G579" s="1"/>
      <c r="H579" s="1"/>
      <c r="I579" s="1">
        <v>48</v>
      </c>
    </row>
    <row r="580" spans="1:9" ht="13.2" x14ac:dyDescent="0.25">
      <c r="A580" s="1"/>
      <c r="B580" s="1"/>
      <c r="C580" s="1"/>
      <c r="D580" s="1"/>
      <c r="E580" s="1"/>
      <c r="F580" s="1"/>
      <c r="G580" s="1"/>
      <c r="H580" s="1"/>
      <c r="I580" s="1">
        <v>77</v>
      </c>
    </row>
    <row r="581" spans="1:9" ht="13.2" x14ac:dyDescent="0.25">
      <c r="A581" s="1"/>
      <c r="B581" s="1"/>
      <c r="C581" s="1"/>
      <c r="D581" s="1"/>
      <c r="E581" s="1"/>
      <c r="F581" s="1"/>
      <c r="G581" s="1"/>
      <c r="H581" s="1"/>
      <c r="I581" s="1">
        <v>49</v>
      </c>
    </row>
    <row r="582" spans="1:9" ht="13.2" x14ac:dyDescent="0.25">
      <c r="A582" s="1"/>
      <c r="B582" s="1"/>
      <c r="C582" s="1"/>
      <c r="D582" s="1"/>
      <c r="E582" s="1"/>
      <c r="F582" s="1"/>
      <c r="G582" s="1"/>
      <c r="H582" s="1"/>
      <c r="I582" s="1">
        <v>60</v>
      </c>
    </row>
    <row r="583" spans="1:9" ht="13.2" x14ac:dyDescent="0.25">
      <c r="A583" s="1"/>
      <c r="B583" s="1"/>
      <c r="C583" s="1"/>
      <c r="D583" s="1"/>
      <c r="E583" s="1"/>
      <c r="F583" s="1"/>
      <c r="G583" s="1"/>
      <c r="H583" s="1"/>
      <c r="I583" s="1">
        <v>60</v>
      </c>
    </row>
    <row r="584" spans="1:9" ht="13.2" x14ac:dyDescent="0.25">
      <c r="A584" s="1"/>
      <c r="B584" s="1"/>
      <c r="C584" s="1"/>
      <c r="D584" s="1"/>
      <c r="E584" s="1"/>
      <c r="F584" s="1"/>
      <c r="G584" s="1"/>
      <c r="H584" s="1"/>
      <c r="I584" s="1">
        <v>95</v>
      </c>
    </row>
    <row r="585" spans="1:9" ht="13.2" x14ac:dyDescent="0.25">
      <c r="A585" s="1"/>
      <c r="B585" s="1"/>
      <c r="C585" s="1"/>
      <c r="D585" s="1"/>
      <c r="E585" s="1"/>
      <c r="F585" s="1"/>
      <c r="G585" s="1"/>
      <c r="H585" s="1"/>
      <c r="I585" s="1">
        <v>69</v>
      </c>
    </row>
    <row r="586" spans="1:9" ht="13.2" x14ac:dyDescent="0.25">
      <c r="A586" s="1"/>
      <c r="B586" s="1"/>
      <c r="C586" s="1"/>
      <c r="D586" s="1"/>
      <c r="E586" s="1"/>
      <c r="F586" s="1"/>
      <c r="G586" s="1"/>
      <c r="H586" s="1"/>
      <c r="I586" s="1">
        <v>89</v>
      </c>
    </row>
    <row r="587" spans="1:9" ht="13.2" x14ac:dyDescent="0.25">
      <c r="A587" s="1"/>
      <c r="B587" s="1"/>
      <c r="C587" s="1"/>
      <c r="D587" s="1"/>
      <c r="E587" s="1"/>
      <c r="F587" s="1"/>
      <c r="G587" s="1"/>
      <c r="H587" s="1"/>
      <c r="I587" s="1">
        <v>88</v>
      </c>
    </row>
    <row r="588" spans="1:9" ht="13.2" x14ac:dyDescent="0.25">
      <c r="A588" s="1"/>
      <c r="B588" s="1"/>
      <c r="C588" s="1"/>
      <c r="D588" s="1"/>
      <c r="E588" s="1"/>
      <c r="F588" s="1"/>
      <c r="G588" s="1"/>
      <c r="H588" s="1"/>
      <c r="I588" s="1">
        <v>73</v>
      </c>
    </row>
    <row r="589" spans="1:9" ht="13.2" x14ac:dyDescent="0.25">
      <c r="A589" s="1"/>
      <c r="B589" s="1"/>
      <c r="C589" s="1"/>
      <c r="D589" s="1"/>
      <c r="E589" s="1"/>
      <c r="F589" s="1"/>
      <c r="G589" s="1"/>
      <c r="H589" s="1"/>
      <c r="I589" s="1">
        <v>65</v>
      </c>
    </row>
    <row r="590" spans="1:9" ht="13.2" x14ac:dyDescent="0.25">
      <c r="A590" s="1"/>
      <c r="B590" s="1"/>
      <c r="C590" s="1"/>
      <c r="D590" s="1"/>
      <c r="E590" s="1"/>
      <c r="F590" s="1"/>
      <c r="G590" s="1"/>
      <c r="H590" s="1"/>
      <c r="I590" s="1">
        <v>97</v>
      </c>
    </row>
    <row r="591" spans="1:9" ht="13.2" x14ac:dyDescent="0.25">
      <c r="A591" s="1"/>
      <c r="B591" s="1"/>
      <c r="C591" s="1"/>
      <c r="D591" s="1"/>
      <c r="E591" s="1"/>
      <c r="F591" s="1"/>
      <c r="G591" s="1"/>
      <c r="H591" s="1"/>
      <c r="I591" s="1">
        <v>70</v>
      </c>
    </row>
    <row r="592" spans="1:9" ht="13.2" x14ac:dyDescent="0.25">
      <c r="A592" s="1"/>
      <c r="B592" s="1"/>
      <c r="C592" s="1"/>
      <c r="D592" s="1"/>
      <c r="E592" s="1"/>
      <c r="F592" s="1"/>
      <c r="G592" s="1"/>
      <c r="H592" s="1"/>
      <c r="I592" s="1">
        <v>49</v>
      </c>
    </row>
    <row r="593" spans="1:9" ht="13.2" x14ac:dyDescent="0.25">
      <c r="A593" s="1"/>
      <c r="B593" s="1"/>
      <c r="C593" s="1"/>
      <c r="D593" s="1"/>
      <c r="E593" s="1"/>
      <c r="F593" s="1"/>
      <c r="G593" s="1"/>
      <c r="H593" s="1"/>
      <c r="I593" s="1">
        <v>51</v>
      </c>
    </row>
    <row r="594" spans="1:9" ht="13.2" x14ac:dyDescent="0.25">
      <c r="A594" s="1"/>
      <c r="B594" s="1"/>
      <c r="C594" s="1"/>
      <c r="D594" s="1"/>
      <c r="E594" s="1"/>
      <c r="F594" s="1"/>
      <c r="G594" s="1"/>
      <c r="H594" s="1"/>
      <c r="I594" s="1">
        <v>50</v>
      </c>
    </row>
    <row r="595" spans="1:9" ht="13.2" x14ac:dyDescent="0.25">
      <c r="A595" s="1"/>
      <c r="B595" s="1"/>
      <c r="C595" s="1"/>
      <c r="D595" s="1"/>
      <c r="E595" s="1"/>
      <c r="F595" s="1"/>
      <c r="G595" s="1"/>
      <c r="H595" s="1"/>
      <c r="I595" s="1">
        <v>67</v>
      </c>
    </row>
    <row r="596" spans="1:9" ht="13.2" x14ac:dyDescent="0.25">
      <c r="A596" s="1"/>
      <c r="B596" s="1"/>
      <c r="C596" s="1"/>
      <c r="D596" s="1"/>
      <c r="E596" s="1"/>
      <c r="F596" s="1"/>
      <c r="G596" s="1"/>
      <c r="H596" s="1"/>
      <c r="I596" s="1">
        <v>59</v>
      </c>
    </row>
    <row r="597" spans="1:9" ht="13.2" x14ac:dyDescent="0.25">
      <c r="A597" s="1"/>
      <c r="B597" s="1"/>
      <c r="C597" s="1"/>
      <c r="D597" s="1"/>
      <c r="E597" s="1"/>
      <c r="F597" s="1"/>
      <c r="G597" s="1"/>
      <c r="H597" s="1"/>
      <c r="I597" s="1">
        <v>75</v>
      </c>
    </row>
    <row r="598" spans="1:9" ht="13.2" x14ac:dyDescent="0.25">
      <c r="A598" s="1"/>
      <c r="B598" s="1"/>
      <c r="C598" s="1"/>
      <c r="D598" s="1"/>
      <c r="E598" s="1"/>
      <c r="F598" s="1"/>
      <c r="G598" s="1"/>
      <c r="H598" s="1"/>
      <c r="I598" s="1">
        <v>55</v>
      </c>
    </row>
    <row r="599" spans="1:9" ht="13.2" x14ac:dyDescent="0.25">
      <c r="A599" s="1"/>
      <c r="B599" s="1"/>
      <c r="C599" s="1"/>
      <c r="D599" s="1"/>
      <c r="E599" s="1"/>
      <c r="F599" s="1"/>
      <c r="G599" s="1"/>
      <c r="H599" s="1"/>
      <c r="I599" s="1">
        <v>74</v>
      </c>
    </row>
    <row r="600" spans="1:9" ht="13.2" x14ac:dyDescent="0.25">
      <c r="A600" s="1"/>
      <c r="B600" s="1"/>
      <c r="C600" s="1"/>
      <c r="D600" s="1"/>
      <c r="E600" s="1"/>
      <c r="F600" s="1"/>
      <c r="G600" s="1"/>
      <c r="H600" s="1"/>
      <c r="I600" s="1">
        <v>80</v>
      </c>
    </row>
    <row r="601" spans="1:9" ht="13.2" x14ac:dyDescent="0.25">
      <c r="A601" s="1"/>
      <c r="B601" s="1"/>
      <c r="C601" s="1"/>
      <c r="D601" s="1"/>
      <c r="E601" s="1"/>
      <c r="F601" s="1"/>
      <c r="G601" s="1"/>
      <c r="H601" s="1"/>
      <c r="I601" s="1">
        <v>65</v>
      </c>
    </row>
    <row r="602" spans="1:9" ht="13.2" x14ac:dyDescent="0.25">
      <c r="A602" s="1"/>
      <c r="B602" s="1"/>
      <c r="C602" s="1"/>
      <c r="D602" s="1"/>
      <c r="E602" s="1"/>
      <c r="F602" s="1"/>
      <c r="G602" s="1"/>
      <c r="H602" s="1"/>
      <c r="I602" s="1">
        <v>88</v>
      </c>
    </row>
    <row r="603" spans="1:9" ht="13.2" x14ac:dyDescent="0.25">
      <c r="A603" s="1"/>
      <c r="B603" s="1"/>
      <c r="C603" s="1"/>
      <c r="D603" s="1"/>
      <c r="E603" s="1"/>
      <c r="F603" s="1"/>
      <c r="G603" s="1"/>
      <c r="H603" s="1"/>
      <c r="I603" s="1">
        <v>78</v>
      </c>
    </row>
    <row r="604" spans="1:9" ht="13.2" x14ac:dyDescent="0.25">
      <c r="A604" s="1"/>
      <c r="B604" s="1"/>
      <c r="C604" s="1"/>
      <c r="D604" s="1"/>
      <c r="E604" s="1"/>
      <c r="F604" s="1"/>
      <c r="G604" s="1"/>
      <c r="H604" s="1"/>
      <c r="I604" s="1">
        <v>81</v>
      </c>
    </row>
    <row r="605" spans="1:9" ht="13.2" x14ac:dyDescent="0.25">
      <c r="A605" s="1"/>
      <c r="B605" s="1"/>
      <c r="C605" s="1"/>
      <c r="D605" s="1"/>
      <c r="E605" s="1"/>
      <c r="F605" s="1"/>
      <c r="G605" s="1"/>
      <c r="H605" s="1"/>
      <c r="I605" s="1">
        <v>57</v>
      </c>
    </row>
    <row r="606" spans="1:9" ht="13.2" x14ac:dyDescent="0.25">
      <c r="A606" s="1"/>
      <c r="B606" s="1"/>
      <c r="C606" s="1"/>
      <c r="D606" s="1"/>
      <c r="E606" s="1"/>
      <c r="F606" s="1"/>
      <c r="G606" s="1"/>
      <c r="H606" s="1"/>
      <c r="I606" s="1">
        <v>57</v>
      </c>
    </row>
    <row r="607" spans="1:9" ht="13.2" x14ac:dyDescent="0.25">
      <c r="A607" s="1"/>
      <c r="B607" s="1"/>
      <c r="C607" s="1"/>
      <c r="D607" s="1"/>
      <c r="E607" s="1"/>
      <c r="F607" s="1"/>
      <c r="G607" s="1"/>
      <c r="H607" s="1"/>
      <c r="I607" s="1">
        <v>100</v>
      </c>
    </row>
    <row r="608" spans="1:9" ht="13.2" x14ac:dyDescent="0.25">
      <c r="A608" s="1"/>
      <c r="B608" s="1"/>
      <c r="C608" s="1"/>
      <c r="D608" s="1"/>
      <c r="E608" s="1"/>
      <c r="F608" s="1"/>
      <c r="G608" s="1"/>
      <c r="H608" s="1"/>
      <c r="I608" s="1">
        <v>61</v>
      </c>
    </row>
    <row r="609" spans="1:9" ht="13.2" x14ac:dyDescent="0.25">
      <c r="A609" s="1"/>
      <c r="B609" s="1"/>
      <c r="C609" s="1"/>
      <c r="D609" s="1"/>
      <c r="E609" s="1"/>
      <c r="F609" s="1"/>
      <c r="G609" s="1"/>
      <c r="H609" s="1"/>
      <c r="I609" s="1">
        <v>88</v>
      </c>
    </row>
    <row r="610" spans="1:9" ht="13.2" x14ac:dyDescent="0.25">
      <c r="A610" s="1"/>
      <c r="B610" s="1"/>
      <c r="C610" s="1"/>
      <c r="D610" s="1"/>
      <c r="E610" s="1"/>
      <c r="F610" s="1"/>
      <c r="G610" s="1"/>
      <c r="H610" s="1"/>
      <c r="I610" s="1">
        <v>65</v>
      </c>
    </row>
    <row r="611" spans="1:9" ht="13.2" x14ac:dyDescent="0.25">
      <c r="A611" s="1"/>
      <c r="B611" s="1"/>
      <c r="C611" s="1"/>
      <c r="D611" s="1"/>
      <c r="E611" s="1"/>
      <c r="F611" s="1"/>
      <c r="G611" s="1"/>
      <c r="H611" s="1"/>
      <c r="I611" s="1">
        <v>72</v>
      </c>
    </row>
    <row r="612" spans="1:9" ht="13.2" x14ac:dyDescent="0.25">
      <c r="A612" s="1"/>
      <c r="B612" s="1"/>
      <c r="C612" s="1"/>
      <c r="D612" s="1"/>
      <c r="E612" s="1"/>
      <c r="F612" s="1"/>
      <c r="G612" s="1"/>
      <c r="H612" s="1"/>
      <c r="I612" s="1">
        <v>49</v>
      </c>
    </row>
    <row r="613" spans="1:9" ht="13.2" x14ac:dyDescent="0.25">
      <c r="A613" s="1"/>
      <c r="B613" s="1"/>
      <c r="C613" s="1"/>
      <c r="D613" s="1"/>
      <c r="E613" s="1"/>
      <c r="F613" s="1"/>
      <c r="G613" s="1"/>
      <c r="H613" s="1"/>
      <c r="I613" s="1">
        <v>79</v>
      </c>
    </row>
    <row r="614" spans="1:9" ht="13.2" x14ac:dyDescent="0.25">
      <c r="A614" s="1"/>
      <c r="B614" s="1"/>
      <c r="C614" s="1"/>
      <c r="D614" s="1"/>
      <c r="E614" s="1"/>
      <c r="F614" s="1"/>
      <c r="G614" s="1"/>
      <c r="H614" s="1"/>
      <c r="I614" s="1">
        <v>50</v>
      </c>
    </row>
    <row r="615" spans="1:9" ht="13.2" x14ac:dyDescent="0.25">
      <c r="A615" s="1"/>
      <c r="B615" s="1"/>
      <c r="C615" s="1"/>
      <c r="D615" s="1"/>
      <c r="E615" s="1"/>
      <c r="F615" s="1"/>
      <c r="G615" s="1"/>
      <c r="H615" s="1"/>
      <c r="I615" s="1">
        <v>52</v>
      </c>
    </row>
    <row r="616" spans="1:9" ht="13.2" x14ac:dyDescent="0.25">
      <c r="A616" s="1"/>
      <c r="B616" s="1"/>
      <c r="C616" s="1"/>
      <c r="D616" s="1"/>
      <c r="E616" s="1"/>
      <c r="F616" s="1"/>
      <c r="G616" s="1"/>
      <c r="H616" s="1"/>
      <c r="I616" s="1">
        <v>62</v>
      </c>
    </row>
    <row r="617" spans="1:9" ht="13.2" x14ac:dyDescent="0.25">
      <c r="A617" s="1"/>
      <c r="B617" s="1"/>
      <c r="C617" s="1"/>
      <c r="D617" s="1"/>
      <c r="E617" s="1"/>
      <c r="F617" s="1"/>
      <c r="G617" s="1"/>
      <c r="H617" s="1"/>
      <c r="I617" s="1">
        <v>52</v>
      </c>
    </row>
    <row r="618" spans="1:9" ht="13.2" x14ac:dyDescent="0.25">
      <c r="A618" s="1"/>
      <c r="B618" s="1"/>
      <c r="C618" s="1"/>
      <c r="D618" s="1"/>
      <c r="E618" s="1"/>
      <c r="F618" s="1"/>
      <c r="G618" s="1"/>
      <c r="H618" s="1"/>
      <c r="I618" s="1">
        <v>59</v>
      </c>
    </row>
    <row r="619" spans="1:9" ht="13.2" x14ac:dyDescent="0.25">
      <c r="A619" s="1"/>
      <c r="B619" s="1"/>
      <c r="C619" s="1"/>
      <c r="D619" s="1"/>
      <c r="E619" s="1"/>
      <c r="F619" s="1"/>
      <c r="G619" s="1"/>
      <c r="H619" s="1"/>
      <c r="I619" s="1">
        <v>45</v>
      </c>
    </row>
    <row r="620" spans="1:9" ht="13.2" x14ac:dyDescent="0.25">
      <c r="A620" s="1"/>
      <c r="B620" s="1"/>
      <c r="C620" s="1"/>
      <c r="D620" s="1"/>
      <c r="E620" s="1"/>
      <c r="F620" s="1"/>
      <c r="G620" s="1"/>
      <c r="H620" s="1"/>
      <c r="I620" s="1">
        <v>64</v>
      </c>
    </row>
    <row r="621" spans="1:9" ht="13.2" x14ac:dyDescent="0.25">
      <c r="A621" s="1"/>
      <c r="B621" s="1"/>
      <c r="C621" s="1"/>
      <c r="D621" s="1"/>
      <c r="E621" s="1"/>
      <c r="F621" s="1"/>
      <c r="G621" s="1"/>
      <c r="H621" s="1"/>
      <c r="I621" s="1">
        <v>60</v>
      </c>
    </row>
    <row r="622" spans="1:9" ht="13.2" x14ac:dyDescent="0.25">
      <c r="A622" s="1"/>
      <c r="B622" s="1"/>
      <c r="C622" s="1"/>
      <c r="D622" s="1"/>
      <c r="E622" s="1"/>
      <c r="F622" s="1"/>
      <c r="G622" s="1"/>
      <c r="H622" s="1"/>
      <c r="I622" s="1">
        <v>63</v>
      </c>
    </row>
    <row r="623" spans="1:9" ht="13.2" x14ac:dyDescent="0.25">
      <c r="A623" s="1"/>
      <c r="B623" s="1"/>
      <c r="C623" s="1"/>
      <c r="D623" s="1"/>
      <c r="E623" s="1"/>
      <c r="F623" s="1"/>
      <c r="G623" s="1"/>
      <c r="H623" s="1"/>
      <c r="I623" s="1">
        <v>69</v>
      </c>
    </row>
    <row r="624" spans="1:9" ht="13.2" x14ac:dyDescent="0.25">
      <c r="A624" s="1"/>
      <c r="B624" s="1"/>
      <c r="C624" s="1"/>
      <c r="D624" s="1"/>
      <c r="E624" s="1"/>
      <c r="F624" s="1"/>
      <c r="G624" s="1"/>
      <c r="H624" s="1"/>
      <c r="I624" s="1">
        <v>61</v>
      </c>
    </row>
    <row r="625" spans="1:9" ht="13.2" x14ac:dyDescent="0.25">
      <c r="A625" s="1"/>
      <c r="B625" s="1"/>
      <c r="C625" s="1"/>
      <c r="D625" s="1"/>
      <c r="E625" s="1"/>
      <c r="F625" s="1"/>
      <c r="G625" s="1"/>
      <c r="H625" s="1"/>
      <c r="I625" s="1">
        <v>97</v>
      </c>
    </row>
    <row r="626" spans="1:9" ht="13.2" x14ac:dyDescent="0.25">
      <c r="A626" s="1"/>
      <c r="B626" s="1"/>
      <c r="C626" s="1"/>
      <c r="D626" s="1"/>
      <c r="E626" s="1"/>
      <c r="F626" s="1"/>
      <c r="G626" s="1"/>
      <c r="H626" s="1"/>
      <c r="I626" s="1">
        <v>62</v>
      </c>
    </row>
    <row r="627" spans="1:9" ht="13.2" x14ac:dyDescent="0.25">
      <c r="A627" s="1"/>
      <c r="B627" s="1"/>
      <c r="C627" s="1"/>
      <c r="D627" s="1"/>
      <c r="E627" s="1"/>
      <c r="F627" s="1"/>
      <c r="G627" s="1"/>
      <c r="H627" s="1"/>
      <c r="I627" s="1">
        <v>53</v>
      </c>
    </row>
    <row r="628" spans="1:9" ht="13.2" x14ac:dyDescent="0.25">
      <c r="A628" s="1"/>
      <c r="B628" s="1"/>
      <c r="C628" s="1"/>
      <c r="D628" s="1"/>
      <c r="E628" s="1"/>
      <c r="F628" s="1"/>
      <c r="G628" s="1"/>
      <c r="H628" s="1"/>
      <c r="I628" s="1">
        <v>68</v>
      </c>
    </row>
    <row r="629" spans="1:9" ht="13.2" x14ac:dyDescent="0.25">
      <c r="A629" s="1"/>
      <c r="B629" s="1"/>
      <c r="C629" s="1"/>
      <c r="D629" s="1"/>
      <c r="E629" s="1"/>
      <c r="F629" s="1"/>
      <c r="G629" s="1"/>
      <c r="H629" s="1"/>
      <c r="I629" s="1">
        <v>78</v>
      </c>
    </row>
    <row r="630" spans="1:9" ht="13.2" x14ac:dyDescent="0.25">
      <c r="A630" s="1"/>
      <c r="B630" s="1"/>
      <c r="C630" s="1"/>
      <c r="D630" s="1"/>
      <c r="E630" s="1"/>
      <c r="F630" s="1"/>
      <c r="G630" s="1"/>
      <c r="H630" s="1"/>
      <c r="I630" s="1">
        <v>66</v>
      </c>
    </row>
    <row r="631" spans="1:9" ht="13.2" x14ac:dyDescent="0.25">
      <c r="A631" s="1"/>
      <c r="B631" s="1"/>
      <c r="C631" s="1"/>
      <c r="D631" s="1"/>
      <c r="E631" s="1"/>
      <c r="F631" s="1"/>
      <c r="G631" s="1"/>
      <c r="H631" s="1"/>
      <c r="I631" s="1">
        <v>68</v>
      </c>
    </row>
    <row r="632" spans="1:9" ht="13.2" x14ac:dyDescent="0.25">
      <c r="A632" s="1"/>
      <c r="B632" s="1"/>
      <c r="C632" s="1"/>
      <c r="D632" s="1"/>
      <c r="E632" s="1"/>
      <c r="F632" s="1"/>
      <c r="G632" s="1"/>
      <c r="H632" s="1"/>
      <c r="I632" s="1">
        <v>55</v>
      </c>
    </row>
    <row r="633" spans="1:9" ht="13.2" x14ac:dyDescent="0.25">
      <c r="A633" s="1"/>
      <c r="B633" s="1"/>
      <c r="C633" s="1"/>
      <c r="D633" s="1"/>
      <c r="E633" s="1"/>
      <c r="F633" s="1"/>
      <c r="G633" s="1"/>
      <c r="H633" s="1"/>
      <c r="I633" s="1">
        <v>91</v>
      </c>
    </row>
    <row r="634" spans="1:9" ht="13.2" x14ac:dyDescent="0.25">
      <c r="A634" s="1"/>
      <c r="B634" s="1"/>
      <c r="C634" s="1"/>
      <c r="D634" s="1"/>
      <c r="E634" s="1"/>
      <c r="F634" s="1"/>
      <c r="G634" s="1"/>
      <c r="H634" s="1"/>
      <c r="I634" s="1">
        <v>72</v>
      </c>
    </row>
    <row r="635" spans="1:9" ht="13.2" x14ac:dyDescent="0.25">
      <c r="A635" s="1"/>
      <c r="B635" s="1"/>
      <c r="C635" s="1"/>
      <c r="D635" s="1"/>
      <c r="E635" s="1"/>
      <c r="F635" s="1"/>
      <c r="G635" s="1"/>
      <c r="H635" s="1"/>
      <c r="I635" s="1">
        <v>87</v>
      </c>
    </row>
    <row r="636" spans="1:9" ht="13.2" x14ac:dyDescent="0.25">
      <c r="A636" s="1"/>
      <c r="B636" s="1"/>
      <c r="C636" s="1"/>
      <c r="D636" s="1"/>
      <c r="E636" s="1"/>
      <c r="F636" s="1"/>
      <c r="G636" s="1"/>
      <c r="H636" s="1"/>
      <c r="I636" s="1">
        <v>58</v>
      </c>
    </row>
    <row r="637" spans="1:9" ht="13.2" x14ac:dyDescent="0.25">
      <c r="A637" s="1"/>
      <c r="B637" s="1"/>
      <c r="C637" s="1"/>
      <c r="D637" s="1"/>
      <c r="E637" s="1"/>
      <c r="F637" s="1"/>
      <c r="G637" s="1"/>
      <c r="H637" s="1"/>
      <c r="I637" s="1">
        <v>67</v>
      </c>
    </row>
    <row r="638" spans="1:9" ht="13.2" x14ac:dyDescent="0.25">
      <c r="A638" s="1"/>
      <c r="B638" s="1"/>
      <c r="C638" s="1"/>
      <c r="D638" s="1"/>
      <c r="E638" s="1"/>
      <c r="F638" s="1"/>
      <c r="G638" s="1"/>
      <c r="H638" s="1"/>
      <c r="I638" s="1">
        <v>68</v>
      </c>
    </row>
    <row r="639" spans="1:9" ht="13.2" x14ac:dyDescent="0.25">
      <c r="A639" s="1"/>
      <c r="B639" s="1"/>
      <c r="C639" s="1"/>
      <c r="D639" s="1"/>
      <c r="E639" s="1"/>
      <c r="F639" s="1"/>
      <c r="G639" s="1"/>
      <c r="H639" s="1"/>
      <c r="I639" s="1">
        <v>65</v>
      </c>
    </row>
    <row r="640" spans="1:9" ht="13.2" x14ac:dyDescent="0.25">
      <c r="A640" s="1"/>
      <c r="B640" s="1"/>
      <c r="C640" s="1"/>
      <c r="D640" s="1"/>
      <c r="E640" s="1"/>
      <c r="F640" s="1"/>
      <c r="G640" s="1"/>
      <c r="H640" s="1"/>
      <c r="I640" s="1">
        <v>45</v>
      </c>
    </row>
    <row r="641" spans="1:9" ht="13.2" x14ac:dyDescent="0.25">
      <c r="A641" s="1"/>
      <c r="B641" s="1"/>
      <c r="C641" s="1"/>
      <c r="D641" s="1"/>
      <c r="E641" s="1"/>
      <c r="F641" s="1"/>
      <c r="G641" s="1"/>
      <c r="H641" s="1"/>
      <c r="I641" s="1">
        <v>48</v>
      </c>
    </row>
    <row r="642" spans="1:9" ht="13.2" x14ac:dyDescent="0.25">
      <c r="A642" s="1"/>
      <c r="B642" s="1"/>
      <c r="C642" s="1"/>
      <c r="D642" s="1"/>
      <c r="E642" s="1"/>
      <c r="F642" s="1"/>
      <c r="G642" s="1"/>
      <c r="H642" s="1"/>
      <c r="I642" s="1">
        <v>84</v>
      </c>
    </row>
    <row r="643" spans="1:9" ht="13.2" x14ac:dyDescent="0.25">
      <c r="A643" s="1"/>
      <c r="B643" s="1"/>
      <c r="C643" s="1"/>
      <c r="D643" s="1"/>
      <c r="E643" s="1"/>
      <c r="F643" s="1"/>
      <c r="G643" s="1"/>
      <c r="H643" s="1"/>
      <c r="I643" s="1">
        <v>50</v>
      </c>
    </row>
    <row r="644" spans="1:9" ht="13.2" x14ac:dyDescent="0.25">
      <c r="A644" s="1"/>
      <c r="B644" s="1"/>
      <c r="C644" s="1"/>
      <c r="D644" s="1"/>
      <c r="E644" s="1"/>
      <c r="F644" s="1"/>
      <c r="G644" s="1"/>
      <c r="H644" s="1"/>
      <c r="I644" s="1">
        <v>73</v>
      </c>
    </row>
    <row r="645" spans="1:9" ht="13.2" x14ac:dyDescent="0.25">
      <c r="A645" s="1"/>
      <c r="B645" s="1"/>
      <c r="C645" s="1"/>
      <c r="D645" s="1"/>
      <c r="E645" s="1"/>
      <c r="F645" s="1"/>
      <c r="G645" s="1"/>
      <c r="H645" s="1"/>
      <c r="I645" s="1">
        <v>75</v>
      </c>
    </row>
    <row r="646" spans="1:9" ht="13.2" x14ac:dyDescent="0.25">
      <c r="A646" s="1"/>
      <c r="B646" s="1"/>
      <c r="C646" s="1"/>
      <c r="D646" s="1"/>
      <c r="E646" s="1"/>
      <c r="F646" s="1"/>
      <c r="G646" s="1"/>
      <c r="H646" s="1"/>
      <c r="I646" s="1">
        <v>70</v>
      </c>
    </row>
    <row r="647" spans="1:9" ht="13.2" x14ac:dyDescent="0.25">
      <c r="A647" s="1"/>
      <c r="B647" s="1"/>
      <c r="C647" s="1"/>
      <c r="D647" s="1"/>
      <c r="E647" s="1"/>
      <c r="F647" s="1"/>
      <c r="G647" s="1"/>
      <c r="H647" s="1"/>
      <c r="I647" s="1">
        <v>72</v>
      </c>
    </row>
    <row r="648" spans="1:9" ht="13.2" x14ac:dyDescent="0.25">
      <c r="A648" s="1"/>
      <c r="B648" s="1"/>
      <c r="C648" s="1"/>
      <c r="D648" s="1"/>
      <c r="E648" s="1"/>
      <c r="F648" s="1"/>
      <c r="G648" s="1"/>
      <c r="H648" s="1"/>
      <c r="I648" s="1">
        <v>72</v>
      </c>
    </row>
    <row r="649" spans="1:9" ht="13.2" x14ac:dyDescent="0.25">
      <c r="A649" s="1"/>
      <c r="B649" s="1"/>
      <c r="C649" s="1"/>
      <c r="D649" s="1"/>
      <c r="E649" s="1"/>
      <c r="F649" s="1"/>
      <c r="G649" s="1"/>
      <c r="H649" s="1"/>
      <c r="I649" s="1">
        <v>86</v>
      </c>
    </row>
    <row r="650" spans="1:9" ht="13.2" x14ac:dyDescent="0.25">
      <c r="A650" s="1"/>
      <c r="B650" s="1"/>
      <c r="C650" s="1"/>
      <c r="D650" s="1"/>
      <c r="E650" s="1"/>
      <c r="F650" s="1"/>
      <c r="G650" s="1"/>
      <c r="H650" s="1"/>
      <c r="I650" s="1">
        <v>53</v>
      </c>
    </row>
    <row r="651" spans="1:9" ht="13.2" x14ac:dyDescent="0.25">
      <c r="A651" s="1"/>
      <c r="B651" s="1"/>
      <c r="C651" s="1"/>
      <c r="D651" s="1"/>
      <c r="E651" s="1"/>
      <c r="F651" s="1"/>
      <c r="G651" s="1"/>
      <c r="H651" s="1"/>
      <c r="I651" s="1">
        <v>60</v>
      </c>
    </row>
    <row r="652" spans="1:9" ht="13.2" x14ac:dyDescent="0.25">
      <c r="A652" s="1"/>
      <c r="B652" s="1"/>
      <c r="C652" s="1"/>
      <c r="D652" s="1"/>
      <c r="E652" s="1"/>
      <c r="F652" s="1"/>
      <c r="G652" s="1"/>
      <c r="H652" s="1"/>
      <c r="I652" s="1">
        <v>67</v>
      </c>
    </row>
    <row r="653" spans="1:9" ht="13.2" x14ac:dyDescent="0.25">
      <c r="A653" s="1"/>
      <c r="B653" s="1"/>
      <c r="C653" s="1"/>
      <c r="D653" s="1"/>
      <c r="E653" s="1"/>
      <c r="F653" s="1"/>
      <c r="G653" s="1"/>
      <c r="H653" s="1"/>
      <c r="I653" s="1">
        <v>60</v>
      </c>
    </row>
    <row r="654" spans="1:9" ht="13.2" x14ac:dyDescent="0.25">
      <c r="A654" s="1"/>
      <c r="B654" s="1"/>
      <c r="C654" s="1"/>
      <c r="D654" s="1"/>
      <c r="E654" s="1"/>
      <c r="F654" s="1"/>
      <c r="G654" s="1"/>
      <c r="H654" s="1"/>
      <c r="I654" s="1">
        <v>76</v>
      </c>
    </row>
    <row r="655" spans="1:9" ht="13.2" x14ac:dyDescent="0.25">
      <c r="A655" s="1"/>
      <c r="B655" s="1"/>
      <c r="C655" s="1"/>
      <c r="D655" s="1"/>
      <c r="E655" s="1"/>
      <c r="F655" s="1"/>
      <c r="G655" s="1"/>
      <c r="H655" s="1"/>
      <c r="I655" s="1">
        <v>54</v>
      </c>
    </row>
    <row r="656" spans="1:9" ht="13.2" x14ac:dyDescent="0.25">
      <c r="A656" s="1"/>
      <c r="B656" s="1"/>
      <c r="C656" s="1"/>
      <c r="D656" s="1"/>
      <c r="E656" s="1"/>
      <c r="F656" s="1"/>
      <c r="G656" s="1"/>
      <c r="H656" s="1"/>
      <c r="I656" s="1">
        <v>91</v>
      </c>
    </row>
    <row r="657" spans="1:9" ht="13.2" x14ac:dyDescent="0.25">
      <c r="A657" s="1"/>
      <c r="B657" s="1"/>
      <c r="C657" s="1"/>
      <c r="D657" s="1"/>
      <c r="E657" s="1"/>
      <c r="F657" s="1"/>
      <c r="G657" s="1"/>
      <c r="H657" s="1"/>
      <c r="I657" s="1">
        <v>72</v>
      </c>
    </row>
    <row r="658" spans="1:9" ht="13.2" x14ac:dyDescent="0.25">
      <c r="A658" s="1"/>
      <c r="B658" s="1"/>
      <c r="C658" s="1"/>
      <c r="D658" s="1"/>
      <c r="E658" s="1"/>
      <c r="F658" s="1"/>
      <c r="G658" s="1"/>
      <c r="H658" s="1"/>
      <c r="I658" s="1">
        <v>60</v>
      </c>
    </row>
    <row r="659" spans="1:9" ht="13.2" x14ac:dyDescent="0.25">
      <c r="A659" s="1"/>
      <c r="B659" s="1"/>
      <c r="C659" s="1"/>
      <c r="D659" s="1"/>
      <c r="E659" s="1"/>
      <c r="F659" s="1"/>
      <c r="G659" s="1"/>
      <c r="H659" s="1"/>
      <c r="I659" s="1">
        <v>59</v>
      </c>
    </row>
    <row r="660" spans="1:9" ht="13.2" x14ac:dyDescent="0.25">
      <c r="A660" s="1"/>
      <c r="B660" s="1"/>
      <c r="C660" s="1"/>
      <c r="D660" s="1"/>
      <c r="E660" s="1"/>
      <c r="F660" s="1"/>
      <c r="G660" s="1"/>
      <c r="H660" s="1"/>
      <c r="I660" s="1">
        <v>37</v>
      </c>
    </row>
    <row r="661" spans="1:9" ht="13.2" x14ac:dyDescent="0.25">
      <c r="A661" s="1"/>
      <c r="B661" s="1"/>
      <c r="C661" s="1"/>
      <c r="D661" s="1"/>
      <c r="E661" s="1"/>
      <c r="F661" s="1"/>
      <c r="G661" s="1"/>
      <c r="H661" s="1"/>
      <c r="I661" s="1">
        <v>66</v>
      </c>
    </row>
    <row r="662" spans="1:9" ht="13.2" x14ac:dyDescent="0.25">
      <c r="A662" s="1"/>
      <c r="B662" s="1"/>
      <c r="C662" s="1"/>
      <c r="D662" s="1"/>
      <c r="E662" s="1"/>
      <c r="F662" s="1"/>
      <c r="G662" s="1"/>
      <c r="H662" s="1"/>
      <c r="I662" s="1">
        <v>68</v>
      </c>
    </row>
    <row r="663" spans="1:9" ht="13.2" x14ac:dyDescent="0.25">
      <c r="A663" s="1"/>
      <c r="B663" s="1"/>
      <c r="C663" s="1"/>
      <c r="D663" s="1"/>
      <c r="E663" s="1"/>
      <c r="F663" s="1"/>
      <c r="G663" s="1"/>
      <c r="H663" s="1"/>
      <c r="I663" s="1">
        <v>73</v>
      </c>
    </row>
    <row r="664" spans="1:9" ht="13.2" x14ac:dyDescent="0.25">
      <c r="A664" s="1"/>
      <c r="B664" s="1"/>
      <c r="C664" s="1"/>
      <c r="D664" s="1"/>
      <c r="E664" s="1"/>
      <c r="F664" s="1"/>
      <c r="G664" s="1"/>
      <c r="H664" s="1"/>
      <c r="I664" s="1">
        <v>90</v>
      </c>
    </row>
    <row r="665" spans="1:9" ht="13.2" x14ac:dyDescent="0.25">
      <c r="A665" s="1"/>
      <c r="B665" s="1"/>
      <c r="C665" s="1"/>
      <c r="D665" s="1"/>
      <c r="E665" s="1"/>
      <c r="F665" s="1"/>
      <c r="G665" s="1"/>
      <c r="H665" s="1"/>
      <c r="I665" s="1">
        <v>71</v>
      </c>
    </row>
    <row r="666" spans="1:9" ht="13.2" x14ac:dyDescent="0.25">
      <c r="A666" s="1"/>
      <c r="B666" s="1"/>
      <c r="C666" s="1"/>
      <c r="D666" s="1"/>
      <c r="E666" s="1"/>
      <c r="F666" s="1"/>
      <c r="G666" s="1"/>
      <c r="H666" s="1"/>
      <c r="I666" s="1">
        <v>57</v>
      </c>
    </row>
    <row r="667" spans="1:9" ht="13.2" x14ac:dyDescent="0.25">
      <c r="A667" s="1"/>
      <c r="B667" s="1"/>
      <c r="C667" s="1"/>
      <c r="D667" s="1"/>
      <c r="E667" s="1"/>
      <c r="F667" s="1"/>
      <c r="G667" s="1"/>
      <c r="H667" s="1"/>
      <c r="I667" s="1">
        <v>48</v>
      </c>
    </row>
    <row r="668" spans="1:9" ht="13.2" x14ac:dyDescent="0.25">
      <c r="A668" s="1"/>
      <c r="B668" s="1"/>
      <c r="C668" s="1"/>
      <c r="D668" s="1"/>
      <c r="E668" s="1"/>
      <c r="F668" s="1"/>
      <c r="G668" s="1"/>
      <c r="H668" s="1"/>
      <c r="I668" s="1">
        <v>64</v>
      </c>
    </row>
    <row r="669" spans="1:9" ht="13.2" x14ac:dyDescent="0.25">
      <c r="A669" s="1"/>
      <c r="B669" s="1"/>
      <c r="C669" s="1"/>
      <c r="D669" s="1"/>
      <c r="E669" s="1"/>
      <c r="F669" s="1"/>
      <c r="G669" s="1"/>
      <c r="H669" s="1"/>
      <c r="I669" s="1">
        <v>77</v>
      </c>
    </row>
    <row r="670" spans="1:9" ht="13.2" x14ac:dyDescent="0.25">
      <c r="A670" s="1"/>
      <c r="B670" s="1"/>
      <c r="C670" s="1"/>
      <c r="D670" s="1"/>
      <c r="E670" s="1"/>
      <c r="F670" s="1"/>
      <c r="G670" s="1"/>
      <c r="H670" s="1"/>
      <c r="I670" s="1">
        <v>63</v>
      </c>
    </row>
    <row r="671" spans="1:9" ht="13.2" x14ac:dyDescent="0.25">
      <c r="A671" s="1"/>
      <c r="B671" s="1"/>
      <c r="C671" s="1"/>
      <c r="D671" s="1"/>
      <c r="E671" s="1"/>
      <c r="F671" s="1"/>
      <c r="G671" s="1"/>
      <c r="H671" s="1"/>
      <c r="I671" s="1">
        <v>67</v>
      </c>
    </row>
    <row r="672" spans="1:9" ht="13.2" x14ac:dyDescent="0.25">
      <c r="A672" s="1"/>
      <c r="B672" s="1"/>
      <c r="C672" s="1"/>
      <c r="D672" s="1"/>
      <c r="E672" s="1"/>
      <c r="F672" s="1"/>
      <c r="G672" s="1"/>
      <c r="H672" s="1"/>
      <c r="I672" s="1">
        <v>77</v>
      </c>
    </row>
    <row r="673" spans="1:9" ht="13.2" x14ac:dyDescent="0.25">
      <c r="A673" s="1"/>
      <c r="B673" s="1"/>
      <c r="C673" s="1"/>
      <c r="D673" s="1"/>
      <c r="E673" s="1"/>
      <c r="F673" s="1"/>
      <c r="G673" s="1"/>
      <c r="H673" s="1"/>
      <c r="I673" s="1">
        <v>59</v>
      </c>
    </row>
    <row r="674" spans="1:9" ht="13.2" x14ac:dyDescent="0.25">
      <c r="A674" s="1"/>
      <c r="B674" s="1"/>
      <c r="C674" s="1"/>
      <c r="D674" s="1"/>
      <c r="E674" s="1"/>
      <c r="F674" s="1"/>
      <c r="G674" s="1"/>
      <c r="H674" s="1"/>
      <c r="I674" s="1">
        <v>70</v>
      </c>
    </row>
    <row r="675" spans="1:9" ht="13.2" x14ac:dyDescent="0.25">
      <c r="A675" s="1"/>
      <c r="B675" s="1"/>
      <c r="C675" s="1"/>
      <c r="D675" s="1"/>
      <c r="E675" s="1"/>
      <c r="F675" s="1"/>
      <c r="G675" s="1"/>
      <c r="H675" s="1"/>
      <c r="I675" s="1">
        <v>63</v>
      </c>
    </row>
    <row r="676" spans="1:9" ht="13.2" x14ac:dyDescent="0.25">
      <c r="A676" s="1"/>
      <c r="B676" s="1"/>
      <c r="C676" s="1"/>
      <c r="D676" s="1"/>
      <c r="E676" s="1"/>
      <c r="F676" s="1"/>
      <c r="G676" s="1"/>
      <c r="H676" s="1"/>
      <c r="I676" s="1">
        <v>83</v>
      </c>
    </row>
    <row r="677" spans="1:9" ht="13.2" x14ac:dyDescent="0.25">
      <c r="A677" s="1"/>
      <c r="B677" s="1"/>
      <c r="C677" s="1"/>
      <c r="D677" s="1"/>
      <c r="E677" s="1"/>
      <c r="F677" s="1"/>
      <c r="G677" s="1"/>
      <c r="H677" s="1"/>
      <c r="I677" s="1">
        <v>74</v>
      </c>
    </row>
    <row r="678" spans="1:9" ht="13.2" x14ac:dyDescent="0.25">
      <c r="A678" s="1"/>
      <c r="B678" s="1"/>
      <c r="C678" s="1"/>
      <c r="D678" s="1"/>
      <c r="E678" s="1"/>
      <c r="F678" s="1"/>
      <c r="G678" s="1"/>
      <c r="H678" s="1"/>
      <c r="I678" s="1">
        <v>79</v>
      </c>
    </row>
    <row r="679" spans="1:9" ht="13.2" x14ac:dyDescent="0.25">
      <c r="A679" s="1"/>
      <c r="B679" s="1"/>
      <c r="C679" s="1"/>
      <c r="D679" s="1"/>
      <c r="E679" s="1"/>
      <c r="F679" s="1"/>
      <c r="G679" s="1"/>
      <c r="H679" s="1"/>
      <c r="I679" s="1">
        <v>87</v>
      </c>
    </row>
    <row r="680" spans="1:9" ht="13.2" x14ac:dyDescent="0.25">
      <c r="A680" s="1"/>
      <c r="B680" s="1"/>
      <c r="C680" s="1"/>
      <c r="D680" s="1"/>
      <c r="E680" s="1"/>
      <c r="F680" s="1"/>
      <c r="G680" s="1"/>
      <c r="H680" s="1"/>
      <c r="I680" s="1">
        <v>93</v>
      </c>
    </row>
    <row r="681" spans="1:9" ht="13.2" x14ac:dyDescent="0.25">
      <c r="A681" s="1"/>
      <c r="B681" s="1"/>
      <c r="C681" s="1"/>
      <c r="D681" s="1"/>
      <c r="E681" s="1"/>
      <c r="F681" s="1"/>
      <c r="G681" s="1"/>
      <c r="H681" s="1"/>
      <c r="I681" s="1">
        <v>49</v>
      </c>
    </row>
    <row r="682" spans="1:9" ht="13.2" x14ac:dyDescent="0.25">
      <c r="A682" s="1"/>
      <c r="B682" s="1"/>
      <c r="C682" s="1"/>
      <c r="D682" s="1"/>
      <c r="E682" s="1"/>
      <c r="F682" s="1"/>
      <c r="G682" s="1"/>
      <c r="H682" s="1"/>
      <c r="I682" s="1">
        <v>55</v>
      </c>
    </row>
    <row r="683" spans="1:9" ht="13.2" x14ac:dyDescent="0.25">
      <c r="A683" s="1"/>
      <c r="B683" s="1"/>
      <c r="C683" s="1"/>
      <c r="D683" s="1"/>
      <c r="E683" s="1"/>
      <c r="F683" s="1"/>
      <c r="G683" s="1"/>
      <c r="H683" s="1"/>
      <c r="I683" s="1">
        <v>80</v>
      </c>
    </row>
    <row r="684" spans="1:9" ht="13.2" x14ac:dyDescent="0.25">
      <c r="A684" s="1"/>
      <c r="B684" s="1"/>
      <c r="C684" s="1"/>
      <c r="D684" s="1"/>
      <c r="E684" s="1"/>
      <c r="F684" s="1"/>
      <c r="G684" s="1"/>
      <c r="H684" s="1"/>
      <c r="I684" s="1">
        <v>69</v>
      </c>
    </row>
    <row r="685" spans="1:9" ht="13.2" x14ac:dyDescent="0.25">
      <c r="A685" s="1"/>
      <c r="B685" s="1"/>
      <c r="C685" s="1"/>
      <c r="D685" s="1"/>
      <c r="E685" s="1"/>
      <c r="F685" s="1"/>
      <c r="G685" s="1"/>
      <c r="H685" s="1"/>
      <c r="I685" s="1">
        <v>87</v>
      </c>
    </row>
    <row r="686" spans="1:9" ht="13.2" x14ac:dyDescent="0.25">
      <c r="A686" s="1"/>
      <c r="B686" s="1"/>
      <c r="C686" s="1"/>
      <c r="D686" s="1"/>
      <c r="E686" s="1"/>
      <c r="F686" s="1"/>
      <c r="G686" s="1"/>
      <c r="H686" s="1"/>
      <c r="I686" s="1">
        <v>91</v>
      </c>
    </row>
    <row r="687" spans="1:9" ht="13.2" x14ac:dyDescent="0.25">
      <c r="A687" s="1"/>
      <c r="B687" s="1"/>
      <c r="C687" s="1"/>
      <c r="D687" s="1"/>
      <c r="E687" s="1"/>
      <c r="F687" s="1"/>
      <c r="G687" s="1"/>
      <c r="H687" s="1"/>
      <c r="I687" s="1">
        <v>76</v>
      </c>
    </row>
    <row r="688" spans="1:9" ht="13.2" x14ac:dyDescent="0.25">
      <c r="A688" s="1"/>
      <c r="B688" s="1"/>
      <c r="C688" s="1"/>
      <c r="D688" s="1"/>
      <c r="E688" s="1"/>
      <c r="F688" s="1"/>
      <c r="G688" s="1"/>
      <c r="H688" s="1"/>
      <c r="I688" s="1">
        <v>71</v>
      </c>
    </row>
    <row r="689" spans="1:9" ht="13.2" x14ac:dyDescent="0.25">
      <c r="A689" s="1"/>
      <c r="B689" s="1"/>
      <c r="C689" s="1"/>
      <c r="D689" s="1"/>
      <c r="E689" s="1"/>
      <c r="F689" s="1"/>
      <c r="G689" s="1"/>
      <c r="H689" s="1"/>
      <c r="I689" s="1">
        <v>59</v>
      </c>
    </row>
    <row r="690" spans="1:9" ht="13.2" x14ac:dyDescent="0.25">
      <c r="A690" s="1"/>
      <c r="B690" s="1"/>
      <c r="C690" s="1"/>
      <c r="D690" s="1"/>
      <c r="E690" s="1"/>
      <c r="F690" s="1"/>
      <c r="G690" s="1"/>
      <c r="H690" s="1"/>
      <c r="I690" s="1">
        <v>83</v>
      </c>
    </row>
    <row r="691" spans="1:9" ht="13.2" x14ac:dyDescent="0.25">
      <c r="A691" s="1"/>
      <c r="B691" s="1"/>
      <c r="C691" s="1"/>
      <c r="D691" s="1"/>
      <c r="E691" s="1"/>
      <c r="F691" s="1"/>
      <c r="G691" s="1"/>
      <c r="H691" s="1"/>
      <c r="I691" s="1">
        <v>70</v>
      </c>
    </row>
    <row r="692" spans="1:9" ht="13.2" x14ac:dyDescent="0.25">
      <c r="A692" s="1"/>
      <c r="B692" s="1"/>
      <c r="C692" s="1"/>
      <c r="D692" s="1"/>
      <c r="E692" s="1"/>
      <c r="F692" s="1"/>
      <c r="G692" s="1"/>
      <c r="H692" s="1"/>
      <c r="I692" s="1">
        <v>53</v>
      </c>
    </row>
    <row r="693" spans="1:9" ht="13.2" x14ac:dyDescent="0.25">
      <c r="A693" s="1"/>
      <c r="B693" s="1"/>
      <c r="C693" s="1"/>
      <c r="D693" s="1"/>
      <c r="E693" s="1"/>
      <c r="F693" s="1"/>
      <c r="G693" s="1"/>
      <c r="H693" s="1"/>
      <c r="I693" s="1">
        <v>62</v>
      </c>
    </row>
    <row r="694" spans="1:9" ht="13.2" x14ac:dyDescent="0.25">
      <c r="A694" s="1"/>
      <c r="B694" s="1"/>
      <c r="C694" s="1"/>
      <c r="D694" s="1"/>
      <c r="E694" s="1"/>
      <c r="F694" s="1"/>
      <c r="G694" s="1"/>
      <c r="H694" s="1"/>
      <c r="I694" s="1">
        <v>88</v>
      </c>
    </row>
    <row r="695" spans="1:9" ht="13.2" x14ac:dyDescent="0.25">
      <c r="A695" s="1"/>
      <c r="B695" s="1"/>
      <c r="C695" s="1"/>
      <c r="D695" s="1"/>
      <c r="E695" s="1"/>
      <c r="F695" s="1"/>
      <c r="G695" s="1"/>
      <c r="H695" s="1"/>
      <c r="I695" s="1">
        <v>47</v>
      </c>
    </row>
    <row r="696" spans="1:9" ht="13.2" x14ac:dyDescent="0.25">
      <c r="A696" s="1"/>
      <c r="B696" s="1"/>
      <c r="C696" s="1"/>
      <c r="D696" s="1"/>
      <c r="E696" s="1"/>
      <c r="F696" s="1"/>
      <c r="G696" s="1"/>
      <c r="H696" s="1"/>
      <c r="I696" s="1">
        <v>89</v>
      </c>
    </row>
    <row r="697" spans="1:9" ht="13.2" x14ac:dyDescent="0.25">
      <c r="A697" s="1"/>
      <c r="B697" s="1"/>
      <c r="C697" s="1"/>
      <c r="D697" s="1"/>
      <c r="E697" s="1"/>
      <c r="F697" s="1"/>
      <c r="G697" s="1"/>
      <c r="H697" s="1"/>
      <c r="I697" s="1">
        <v>69</v>
      </c>
    </row>
    <row r="698" spans="1:9" ht="13.2" x14ac:dyDescent="0.25">
      <c r="A698" s="1"/>
      <c r="B698" s="1"/>
      <c r="C698" s="1"/>
      <c r="D698" s="1"/>
      <c r="E698" s="1"/>
      <c r="F698" s="1"/>
      <c r="G698" s="1"/>
      <c r="H698" s="1"/>
      <c r="I698" s="1">
        <v>62</v>
      </c>
    </row>
    <row r="699" spans="1:9" ht="13.2" x14ac:dyDescent="0.25">
      <c r="A699" s="1"/>
      <c r="B699" s="1"/>
      <c r="C699" s="1"/>
      <c r="D699" s="1"/>
      <c r="E699" s="1"/>
      <c r="F699" s="1"/>
      <c r="G699" s="1"/>
      <c r="H699" s="1"/>
      <c r="I699" s="1">
        <v>69</v>
      </c>
    </row>
    <row r="700" spans="1:9" ht="13.2" x14ac:dyDescent="0.25">
      <c r="A700" s="1"/>
      <c r="B700" s="1"/>
      <c r="C700" s="1"/>
      <c r="D700" s="1"/>
      <c r="E700" s="1"/>
      <c r="F700" s="1"/>
      <c r="G700" s="1"/>
      <c r="H700" s="1"/>
      <c r="I700" s="1">
        <v>78</v>
      </c>
    </row>
    <row r="701" spans="1:9" ht="13.2" x14ac:dyDescent="0.25">
      <c r="A701" s="1"/>
      <c r="B701" s="1"/>
      <c r="C701" s="1"/>
      <c r="D701" s="1"/>
      <c r="E701" s="1"/>
      <c r="F701" s="1"/>
      <c r="G701" s="1"/>
      <c r="H701" s="1"/>
      <c r="I701" s="1">
        <v>81</v>
      </c>
    </row>
    <row r="702" spans="1:9" ht="13.2" x14ac:dyDescent="0.25">
      <c r="A702" s="1"/>
      <c r="B702" s="1"/>
      <c r="C702" s="1"/>
      <c r="D702" s="1"/>
      <c r="E702" s="1"/>
      <c r="F702" s="1"/>
      <c r="G702" s="1"/>
      <c r="H702" s="1"/>
      <c r="I702" s="1">
        <v>47</v>
      </c>
    </row>
    <row r="703" spans="1:9" ht="13.2" x14ac:dyDescent="0.25">
      <c r="A703" s="1"/>
      <c r="B703" s="1"/>
      <c r="C703" s="1"/>
      <c r="D703" s="1"/>
      <c r="E703" s="1"/>
      <c r="F703" s="1"/>
      <c r="G703" s="1"/>
      <c r="H703" s="1"/>
      <c r="I703" s="1">
        <v>71</v>
      </c>
    </row>
    <row r="704" spans="1:9" ht="13.2" x14ac:dyDescent="0.25">
      <c r="A704" s="1"/>
      <c r="B704" s="1"/>
      <c r="C704" s="1"/>
      <c r="D704" s="1"/>
      <c r="E704" s="1"/>
      <c r="F704" s="1"/>
      <c r="G704" s="1"/>
      <c r="H704" s="1"/>
      <c r="I704" s="1">
        <v>73</v>
      </c>
    </row>
    <row r="705" spans="1:9" ht="13.2" x14ac:dyDescent="0.25">
      <c r="A705" s="1"/>
      <c r="B705" s="1"/>
      <c r="C705" s="1"/>
      <c r="D705" s="1"/>
      <c r="E705" s="1"/>
      <c r="F705" s="1"/>
      <c r="G705" s="1"/>
      <c r="H705" s="1"/>
      <c r="I705" s="1">
        <v>86</v>
      </c>
    </row>
    <row r="706" spans="1:9" ht="13.2" x14ac:dyDescent="0.25">
      <c r="A706" s="1"/>
      <c r="B706" s="1"/>
      <c r="C706" s="1"/>
      <c r="D706" s="1"/>
      <c r="E706" s="1"/>
      <c r="F706" s="1"/>
      <c r="G706" s="1"/>
      <c r="H706" s="1"/>
      <c r="I706" s="1">
        <v>100</v>
      </c>
    </row>
    <row r="707" spans="1:9" ht="13.2" x14ac:dyDescent="0.25">
      <c r="A707" s="1"/>
      <c r="B707" s="1"/>
      <c r="C707" s="1"/>
      <c r="D707" s="1"/>
      <c r="E707" s="1"/>
      <c r="F707" s="1"/>
      <c r="G707" s="1"/>
      <c r="H707" s="1"/>
      <c r="I707" s="1">
        <v>86</v>
      </c>
    </row>
    <row r="708" spans="1:9" ht="13.2" x14ac:dyDescent="0.25">
      <c r="A708" s="1"/>
      <c r="B708" s="1"/>
      <c r="C708" s="1"/>
      <c r="D708" s="1"/>
      <c r="E708" s="1"/>
      <c r="F708" s="1"/>
      <c r="G708" s="1"/>
      <c r="H708" s="1"/>
      <c r="I708" s="1">
        <v>75</v>
      </c>
    </row>
    <row r="709" spans="1:9" ht="13.2" x14ac:dyDescent="0.25">
      <c r="A709" s="1"/>
      <c r="B709" s="1"/>
      <c r="C709" s="1"/>
      <c r="D709" s="1"/>
      <c r="E709" s="1"/>
      <c r="F709" s="1"/>
      <c r="G709" s="1"/>
      <c r="H709" s="1"/>
      <c r="I709" s="1">
        <v>52</v>
      </c>
    </row>
    <row r="710" spans="1:9" ht="13.2" x14ac:dyDescent="0.25">
      <c r="A710" s="1"/>
      <c r="B710" s="1"/>
      <c r="C710" s="1"/>
      <c r="D710" s="1"/>
      <c r="E710" s="1"/>
      <c r="F710" s="1"/>
      <c r="G710" s="1"/>
      <c r="H710" s="1"/>
      <c r="I710" s="1">
        <v>48</v>
      </c>
    </row>
    <row r="711" spans="1:9" ht="13.2" x14ac:dyDescent="0.25">
      <c r="A711" s="1"/>
      <c r="B711" s="1"/>
      <c r="C711" s="1"/>
      <c r="D711" s="1"/>
      <c r="E711" s="1"/>
      <c r="F711" s="1"/>
      <c r="G711" s="1"/>
      <c r="H711" s="1"/>
      <c r="I711" s="1">
        <v>71</v>
      </c>
    </row>
    <row r="712" spans="1:9" ht="13.2" x14ac:dyDescent="0.25">
      <c r="A712" s="1"/>
      <c r="B712" s="1"/>
      <c r="C712" s="1"/>
      <c r="D712" s="1"/>
      <c r="E712" s="1"/>
      <c r="F712" s="1"/>
      <c r="G712" s="1"/>
      <c r="H712" s="1"/>
      <c r="I712" s="1">
        <v>74</v>
      </c>
    </row>
    <row r="713" spans="1:9" ht="13.2" x14ac:dyDescent="0.25">
      <c r="A713" s="1"/>
      <c r="B713" s="1"/>
      <c r="C713" s="1"/>
      <c r="D713" s="1"/>
      <c r="E713" s="1"/>
      <c r="F713" s="1"/>
      <c r="G713" s="1"/>
      <c r="H713" s="1"/>
      <c r="I713" s="1">
        <v>71</v>
      </c>
    </row>
    <row r="714" spans="1:9" ht="13.2" x14ac:dyDescent="0.25">
      <c r="A714" s="1"/>
      <c r="B714" s="1"/>
      <c r="C714" s="1"/>
      <c r="D714" s="1"/>
      <c r="E714" s="1"/>
      <c r="F714" s="1"/>
      <c r="G714" s="1"/>
      <c r="H714" s="1"/>
      <c r="I714" s="1">
        <v>68</v>
      </c>
    </row>
    <row r="715" spans="1:9" ht="13.2" x14ac:dyDescent="0.25">
      <c r="A715" s="1"/>
      <c r="B715" s="1"/>
      <c r="C715" s="1"/>
      <c r="D715" s="1"/>
      <c r="E715" s="1"/>
      <c r="F715" s="1"/>
      <c r="G715" s="1"/>
      <c r="H715" s="1"/>
      <c r="I715" s="1">
        <v>62</v>
      </c>
    </row>
    <row r="716" spans="1:9" ht="13.2" x14ac:dyDescent="0.25">
      <c r="A716" s="1"/>
      <c r="B716" s="1"/>
      <c r="C716" s="1"/>
      <c r="D716" s="1"/>
      <c r="E716" s="1"/>
      <c r="F716" s="1"/>
      <c r="G716" s="1"/>
      <c r="H716" s="1"/>
      <c r="I716" s="1">
        <v>85</v>
      </c>
    </row>
    <row r="717" spans="1:9" ht="13.2" x14ac:dyDescent="0.25">
      <c r="A717" s="1"/>
      <c r="B717" s="1"/>
      <c r="C717" s="1"/>
      <c r="D717" s="1"/>
      <c r="E717" s="1"/>
      <c r="F717" s="1"/>
      <c r="G717" s="1"/>
      <c r="H717" s="1"/>
      <c r="I717" s="1">
        <v>43</v>
      </c>
    </row>
    <row r="718" spans="1:9" ht="13.2" x14ac:dyDescent="0.25">
      <c r="A718" s="1"/>
      <c r="B718" s="1"/>
      <c r="C718" s="1"/>
      <c r="D718" s="1"/>
      <c r="E718" s="1"/>
      <c r="F718" s="1"/>
      <c r="G718" s="1"/>
      <c r="H718" s="1"/>
      <c r="I718" s="1">
        <v>100</v>
      </c>
    </row>
    <row r="719" spans="1:9" ht="13.2" x14ac:dyDescent="0.25">
      <c r="A719" s="1"/>
      <c r="B719" s="1"/>
      <c r="C719" s="1"/>
      <c r="D719" s="1"/>
      <c r="E719" s="1"/>
      <c r="F719" s="1"/>
      <c r="G719" s="1"/>
      <c r="H719" s="1"/>
      <c r="I719" s="1">
        <v>49</v>
      </c>
    </row>
    <row r="720" spans="1:9" ht="13.2" x14ac:dyDescent="0.25">
      <c r="A720" s="1"/>
      <c r="B720" s="1"/>
      <c r="C720" s="1"/>
      <c r="D720" s="1"/>
      <c r="E720" s="1"/>
      <c r="F720" s="1"/>
      <c r="G720" s="1"/>
      <c r="H720" s="1"/>
      <c r="I720" s="1">
        <v>85</v>
      </c>
    </row>
    <row r="721" spans="1:9" ht="13.2" x14ac:dyDescent="0.25">
      <c r="A721" s="1"/>
      <c r="B721" s="1"/>
      <c r="C721" s="1"/>
      <c r="D721" s="1"/>
      <c r="E721" s="1"/>
      <c r="F721" s="1"/>
      <c r="G721" s="1"/>
      <c r="H721" s="1"/>
      <c r="I721" s="1">
        <v>54</v>
      </c>
    </row>
    <row r="722" spans="1:9" ht="13.2" x14ac:dyDescent="0.25">
      <c r="A722" s="1"/>
      <c r="B722" s="1"/>
      <c r="C722" s="1"/>
      <c r="D722" s="1"/>
      <c r="E722" s="1"/>
      <c r="F722" s="1"/>
      <c r="G722" s="1"/>
      <c r="H722" s="1"/>
      <c r="I722" s="1">
        <v>50</v>
      </c>
    </row>
    <row r="723" spans="1:9" ht="13.2" x14ac:dyDescent="0.25">
      <c r="A723" s="1"/>
      <c r="B723" s="1"/>
      <c r="C723" s="1"/>
      <c r="D723" s="1"/>
      <c r="E723" s="1"/>
      <c r="F723" s="1"/>
      <c r="G723" s="1"/>
      <c r="H723" s="1"/>
      <c r="I723" s="1">
        <v>56</v>
      </c>
    </row>
    <row r="724" spans="1:9" ht="13.2" x14ac:dyDescent="0.25">
      <c r="A724" s="1"/>
      <c r="B724" s="1"/>
      <c r="C724" s="1"/>
      <c r="D724" s="1"/>
      <c r="E724" s="1"/>
      <c r="F724" s="1"/>
      <c r="G724" s="1"/>
      <c r="H724" s="1"/>
      <c r="I724" s="1">
        <v>58</v>
      </c>
    </row>
    <row r="725" spans="1:9" ht="13.2" x14ac:dyDescent="0.25">
      <c r="A725" s="1"/>
      <c r="B725" s="1"/>
      <c r="C725" s="1"/>
      <c r="D725" s="1"/>
      <c r="E725" s="1"/>
      <c r="F725" s="1"/>
      <c r="G725" s="1"/>
      <c r="H725" s="1"/>
      <c r="I725" s="1">
        <v>64</v>
      </c>
    </row>
    <row r="726" spans="1:9" ht="13.2" x14ac:dyDescent="0.25">
      <c r="A726" s="1"/>
      <c r="B726" s="1"/>
      <c r="C726" s="1"/>
      <c r="D726" s="1"/>
      <c r="E726" s="1"/>
      <c r="F726" s="1"/>
      <c r="G726" s="1"/>
      <c r="H726" s="1"/>
      <c r="I726" s="1">
        <v>50</v>
      </c>
    </row>
    <row r="727" spans="1:9" ht="13.2" x14ac:dyDescent="0.25">
      <c r="A727" s="1"/>
      <c r="B727" s="1"/>
      <c r="C727" s="1"/>
      <c r="D727" s="1"/>
      <c r="E727" s="1"/>
      <c r="F727" s="1"/>
      <c r="G727" s="1"/>
      <c r="H727" s="1"/>
      <c r="I727" s="1">
        <v>53</v>
      </c>
    </row>
    <row r="728" spans="1:9" ht="13.2" x14ac:dyDescent="0.25">
      <c r="A728" s="1"/>
      <c r="B728" s="1"/>
      <c r="C728" s="1"/>
      <c r="D728" s="1"/>
      <c r="E728" s="1"/>
      <c r="F728" s="1"/>
      <c r="G728" s="1"/>
      <c r="H728" s="1"/>
      <c r="I728" s="1">
        <v>50</v>
      </c>
    </row>
    <row r="729" spans="1:9" ht="13.2" x14ac:dyDescent="0.25">
      <c r="A729" s="1"/>
      <c r="B729" s="1"/>
      <c r="C729" s="1"/>
      <c r="D729" s="1"/>
      <c r="E729" s="1"/>
      <c r="F729" s="1"/>
      <c r="G729" s="1"/>
      <c r="H729" s="1"/>
      <c r="I729" s="1">
        <v>59</v>
      </c>
    </row>
    <row r="730" spans="1:9" ht="13.2" x14ac:dyDescent="0.25">
      <c r="A730" s="1"/>
      <c r="B730" s="1"/>
      <c r="C730" s="1"/>
      <c r="D730" s="1"/>
      <c r="E730" s="1"/>
      <c r="F730" s="1"/>
      <c r="G730" s="1"/>
      <c r="H730" s="1"/>
      <c r="I730" s="1">
        <v>59</v>
      </c>
    </row>
    <row r="731" spans="1:9" ht="13.2" x14ac:dyDescent="0.25">
      <c r="A731" s="1"/>
      <c r="B731" s="1"/>
      <c r="C731" s="1"/>
      <c r="D731" s="1"/>
      <c r="E731" s="1"/>
      <c r="F731" s="1"/>
      <c r="G731" s="1"/>
      <c r="H731" s="1"/>
      <c r="I731" s="1">
        <v>63</v>
      </c>
    </row>
    <row r="732" spans="1:9" ht="13.2" x14ac:dyDescent="0.25">
      <c r="A732" s="1"/>
      <c r="B732" s="1"/>
      <c r="C732" s="1"/>
      <c r="D732" s="1"/>
      <c r="E732" s="1"/>
      <c r="F732" s="1"/>
      <c r="G732" s="1"/>
      <c r="H732" s="1"/>
      <c r="I732" s="1">
        <v>66</v>
      </c>
    </row>
    <row r="733" spans="1:9" ht="13.2" x14ac:dyDescent="0.25">
      <c r="A733" s="1"/>
      <c r="B733" s="1"/>
      <c r="C733" s="1"/>
      <c r="D733" s="1"/>
      <c r="E733" s="1"/>
      <c r="F733" s="1"/>
      <c r="G733" s="1"/>
      <c r="H733" s="1"/>
      <c r="I733" s="1">
        <v>94</v>
      </c>
    </row>
    <row r="734" spans="1:9" ht="13.2" x14ac:dyDescent="0.25">
      <c r="A734" s="1"/>
      <c r="B734" s="1"/>
      <c r="C734" s="1"/>
      <c r="D734" s="1"/>
      <c r="E734" s="1"/>
      <c r="F734" s="1"/>
      <c r="G734" s="1"/>
      <c r="H734" s="1"/>
      <c r="I734" s="1">
        <v>67</v>
      </c>
    </row>
    <row r="735" spans="1:9" ht="13.2" x14ac:dyDescent="0.25">
      <c r="A735" s="1"/>
      <c r="B735" s="1"/>
      <c r="C735" s="1"/>
      <c r="D735" s="1"/>
      <c r="E735" s="1"/>
      <c r="F735" s="1"/>
      <c r="G735" s="1"/>
      <c r="H735" s="1"/>
      <c r="I735" s="1">
        <v>72</v>
      </c>
    </row>
    <row r="736" spans="1:9" ht="13.2" x14ac:dyDescent="0.25">
      <c r="A736" s="1"/>
      <c r="B736" s="1"/>
      <c r="C736" s="1"/>
      <c r="D736" s="1"/>
      <c r="E736" s="1"/>
      <c r="F736" s="1"/>
      <c r="G736" s="1"/>
      <c r="H736" s="1"/>
      <c r="I736" s="1">
        <v>55</v>
      </c>
    </row>
    <row r="737" spans="1:9" ht="13.2" x14ac:dyDescent="0.25">
      <c r="A737" s="1"/>
      <c r="B737" s="1"/>
      <c r="C737" s="1"/>
      <c r="D737" s="1"/>
      <c r="E737" s="1"/>
      <c r="F737" s="1"/>
      <c r="G737" s="1"/>
      <c r="H737" s="1"/>
      <c r="I737" s="1">
        <v>55</v>
      </c>
    </row>
    <row r="738" spans="1:9" ht="13.2" x14ac:dyDescent="0.25">
      <c r="A738" s="1"/>
      <c r="B738" s="1"/>
      <c r="C738" s="1"/>
      <c r="D738" s="1"/>
      <c r="E738" s="1"/>
      <c r="F738" s="1"/>
      <c r="G738" s="1"/>
      <c r="H738" s="1"/>
      <c r="I738" s="1">
        <v>55</v>
      </c>
    </row>
    <row r="739" spans="1:9" ht="13.2" x14ac:dyDescent="0.25">
      <c r="A739" s="1"/>
      <c r="B739" s="1"/>
      <c r="C739" s="1"/>
      <c r="D739" s="1"/>
      <c r="E739" s="1"/>
      <c r="F739" s="1"/>
      <c r="G739" s="1"/>
      <c r="H739" s="1"/>
      <c r="I739" s="1">
        <v>41</v>
      </c>
    </row>
    <row r="740" spans="1:9" ht="13.2" x14ac:dyDescent="0.25">
      <c r="A740" s="1"/>
      <c r="B740" s="1"/>
      <c r="C740" s="1"/>
      <c r="D740" s="1"/>
      <c r="E740" s="1"/>
      <c r="F740" s="1"/>
      <c r="G740" s="1"/>
      <c r="H740" s="1"/>
      <c r="I740" s="1">
        <v>53</v>
      </c>
    </row>
    <row r="741" spans="1:9" ht="13.2" x14ac:dyDescent="0.25">
      <c r="A741" s="1"/>
      <c r="B741" s="1"/>
      <c r="C741" s="1"/>
      <c r="D741" s="1"/>
      <c r="E741" s="1"/>
      <c r="F741" s="1"/>
      <c r="G741" s="1"/>
      <c r="H741" s="1"/>
      <c r="I741" s="1">
        <v>63</v>
      </c>
    </row>
    <row r="742" spans="1:9" ht="13.2" x14ac:dyDescent="0.25">
      <c r="A742" s="1"/>
      <c r="B742" s="1"/>
      <c r="C742" s="1"/>
      <c r="D742" s="1"/>
      <c r="E742" s="1"/>
      <c r="F742" s="1"/>
      <c r="G742" s="1"/>
      <c r="H742" s="1"/>
      <c r="I742" s="1">
        <v>54</v>
      </c>
    </row>
    <row r="743" spans="1:9" ht="13.2" x14ac:dyDescent="0.25">
      <c r="A743" s="1"/>
      <c r="B743" s="1"/>
      <c r="C743" s="1"/>
      <c r="D743" s="1"/>
      <c r="E743" s="1"/>
      <c r="F743" s="1"/>
      <c r="G743" s="1"/>
      <c r="H743" s="1"/>
      <c r="I743" s="1">
        <v>70</v>
      </c>
    </row>
    <row r="744" spans="1:9" ht="13.2" x14ac:dyDescent="0.25">
      <c r="A744" s="1"/>
      <c r="B744" s="1"/>
      <c r="C744" s="1"/>
      <c r="D744" s="1"/>
      <c r="E744" s="1"/>
      <c r="F744" s="1"/>
      <c r="G744" s="1"/>
      <c r="H744" s="1"/>
      <c r="I744" s="1">
        <v>65</v>
      </c>
    </row>
    <row r="745" spans="1:9" ht="13.2" x14ac:dyDescent="0.25">
      <c r="A745" s="1"/>
      <c r="B745" s="1"/>
      <c r="C745" s="1"/>
      <c r="D745" s="1"/>
      <c r="E745" s="1"/>
      <c r="F745" s="1"/>
      <c r="G745" s="1"/>
      <c r="H745" s="1"/>
      <c r="I745" s="1">
        <v>48</v>
      </c>
    </row>
    <row r="746" spans="1:9" ht="13.2" x14ac:dyDescent="0.25">
      <c r="A746" s="1"/>
      <c r="B746" s="1"/>
      <c r="C746" s="1"/>
      <c r="D746" s="1"/>
      <c r="E746" s="1"/>
      <c r="F746" s="1"/>
      <c r="G746" s="1"/>
      <c r="H746" s="1"/>
      <c r="I746" s="1">
        <v>84</v>
      </c>
    </row>
    <row r="747" spans="1:9" ht="13.2" x14ac:dyDescent="0.25">
      <c r="A747" s="1"/>
      <c r="B747" s="1"/>
      <c r="C747" s="1"/>
      <c r="D747" s="1"/>
      <c r="E747" s="1"/>
      <c r="F747" s="1"/>
      <c r="G747" s="1"/>
      <c r="H747" s="1"/>
      <c r="I747" s="1">
        <v>83</v>
      </c>
    </row>
    <row r="748" spans="1:9" ht="13.2" x14ac:dyDescent="0.25">
      <c r="A748" s="1"/>
      <c r="B748" s="1"/>
      <c r="C748" s="1"/>
      <c r="D748" s="1"/>
      <c r="E748" s="1"/>
      <c r="F748" s="1"/>
      <c r="G748" s="1"/>
      <c r="H748" s="1"/>
      <c r="I748" s="1">
        <v>72</v>
      </c>
    </row>
    <row r="749" spans="1:9" ht="13.2" x14ac:dyDescent="0.25">
      <c r="A749" s="1"/>
      <c r="B749" s="1"/>
      <c r="C749" s="1"/>
      <c r="D749" s="1"/>
      <c r="E749" s="1"/>
      <c r="F749" s="1"/>
      <c r="G749" s="1"/>
      <c r="H749" s="1"/>
      <c r="I749" s="1">
        <v>62</v>
      </c>
    </row>
    <row r="750" spans="1:9" ht="13.2" x14ac:dyDescent="0.25">
      <c r="A750" s="1"/>
      <c r="B750" s="1"/>
      <c r="C750" s="1"/>
      <c r="D750" s="1"/>
      <c r="E750" s="1"/>
      <c r="F750" s="1"/>
      <c r="G750" s="1"/>
      <c r="H750" s="1"/>
      <c r="I750" s="1">
        <v>65</v>
      </c>
    </row>
    <row r="751" spans="1:9" ht="13.2" x14ac:dyDescent="0.25">
      <c r="A751" s="1"/>
      <c r="B751" s="1"/>
      <c r="C751" s="1"/>
      <c r="D751" s="1"/>
      <c r="E751" s="1"/>
      <c r="F751" s="1"/>
      <c r="G751" s="1"/>
      <c r="H751" s="1"/>
      <c r="I751" s="1">
        <v>55</v>
      </c>
    </row>
    <row r="752" spans="1:9" ht="13.2" x14ac:dyDescent="0.25">
      <c r="A752" s="1"/>
      <c r="B752" s="1"/>
      <c r="C752" s="1"/>
      <c r="D752" s="1"/>
      <c r="E752" s="1"/>
      <c r="F752" s="1"/>
      <c r="G752" s="1"/>
      <c r="H752" s="1"/>
      <c r="I752" s="1">
        <v>50</v>
      </c>
    </row>
    <row r="753" spans="1:9" ht="13.2" x14ac:dyDescent="0.25">
      <c r="A753" s="1"/>
      <c r="B753" s="1"/>
      <c r="C753" s="1"/>
      <c r="D753" s="1"/>
      <c r="E753" s="1"/>
      <c r="F753" s="1"/>
      <c r="G753" s="1"/>
      <c r="H753" s="1"/>
      <c r="I753" s="1">
        <v>79</v>
      </c>
    </row>
    <row r="754" spans="1:9" ht="13.2" x14ac:dyDescent="0.25">
      <c r="A754" s="1"/>
      <c r="B754" s="1"/>
      <c r="C754" s="1"/>
      <c r="D754" s="1"/>
      <c r="E754" s="1"/>
      <c r="F754" s="1"/>
      <c r="G754" s="1"/>
      <c r="H754" s="1"/>
      <c r="I754" s="1">
        <v>53</v>
      </c>
    </row>
    <row r="755" spans="1:9" ht="13.2" x14ac:dyDescent="0.25">
      <c r="A755" s="1"/>
      <c r="B755" s="1"/>
      <c r="C755" s="1"/>
      <c r="D755" s="1"/>
      <c r="E755" s="1"/>
      <c r="F755" s="1"/>
      <c r="G755" s="1"/>
      <c r="H755" s="1"/>
      <c r="I755" s="1">
        <v>92</v>
      </c>
    </row>
    <row r="756" spans="1:9" ht="13.2" x14ac:dyDescent="0.25">
      <c r="A756" s="1"/>
      <c r="B756" s="1"/>
      <c r="C756" s="1"/>
      <c r="D756" s="1"/>
      <c r="E756" s="1"/>
      <c r="F756" s="1"/>
      <c r="G756" s="1"/>
      <c r="H756" s="1"/>
      <c r="I756" s="1">
        <v>65</v>
      </c>
    </row>
    <row r="757" spans="1:9" ht="13.2" x14ac:dyDescent="0.25">
      <c r="A757" s="1"/>
      <c r="B757" s="1"/>
      <c r="C757" s="1"/>
      <c r="D757" s="1"/>
      <c r="E757" s="1"/>
      <c r="F757" s="1"/>
      <c r="G757" s="1"/>
      <c r="H757" s="1"/>
      <c r="I757" s="1">
        <v>57</v>
      </c>
    </row>
    <row r="758" spans="1:9" ht="13.2" x14ac:dyDescent="0.25">
      <c r="A758" s="1"/>
      <c r="B758" s="1"/>
      <c r="C758" s="1"/>
      <c r="D758" s="1"/>
      <c r="E758" s="1"/>
      <c r="F758" s="1"/>
      <c r="G758" s="1"/>
      <c r="H758" s="1"/>
      <c r="I758" s="1">
        <v>68</v>
      </c>
    </row>
    <row r="759" spans="1:9" ht="13.2" x14ac:dyDescent="0.25">
      <c r="A759" s="1"/>
      <c r="B759" s="1"/>
      <c r="C759" s="1"/>
      <c r="D759" s="1"/>
      <c r="E759" s="1"/>
      <c r="F759" s="1"/>
      <c r="G759" s="1"/>
      <c r="H759" s="1"/>
      <c r="I759" s="1">
        <v>68</v>
      </c>
    </row>
    <row r="760" spans="1:9" ht="13.2" x14ac:dyDescent="0.25">
      <c r="A760" s="1"/>
      <c r="B760" s="1"/>
      <c r="C760" s="1"/>
      <c r="D760" s="1"/>
      <c r="E760" s="1"/>
      <c r="F760" s="1"/>
      <c r="G760" s="1"/>
      <c r="H760" s="1"/>
      <c r="I760" s="1">
        <v>74</v>
      </c>
    </row>
    <row r="761" spans="1:9" ht="13.2" x14ac:dyDescent="0.25">
      <c r="A761" s="1"/>
      <c r="B761" s="1"/>
      <c r="C761" s="1"/>
      <c r="D761" s="1"/>
      <c r="E761" s="1"/>
      <c r="F761" s="1"/>
      <c r="G761" s="1"/>
      <c r="H761" s="1"/>
      <c r="I761" s="1">
        <v>91</v>
      </c>
    </row>
    <row r="762" spans="1:9" ht="13.2" x14ac:dyDescent="0.25">
      <c r="A762" s="1"/>
      <c r="B762" s="1"/>
      <c r="C762" s="1"/>
      <c r="D762" s="1"/>
      <c r="E762" s="1"/>
      <c r="F762" s="1"/>
      <c r="G762" s="1"/>
      <c r="H762" s="1"/>
      <c r="I762" s="1">
        <v>55</v>
      </c>
    </row>
    <row r="763" spans="1:9" ht="13.2" x14ac:dyDescent="0.25">
      <c r="A763" s="1"/>
      <c r="B763" s="1"/>
      <c r="C763" s="1"/>
      <c r="D763" s="1"/>
      <c r="E763" s="1"/>
      <c r="F763" s="1"/>
      <c r="G763" s="1"/>
      <c r="H763" s="1"/>
      <c r="I763" s="1">
        <v>93</v>
      </c>
    </row>
    <row r="764" spans="1:9" ht="13.2" x14ac:dyDescent="0.25">
      <c r="A764" s="1"/>
      <c r="B764" s="1"/>
      <c r="C764" s="1"/>
      <c r="D764" s="1"/>
      <c r="E764" s="1"/>
      <c r="F764" s="1"/>
      <c r="G764" s="1"/>
      <c r="H764" s="1"/>
      <c r="I764" s="1">
        <v>34</v>
      </c>
    </row>
    <row r="765" spans="1:9" ht="13.2" x14ac:dyDescent="0.25">
      <c r="A765" s="1"/>
      <c r="B765" s="1"/>
      <c r="C765" s="1"/>
      <c r="D765" s="1"/>
      <c r="E765" s="1"/>
      <c r="F765" s="1"/>
      <c r="G765" s="1"/>
      <c r="H765" s="1"/>
      <c r="I765" s="1">
        <v>100</v>
      </c>
    </row>
    <row r="766" spans="1:9" ht="13.2" x14ac:dyDescent="0.25">
      <c r="A766" s="1"/>
      <c r="B766" s="1"/>
      <c r="C766" s="1"/>
      <c r="D766" s="1"/>
      <c r="E766" s="1"/>
      <c r="F766" s="1"/>
      <c r="G766" s="1"/>
      <c r="H766" s="1"/>
      <c r="I766" s="1">
        <v>82</v>
      </c>
    </row>
    <row r="767" spans="1:9" ht="13.2" x14ac:dyDescent="0.25">
      <c r="A767" s="1"/>
      <c r="B767" s="1"/>
      <c r="C767" s="1"/>
      <c r="D767" s="1"/>
      <c r="E767" s="1"/>
      <c r="F767" s="1"/>
      <c r="G767" s="1"/>
      <c r="H767" s="1"/>
      <c r="I767" s="1">
        <v>72</v>
      </c>
    </row>
    <row r="768" spans="1:9" ht="13.2" x14ac:dyDescent="0.25">
      <c r="A768" s="1"/>
      <c r="B768" s="1"/>
      <c r="C768" s="1"/>
      <c r="D768" s="1"/>
      <c r="E768" s="1"/>
      <c r="F768" s="1"/>
      <c r="G768" s="1"/>
      <c r="H768" s="1"/>
      <c r="I768" s="1">
        <v>75</v>
      </c>
    </row>
    <row r="769" spans="1:9" ht="13.2" x14ac:dyDescent="0.25">
      <c r="A769" s="1"/>
      <c r="B769" s="1"/>
      <c r="C769" s="1"/>
      <c r="D769" s="1"/>
      <c r="E769" s="1"/>
      <c r="F769" s="1"/>
      <c r="G769" s="1"/>
      <c r="H769" s="1"/>
      <c r="I769" s="1">
        <v>39</v>
      </c>
    </row>
    <row r="770" spans="1:9" ht="13.2" x14ac:dyDescent="0.25">
      <c r="A770" s="1"/>
      <c r="B770" s="1"/>
      <c r="C770" s="1"/>
      <c r="D770" s="1"/>
      <c r="E770" s="1"/>
      <c r="F770" s="1"/>
      <c r="G770" s="1"/>
      <c r="H770" s="1"/>
      <c r="I770" s="1">
        <v>68</v>
      </c>
    </row>
    <row r="771" spans="1:9" ht="13.2" x14ac:dyDescent="0.25">
      <c r="A771" s="1"/>
      <c r="B771" s="1"/>
      <c r="C771" s="1"/>
      <c r="D771" s="1"/>
      <c r="E771" s="1"/>
      <c r="F771" s="1"/>
      <c r="G771" s="1"/>
      <c r="H771" s="1"/>
      <c r="I771" s="1">
        <v>83</v>
      </c>
    </row>
    <row r="772" spans="1:9" ht="13.2" x14ac:dyDescent="0.25">
      <c r="A772" s="1"/>
      <c r="B772" s="1"/>
      <c r="C772" s="1"/>
      <c r="D772" s="1"/>
      <c r="E772" s="1"/>
      <c r="F772" s="1"/>
      <c r="G772" s="1"/>
      <c r="H772" s="1"/>
      <c r="I772" s="1">
        <v>97</v>
      </c>
    </row>
    <row r="773" spans="1:9" ht="13.2" x14ac:dyDescent="0.25">
      <c r="A773" s="1"/>
      <c r="B773" s="1"/>
      <c r="C773" s="1"/>
      <c r="D773" s="1"/>
      <c r="E773" s="1"/>
      <c r="F773" s="1"/>
      <c r="G773" s="1"/>
      <c r="H773" s="1"/>
      <c r="I773" s="1">
        <v>61</v>
      </c>
    </row>
    <row r="774" spans="1:9" ht="13.2" x14ac:dyDescent="0.25">
      <c r="A774" s="1"/>
      <c r="B774" s="1"/>
      <c r="C774" s="1"/>
      <c r="D774" s="1"/>
      <c r="E774" s="1"/>
      <c r="F774" s="1"/>
      <c r="G774" s="1"/>
      <c r="H774" s="1"/>
      <c r="I774" s="1">
        <v>86</v>
      </c>
    </row>
    <row r="775" spans="1:9" ht="13.2" x14ac:dyDescent="0.25">
      <c r="A775" s="1"/>
      <c r="B775" s="1"/>
      <c r="C775" s="1"/>
      <c r="D775" s="1"/>
      <c r="E775" s="1"/>
      <c r="F775" s="1"/>
      <c r="G775" s="1"/>
      <c r="H775" s="1"/>
      <c r="I775" s="1">
        <v>69</v>
      </c>
    </row>
    <row r="776" spans="1:9" ht="13.2" x14ac:dyDescent="0.25">
      <c r="A776" s="1"/>
      <c r="B776" s="1"/>
      <c r="C776" s="1"/>
      <c r="D776" s="1"/>
      <c r="E776" s="1"/>
      <c r="F776" s="1"/>
      <c r="G776" s="1"/>
      <c r="H776" s="1"/>
      <c r="I776" s="1">
        <v>81</v>
      </c>
    </row>
    <row r="777" spans="1:9" ht="13.2" x14ac:dyDescent="0.25">
      <c r="A777" s="1"/>
      <c r="B777" s="1"/>
      <c r="C777" s="1"/>
      <c r="D777" s="1"/>
      <c r="E777" s="1"/>
      <c r="F777" s="1"/>
      <c r="G777" s="1"/>
      <c r="H777" s="1"/>
      <c r="I777" s="1">
        <v>69</v>
      </c>
    </row>
    <row r="778" spans="1:9" ht="13.2" x14ac:dyDescent="0.25">
      <c r="A778" s="1"/>
      <c r="B778" s="1"/>
      <c r="C778" s="1"/>
      <c r="D778" s="1"/>
      <c r="E778" s="1"/>
      <c r="F778" s="1"/>
      <c r="G778" s="1"/>
      <c r="H778" s="1"/>
      <c r="I778" s="1">
        <v>59</v>
      </c>
    </row>
    <row r="779" spans="1:9" ht="13.2" x14ac:dyDescent="0.25">
      <c r="A779" s="1"/>
      <c r="B779" s="1"/>
      <c r="C779" s="1"/>
      <c r="D779" s="1"/>
      <c r="E779" s="1"/>
      <c r="F779" s="1"/>
      <c r="G779" s="1"/>
      <c r="H779" s="1"/>
      <c r="I779" s="1">
        <v>80</v>
      </c>
    </row>
    <row r="780" spans="1:9" ht="13.2" x14ac:dyDescent="0.25">
      <c r="A780" s="1"/>
      <c r="B780" s="1"/>
      <c r="C780" s="1"/>
      <c r="D780" s="1"/>
      <c r="E780" s="1"/>
      <c r="F780" s="1"/>
      <c r="G780" s="1"/>
      <c r="H780" s="1"/>
      <c r="I780" s="1">
        <v>90</v>
      </c>
    </row>
    <row r="781" spans="1:9" ht="13.2" x14ac:dyDescent="0.25">
      <c r="A781" s="1"/>
      <c r="B781" s="1"/>
      <c r="C781" s="1"/>
      <c r="D781" s="1"/>
      <c r="E781" s="1"/>
      <c r="F781" s="1"/>
      <c r="G781" s="1"/>
      <c r="H781" s="1"/>
      <c r="I781" s="1">
        <v>56</v>
      </c>
    </row>
    <row r="782" spans="1:9" ht="13.2" x14ac:dyDescent="0.25">
      <c r="A782" s="1"/>
      <c r="B782" s="1"/>
      <c r="C782" s="1"/>
      <c r="D782" s="1"/>
      <c r="E782" s="1"/>
      <c r="F782" s="1"/>
      <c r="G782" s="1"/>
      <c r="H782" s="1"/>
      <c r="I782" s="1">
        <v>55</v>
      </c>
    </row>
    <row r="783" spans="1:9" ht="13.2" x14ac:dyDescent="0.25">
      <c r="A783" s="1"/>
      <c r="B783" s="1"/>
      <c r="C783" s="1"/>
      <c r="D783" s="1"/>
      <c r="E783" s="1"/>
      <c r="F783" s="1"/>
      <c r="G783" s="1"/>
      <c r="H783" s="1"/>
      <c r="I783" s="1">
        <v>73</v>
      </c>
    </row>
    <row r="784" spans="1:9" ht="13.2" x14ac:dyDescent="0.25">
      <c r="A784" s="1"/>
      <c r="B784" s="1"/>
      <c r="C784" s="1"/>
      <c r="D784" s="1"/>
      <c r="E784" s="1"/>
      <c r="F784" s="1"/>
      <c r="G784" s="1"/>
      <c r="H784" s="1"/>
      <c r="I784" s="1">
        <v>97</v>
      </c>
    </row>
    <row r="785" spans="1:9" ht="13.2" x14ac:dyDescent="0.25">
      <c r="A785" s="1"/>
      <c r="B785" s="1"/>
      <c r="C785" s="1"/>
      <c r="D785" s="1"/>
      <c r="E785" s="1"/>
      <c r="F785" s="1"/>
      <c r="G785" s="1"/>
      <c r="H785" s="1"/>
      <c r="I785" s="1">
        <v>79</v>
      </c>
    </row>
    <row r="786" spans="1:9" ht="13.2" x14ac:dyDescent="0.25">
      <c r="A786" s="1"/>
      <c r="B786" s="1"/>
      <c r="C786" s="1"/>
      <c r="D786" s="1"/>
      <c r="E786" s="1"/>
      <c r="F786" s="1"/>
      <c r="G786" s="1"/>
      <c r="H786" s="1"/>
      <c r="I786" s="1">
        <v>71</v>
      </c>
    </row>
    <row r="787" spans="1:9" ht="13.2" x14ac:dyDescent="0.25">
      <c r="A787" s="1"/>
      <c r="B787" s="1"/>
      <c r="C787" s="1"/>
      <c r="D787" s="1"/>
      <c r="E787" s="1"/>
      <c r="F787" s="1"/>
      <c r="G787" s="1"/>
      <c r="H787" s="1"/>
      <c r="I787" s="1">
        <v>62</v>
      </c>
    </row>
    <row r="788" spans="1:9" ht="13.2" x14ac:dyDescent="0.25">
      <c r="A788" s="1"/>
      <c r="B788" s="1"/>
      <c r="C788" s="1"/>
      <c r="D788" s="1"/>
      <c r="E788" s="1"/>
      <c r="F788" s="1"/>
      <c r="G788" s="1"/>
      <c r="H788" s="1"/>
      <c r="I788" s="1">
        <v>57</v>
      </c>
    </row>
    <row r="789" spans="1:9" ht="13.2" x14ac:dyDescent="0.25">
      <c r="A789" s="1"/>
      <c r="B789" s="1"/>
      <c r="C789" s="1"/>
      <c r="D789" s="1"/>
      <c r="E789" s="1"/>
      <c r="F789" s="1"/>
      <c r="G789" s="1"/>
      <c r="H789" s="1"/>
      <c r="I789" s="1">
        <v>56</v>
      </c>
    </row>
    <row r="790" spans="1:9" ht="13.2" x14ac:dyDescent="0.25">
      <c r="A790" s="1"/>
      <c r="B790" s="1"/>
      <c r="C790" s="1"/>
      <c r="D790" s="1"/>
      <c r="E790" s="1"/>
      <c r="F790" s="1"/>
      <c r="G790" s="1"/>
      <c r="H790" s="1"/>
      <c r="I790" s="1">
        <v>89</v>
      </c>
    </row>
    <row r="791" spans="1:9" ht="13.2" x14ac:dyDescent="0.25">
      <c r="A791" s="1"/>
      <c r="B791" s="1"/>
      <c r="C791" s="1"/>
      <c r="D791" s="1"/>
      <c r="E791" s="1"/>
      <c r="F791" s="1"/>
      <c r="G791" s="1"/>
      <c r="H791" s="1"/>
      <c r="I791" s="1">
        <v>77</v>
      </c>
    </row>
    <row r="792" spans="1:9" ht="13.2" x14ac:dyDescent="0.25">
      <c r="A792" s="1"/>
      <c r="B792" s="1"/>
      <c r="C792" s="1"/>
      <c r="D792" s="1"/>
      <c r="E792" s="1"/>
      <c r="F792" s="1"/>
      <c r="G792" s="1"/>
      <c r="H792" s="1"/>
      <c r="I792" s="1">
        <v>63</v>
      </c>
    </row>
    <row r="793" spans="1:9" ht="13.2" x14ac:dyDescent="0.25">
      <c r="A793" s="1"/>
      <c r="B793" s="1"/>
      <c r="C793" s="1"/>
      <c r="D793" s="1"/>
      <c r="E793" s="1"/>
      <c r="F793" s="1"/>
      <c r="G793" s="1"/>
      <c r="H793" s="1"/>
      <c r="I793" s="1">
        <v>62</v>
      </c>
    </row>
    <row r="794" spans="1:9" ht="13.2" x14ac:dyDescent="0.25">
      <c r="A794" s="1"/>
      <c r="B794" s="1"/>
      <c r="C794" s="1"/>
      <c r="D794" s="1"/>
      <c r="E794" s="1"/>
      <c r="F794" s="1"/>
      <c r="G794" s="1"/>
      <c r="H794" s="1"/>
      <c r="I794" s="1">
        <v>90</v>
      </c>
    </row>
    <row r="795" spans="1:9" ht="13.2" x14ac:dyDescent="0.25">
      <c r="A795" s="1"/>
      <c r="B795" s="1"/>
      <c r="C795" s="1"/>
      <c r="D795" s="1"/>
      <c r="E795" s="1"/>
      <c r="F795" s="1"/>
      <c r="G795" s="1"/>
      <c r="H795" s="1"/>
      <c r="I795" s="1">
        <v>77</v>
      </c>
    </row>
    <row r="796" spans="1:9" ht="13.2" x14ac:dyDescent="0.25">
      <c r="A796" s="1"/>
      <c r="B796" s="1"/>
      <c r="C796" s="1"/>
      <c r="D796" s="1"/>
      <c r="E796" s="1"/>
      <c r="F796" s="1"/>
      <c r="G796" s="1"/>
      <c r="H796" s="1"/>
      <c r="I796" s="1">
        <v>49</v>
      </c>
    </row>
    <row r="797" spans="1:9" ht="13.2" x14ac:dyDescent="0.25">
      <c r="A797" s="1"/>
      <c r="B797" s="1"/>
      <c r="C797" s="1"/>
      <c r="D797" s="1"/>
      <c r="E797" s="1"/>
      <c r="F797" s="1"/>
      <c r="G797" s="1"/>
      <c r="H797" s="1"/>
      <c r="I797" s="1">
        <v>77</v>
      </c>
    </row>
    <row r="798" spans="1:9" ht="13.2" x14ac:dyDescent="0.25">
      <c r="A798" s="1"/>
      <c r="B798" s="1"/>
      <c r="C798" s="1"/>
      <c r="D798" s="1"/>
      <c r="E798" s="1"/>
      <c r="F798" s="1"/>
      <c r="G798" s="1"/>
      <c r="H798" s="1"/>
      <c r="I798" s="1">
        <v>76</v>
      </c>
    </row>
    <row r="799" spans="1:9" ht="13.2" x14ac:dyDescent="0.25">
      <c r="A799" s="1"/>
      <c r="B799" s="1"/>
      <c r="C799" s="1"/>
      <c r="D799" s="1"/>
      <c r="E799" s="1"/>
      <c r="F799" s="1"/>
      <c r="G799" s="1"/>
      <c r="H799" s="1"/>
      <c r="I799" s="1">
        <v>69</v>
      </c>
    </row>
    <row r="800" spans="1:9" ht="13.2" x14ac:dyDescent="0.25">
      <c r="A800" s="1"/>
      <c r="B800" s="1"/>
      <c r="C800" s="1"/>
      <c r="D800" s="1"/>
      <c r="E800" s="1"/>
      <c r="F800" s="1"/>
      <c r="G800" s="1"/>
      <c r="H800" s="1"/>
      <c r="I800" s="1">
        <v>64</v>
      </c>
    </row>
    <row r="801" spans="1:9" ht="13.2" x14ac:dyDescent="0.25">
      <c r="A801" s="1"/>
      <c r="B801" s="1"/>
      <c r="C801" s="1"/>
      <c r="D801" s="1"/>
      <c r="E801" s="1"/>
      <c r="F801" s="1"/>
      <c r="G801" s="1"/>
      <c r="H801" s="1"/>
      <c r="I801" s="1">
        <v>69</v>
      </c>
    </row>
    <row r="802" spans="1:9" ht="13.2" x14ac:dyDescent="0.25">
      <c r="A802" s="1"/>
      <c r="B802" s="1"/>
      <c r="C802" s="1"/>
      <c r="D802" s="1"/>
      <c r="E802" s="1"/>
      <c r="F802" s="1"/>
      <c r="G802" s="1"/>
      <c r="H802" s="1"/>
      <c r="I802" s="1">
        <v>83</v>
      </c>
    </row>
    <row r="803" spans="1:9" ht="13.2" x14ac:dyDescent="0.25">
      <c r="A803" s="1"/>
      <c r="B803" s="1"/>
      <c r="C803" s="1"/>
      <c r="D803" s="1"/>
      <c r="E803" s="1"/>
      <c r="F803" s="1"/>
      <c r="G803" s="1"/>
      <c r="H803" s="1"/>
      <c r="I803" s="1">
        <v>68</v>
      </c>
    </row>
    <row r="804" spans="1:9" ht="13.2" x14ac:dyDescent="0.25">
      <c r="A804" s="1"/>
      <c r="B804" s="1"/>
      <c r="C804" s="1"/>
      <c r="D804" s="1"/>
      <c r="E804" s="1"/>
      <c r="F804" s="1"/>
      <c r="G804" s="1"/>
      <c r="H804" s="1"/>
      <c r="I804" s="1">
        <v>66</v>
      </c>
    </row>
    <row r="805" spans="1:9" ht="13.2" x14ac:dyDescent="0.25">
      <c r="A805" s="1"/>
      <c r="B805" s="1"/>
      <c r="C805" s="1"/>
      <c r="D805" s="1"/>
      <c r="E805" s="1"/>
      <c r="F805" s="1"/>
      <c r="G805" s="1"/>
      <c r="H805" s="1"/>
      <c r="I805" s="1">
        <v>83</v>
      </c>
    </row>
    <row r="806" spans="1:9" ht="13.2" x14ac:dyDescent="0.25">
      <c r="A806" s="1"/>
      <c r="B806" s="1"/>
      <c r="C806" s="1"/>
      <c r="D806" s="1"/>
      <c r="E806" s="1"/>
      <c r="F806" s="1"/>
      <c r="G806" s="1"/>
      <c r="H806" s="1"/>
      <c r="I806" s="1">
        <v>65</v>
      </c>
    </row>
    <row r="807" spans="1:9" ht="13.2" x14ac:dyDescent="0.25">
      <c r="A807" s="1"/>
      <c r="B807" s="1"/>
      <c r="C807" s="1"/>
      <c r="D807" s="1"/>
      <c r="E807" s="1"/>
      <c r="F807" s="1"/>
      <c r="G807" s="1"/>
      <c r="H807" s="1"/>
      <c r="I807" s="1">
        <v>35</v>
      </c>
    </row>
    <row r="808" spans="1:9" ht="13.2" x14ac:dyDescent="0.25">
      <c r="A808" s="1"/>
      <c r="B808" s="1"/>
      <c r="C808" s="1"/>
      <c r="D808" s="1"/>
      <c r="E808" s="1"/>
      <c r="F808" s="1"/>
      <c r="G808" s="1"/>
      <c r="H808" s="1"/>
      <c r="I808" s="1">
        <v>71</v>
      </c>
    </row>
    <row r="809" spans="1:9" ht="13.2" x14ac:dyDescent="0.25">
      <c r="A809" s="1"/>
      <c r="B809" s="1"/>
      <c r="C809" s="1"/>
      <c r="D809" s="1"/>
      <c r="E809" s="1"/>
      <c r="F809" s="1"/>
      <c r="G809" s="1"/>
      <c r="H809" s="1"/>
      <c r="I809" s="1">
        <v>77</v>
      </c>
    </row>
    <row r="810" spans="1:9" ht="13.2" x14ac:dyDescent="0.25">
      <c r="A810" s="1"/>
      <c r="B810" s="1"/>
      <c r="C810" s="1"/>
      <c r="D810" s="1"/>
      <c r="E810" s="1"/>
      <c r="F810" s="1"/>
      <c r="G810" s="1"/>
      <c r="H810" s="1"/>
      <c r="I810" s="1">
        <v>62</v>
      </c>
    </row>
    <row r="811" spans="1:9" ht="13.2" x14ac:dyDescent="0.25">
      <c r="A811" s="1"/>
      <c r="B811" s="1"/>
      <c r="C811" s="1"/>
      <c r="D811" s="1"/>
      <c r="E811" s="1"/>
      <c r="F811" s="1"/>
      <c r="G811" s="1"/>
      <c r="H811" s="1"/>
      <c r="I811" s="1">
        <v>82</v>
      </c>
    </row>
    <row r="812" spans="1:9" ht="13.2" x14ac:dyDescent="0.25">
      <c r="A812" s="1"/>
      <c r="B812" s="1"/>
      <c r="C812" s="1"/>
      <c r="D812" s="1"/>
      <c r="E812" s="1"/>
      <c r="F812" s="1"/>
      <c r="G812" s="1"/>
      <c r="H812" s="1"/>
      <c r="I812" s="1">
        <v>42</v>
      </c>
    </row>
    <row r="813" spans="1:9" ht="13.2" x14ac:dyDescent="0.25">
      <c r="A813" s="1"/>
      <c r="B813" s="1"/>
      <c r="C813" s="1"/>
      <c r="D813" s="1"/>
      <c r="E813" s="1"/>
      <c r="F813" s="1"/>
      <c r="G813" s="1"/>
      <c r="H813" s="1"/>
      <c r="I813" s="1">
        <v>62</v>
      </c>
    </row>
    <row r="814" spans="1:9" ht="13.2" x14ac:dyDescent="0.25">
      <c r="A814" s="1"/>
      <c r="B814" s="1"/>
      <c r="C814" s="1"/>
      <c r="D814" s="1"/>
      <c r="E814" s="1"/>
      <c r="F814" s="1"/>
      <c r="G814" s="1"/>
      <c r="H814" s="1"/>
      <c r="I814" s="1">
        <v>44</v>
      </c>
    </row>
    <row r="815" spans="1:9" ht="13.2" x14ac:dyDescent="0.25">
      <c r="A815" s="1"/>
      <c r="B815" s="1"/>
      <c r="C815" s="1"/>
      <c r="D815" s="1"/>
      <c r="E815" s="1"/>
      <c r="F815" s="1"/>
      <c r="G815" s="1"/>
      <c r="H815" s="1"/>
      <c r="I815" s="1">
        <v>73</v>
      </c>
    </row>
    <row r="816" spans="1:9" ht="13.2" x14ac:dyDescent="0.25">
      <c r="A816" s="1"/>
      <c r="B816" s="1"/>
      <c r="C816" s="1"/>
      <c r="D816" s="1"/>
      <c r="E816" s="1"/>
      <c r="F816" s="1"/>
      <c r="G816" s="1"/>
      <c r="H816" s="1"/>
      <c r="I816" s="1">
        <v>70</v>
      </c>
    </row>
    <row r="817" spans="1:9" ht="13.2" x14ac:dyDescent="0.25">
      <c r="A817" s="1"/>
      <c r="B817" s="1"/>
      <c r="C817" s="1"/>
      <c r="D817" s="1"/>
      <c r="E817" s="1"/>
      <c r="F817" s="1"/>
      <c r="G817" s="1"/>
      <c r="H817" s="1"/>
      <c r="I817" s="1">
        <v>66</v>
      </c>
    </row>
    <row r="818" spans="1:9" ht="13.2" x14ac:dyDescent="0.25">
      <c r="A818" s="1"/>
      <c r="B818" s="1"/>
      <c r="C818" s="1"/>
      <c r="D818" s="1"/>
      <c r="E818" s="1"/>
      <c r="F818" s="1"/>
      <c r="G818" s="1"/>
      <c r="H818" s="1"/>
      <c r="I818" s="1">
        <v>73</v>
      </c>
    </row>
    <row r="819" spans="1:9" ht="13.2" x14ac:dyDescent="0.25">
      <c r="A819" s="1"/>
      <c r="B819" s="1"/>
      <c r="C819" s="1"/>
      <c r="D819" s="1"/>
      <c r="E819" s="1"/>
      <c r="F819" s="1"/>
      <c r="G819" s="1"/>
      <c r="H819" s="1"/>
      <c r="I819" s="1">
        <v>89</v>
      </c>
    </row>
    <row r="820" spans="1:9" ht="13.2" x14ac:dyDescent="0.25">
      <c r="A820" s="1"/>
      <c r="B820" s="1"/>
      <c r="C820" s="1"/>
      <c r="D820" s="1"/>
      <c r="E820" s="1"/>
      <c r="F820" s="1"/>
      <c r="G820" s="1"/>
      <c r="H820" s="1"/>
      <c r="I820" s="1">
        <v>80</v>
      </c>
    </row>
    <row r="821" spans="1:9" ht="13.2" x14ac:dyDescent="0.25">
      <c r="A821" s="1"/>
      <c r="B821" s="1"/>
      <c r="C821" s="1"/>
      <c r="D821" s="1"/>
      <c r="E821" s="1"/>
      <c r="F821" s="1"/>
      <c r="G821" s="1"/>
      <c r="H821" s="1"/>
      <c r="I821" s="1">
        <v>82</v>
      </c>
    </row>
    <row r="822" spans="1:9" ht="13.2" x14ac:dyDescent="0.25">
      <c r="A822" s="1"/>
      <c r="B822" s="1"/>
      <c r="C822" s="1"/>
      <c r="D822" s="1"/>
      <c r="E822" s="1"/>
      <c r="F822" s="1"/>
      <c r="G822" s="1"/>
      <c r="H822" s="1"/>
      <c r="I822" s="1">
        <v>96</v>
      </c>
    </row>
    <row r="823" spans="1:9" ht="13.2" x14ac:dyDescent="0.25">
      <c r="A823" s="1"/>
      <c r="B823" s="1"/>
      <c r="C823" s="1"/>
      <c r="D823" s="1"/>
      <c r="E823" s="1"/>
      <c r="F823" s="1"/>
      <c r="G823" s="1"/>
      <c r="H823" s="1"/>
      <c r="I823" s="1">
        <v>78</v>
      </c>
    </row>
    <row r="824" spans="1:9" ht="13.2" x14ac:dyDescent="0.25">
      <c r="A824" s="1"/>
      <c r="B824" s="1"/>
      <c r="C824" s="1"/>
      <c r="D824" s="1"/>
      <c r="E824" s="1"/>
      <c r="F824" s="1"/>
      <c r="G824" s="1"/>
      <c r="H824" s="1"/>
      <c r="I824" s="1">
        <v>82</v>
      </c>
    </row>
    <row r="825" spans="1:9" ht="13.2" x14ac:dyDescent="0.25">
      <c r="A825" s="1"/>
      <c r="B825" s="1"/>
      <c r="C825" s="1"/>
      <c r="D825" s="1"/>
      <c r="E825" s="1"/>
      <c r="F825" s="1"/>
      <c r="G825" s="1"/>
      <c r="H825" s="1"/>
      <c r="I825" s="1">
        <v>80</v>
      </c>
    </row>
    <row r="826" spans="1:9" ht="13.2" x14ac:dyDescent="0.25">
      <c r="A826" s="1"/>
      <c r="B826" s="1"/>
      <c r="C826" s="1"/>
      <c r="D826" s="1"/>
      <c r="E826" s="1"/>
      <c r="F826" s="1"/>
      <c r="G826" s="1"/>
      <c r="H826" s="1"/>
      <c r="I826" s="1">
        <v>100</v>
      </c>
    </row>
    <row r="827" spans="1:9" ht="13.2" x14ac:dyDescent="0.25">
      <c r="A827" s="1"/>
      <c r="B827" s="1"/>
      <c r="C827" s="1"/>
      <c r="D827" s="1"/>
      <c r="E827" s="1"/>
      <c r="F827" s="1"/>
      <c r="G827" s="1"/>
      <c r="H827" s="1"/>
      <c r="I827" s="1">
        <v>38</v>
      </c>
    </row>
    <row r="828" spans="1:9" ht="13.2" x14ac:dyDescent="0.25">
      <c r="A828" s="1"/>
      <c r="B828" s="1"/>
      <c r="C828" s="1"/>
      <c r="D828" s="1"/>
      <c r="E828" s="1"/>
      <c r="F828" s="1"/>
      <c r="G828" s="1"/>
      <c r="H828" s="1"/>
      <c r="I828" s="1">
        <v>84</v>
      </c>
    </row>
    <row r="829" spans="1:9" ht="13.2" x14ac:dyDescent="0.25">
      <c r="A829" s="1"/>
      <c r="B829" s="1"/>
      <c r="C829" s="1"/>
      <c r="D829" s="1"/>
      <c r="E829" s="1"/>
      <c r="F829" s="1"/>
      <c r="G829" s="1"/>
      <c r="H829" s="1"/>
      <c r="I829" s="1">
        <v>45</v>
      </c>
    </row>
    <row r="830" spans="1:9" ht="13.2" x14ac:dyDescent="0.25">
      <c r="A830" s="1"/>
      <c r="B830" s="1"/>
      <c r="C830" s="1"/>
      <c r="D830" s="1"/>
      <c r="E830" s="1"/>
      <c r="F830" s="1"/>
      <c r="G830" s="1"/>
      <c r="H830" s="1"/>
      <c r="I830" s="1">
        <v>92</v>
      </c>
    </row>
    <row r="831" spans="1:9" ht="13.2" x14ac:dyDescent="0.25">
      <c r="A831" s="1"/>
      <c r="B831" s="1"/>
      <c r="C831" s="1"/>
      <c r="D831" s="1"/>
      <c r="E831" s="1"/>
      <c r="F831" s="1"/>
      <c r="G831" s="1"/>
      <c r="H831" s="1"/>
      <c r="I831" s="1">
        <v>57</v>
      </c>
    </row>
    <row r="832" spans="1:9" ht="13.2" x14ac:dyDescent="0.25">
      <c r="A832" s="1"/>
      <c r="B832" s="1"/>
      <c r="C832" s="1"/>
      <c r="D832" s="1"/>
      <c r="E832" s="1"/>
      <c r="F832" s="1"/>
      <c r="G832" s="1"/>
      <c r="H832" s="1"/>
      <c r="I832" s="1">
        <v>65</v>
      </c>
    </row>
    <row r="833" spans="1:9" ht="13.2" x14ac:dyDescent="0.25">
      <c r="A833" s="1"/>
      <c r="B833" s="1"/>
      <c r="C833" s="1"/>
      <c r="D833" s="1"/>
      <c r="E833" s="1"/>
      <c r="F833" s="1"/>
      <c r="G833" s="1"/>
      <c r="H833" s="1"/>
      <c r="I833" s="1">
        <v>51</v>
      </c>
    </row>
    <row r="834" spans="1:9" ht="13.2" x14ac:dyDescent="0.25">
      <c r="A834" s="1"/>
      <c r="B834" s="1"/>
      <c r="C834" s="1"/>
      <c r="D834" s="1"/>
      <c r="E834" s="1"/>
      <c r="F834" s="1"/>
      <c r="G834" s="1"/>
      <c r="H834" s="1"/>
      <c r="I834" s="1">
        <v>66</v>
      </c>
    </row>
    <row r="835" spans="1:9" ht="13.2" x14ac:dyDescent="0.25">
      <c r="A835" s="1"/>
      <c r="B835" s="1"/>
      <c r="C835" s="1"/>
      <c r="D835" s="1"/>
      <c r="E835" s="1"/>
      <c r="F835" s="1"/>
      <c r="G835" s="1"/>
      <c r="H835" s="1"/>
      <c r="I835" s="1">
        <v>94</v>
      </c>
    </row>
    <row r="836" spans="1:9" ht="13.2" x14ac:dyDescent="0.25">
      <c r="A836" s="1"/>
      <c r="B836" s="1"/>
      <c r="C836" s="1"/>
      <c r="D836" s="1"/>
      <c r="E836" s="1"/>
      <c r="F836" s="1"/>
      <c r="G836" s="1"/>
      <c r="H836" s="1"/>
      <c r="I836" s="1">
        <v>64</v>
      </c>
    </row>
    <row r="837" spans="1:9" ht="13.2" x14ac:dyDescent="0.25">
      <c r="A837" s="1"/>
      <c r="B837" s="1"/>
      <c r="C837" s="1"/>
      <c r="D837" s="1"/>
      <c r="E837" s="1"/>
      <c r="F837" s="1"/>
      <c r="G837" s="1"/>
      <c r="H837" s="1"/>
      <c r="I837" s="1">
        <v>90</v>
      </c>
    </row>
    <row r="838" spans="1:9" ht="13.2" x14ac:dyDescent="0.25">
      <c r="A838" s="1"/>
      <c r="B838" s="1"/>
      <c r="C838" s="1"/>
      <c r="D838" s="1"/>
      <c r="E838" s="1"/>
      <c r="F838" s="1"/>
      <c r="G838" s="1"/>
      <c r="H838" s="1"/>
      <c r="I838" s="1">
        <v>79</v>
      </c>
    </row>
    <row r="839" spans="1:9" ht="13.2" x14ac:dyDescent="0.25">
      <c r="A839" s="1"/>
      <c r="B839" s="1"/>
      <c r="C839" s="1"/>
      <c r="D839" s="1"/>
      <c r="E839" s="1"/>
      <c r="F839" s="1"/>
      <c r="G839" s="1"/>
      <c r="H839" s="1"/>
      <c r="I839" s="1">
        <v>67</v>
      </c>
    </row>
    <row r="840" spans="1:9" ht="13.2" x14ac:dyDescent="0.25">
      <c r="A840" s="1"/>
      <c r="B840" s="1"/>
      <c r="C840" s="1"/>
      <c r="D840" s="1"/>
      <c r="E840" s="1"/>
      <c r="F840" s="1"/>
      <c r="G840" s="1"/>
      <c r="H840" s="1"/>
      <c r="I840" s="1">
        <v>83</v>
      </c>
    </row>
    <row r="841" spans="1:9" ht="13.2" x14ac:dyDescent="0.25">
      <c r="A841" s="1"/>
      <c r="B841" s="1"/>
      <c r="C841" s="1"/>
      <c r="D841" s="1"/>
      <c r="E841" s="1"/>
      <c r="F841" s="1"/>
      <c r="G841" s="1"/>
      <c r="H841" s="1"/>
      <c r="I841" s="1">
        <v>61</v>
      </c>
    </row>
    <row r="842" spans="1:9" ht="13.2" x14ac:dyDescent="0.25">
      <c r="A842" s="1"/>
      <c r="B842" s="1"/>
      <c r="C842" s="1"/>
      <c r="D842" s="1"/>
      <c r="E842" s="1"/>
      <c r="F842" s="1"/>
      <c r="G842" s="1"/>
      <c r="H842" s="1"/>
      <c r="I842" s="1">
        <v>90</v>
      </c>
    </row>
    <row r="843" spans="1:9" ht="13.2" x14ac:dyDescent="0.25">
      <c r="A843" s="1"/>
      <c r="B843" s="1"/>
      <c r="C843" s="1"/>
      <c r="D843" s="1"/>
      <c r="E843" s="1"/>
      <c r="F843" s="1"/>
      <c r="G843" s="1"/>
      <c r="H843" s="1"/>
      <c r="I843" s="1">
        <v>47</v>
      </c>
    </row>
    <row r="844" spans="1:9" ht="13.2" x14ac:dyDescent="0.25">
      <c r="A844" s="1"/>
      <c r="B844" s="1"/>
      <c r="C844" s="1"/>
      <c r="D844" s="1"/>
      <c r="E844" s="1"/>
      <c r="F844" s="1"/>
      <c r="G844" s="1"/>
      <c r="H844" s="1"/>
      <c r="I844" s="1">
        <v>56</v>
      </c>
    </row>
    <row r="845" spans="1:9" ht="13.2" x14ac:dyDescent="0.25">
      <c r="A845" s="1"/>
      <c r="B845" s="1"/>
      <c r="C845" s="1"/>
      <c r="D845" s="1"/>
      <c r="E845" s="1"/>
      <c r="F845" s="1"/>
      <c r="G845" s="1"/>
      <c r="H845" s="1"/>
      <c r="I845" s="1">
        <v>69</v>
      </c>
    </row>
    <row r="846" spans="1:9" ht="13.2" x14ac:dyDescent="0.25">
      <c r="A846" s="1"/>
      <c r="B846" s="1"/>
      <c r="C846" s="1"/>
      <c r="D846" s="1"/>
      <c r="E846" s="1"/>
      <c r="F846" s="1"/>
      <c r="G846" s="1"/>
      <c r="H846" s="1"/>
      <c r="I846" s="1">
        <v>50</v>
      </c>
    </row>
    <row r="847" spans="1:9" ht="13.2" x14ac:dyDescent="0.25">
      <c r="A847" s="1"/>
      <c r="B847" s="1"/>
      <c r="C847" s="1"/>
      <c r="D847" s="1"/>
      <c r="E847" s="1"/>
      <c r="F847" s="1"/>
      <c r="G847" s="1"/>
      <c r="H847" s="1"/>
      <c r="I847" s="1">
        <v>80</v>
      </c>
    </row>
    <row r="848" spans="1:9" ht="13.2" x14ac:dyDescent="0.25">
      <c r="A848" s="1"/>
      <c r="B848" s="1"/>
      <c r="C848" s="1"/>
      <c r="D848" s="1"/>
      <c r="E848" s="1"/>
      <c r="F848" s="1"/>
      <c r="G848" s="1"/>
      <c r="H848" s="1"/>
      <c r="I848" s="1">
        <v>39</v>
      </c>
    </row>
    <row r="849" spans="1:9" ht="13.2" x14ac:dyDescent="0.25">
      <c r="A849" s="1"/>
      <c r="B849" s="1"/>
      <c r="C849" s="1"/>
      <c r="D849" s="1"/>
      <c r="E849" s="1"/>
      <c r="F849" s="1"/>
      <c r="G849" s="1"/>
      <c r="H849" s="1"/>
      <c r="I849" s="1">
        <v>100</v>
      </c>
    </row>
    <row r="850" spans="1:9" ht="13.2" x14ac:dyDescent="0.25">
      <c r="A850" s="1"/>
      <c r="B850" s="1"/>
      <c r="C850" s="1"/>
      <c r="D850" s="1"/>
      <c r="E850" s="1"/>
      <c r="F850" s="1"/>
      <c r="G850" s="1"/>
      <c r="H850" s="1"/>
      <c r="I850" s="1">
        <v>82</v>
      </c>
    </row>
    <row r="851" spans="1:9" ht="13.2" x14ac:dyDescent="0.25">
      <c r="A851" s="1"/>
      <c r="B851" s="1"/>
      <c r="C851" s="1"/>
      <c r="D851" s="1"/>
      <c r="E851" s="1"/>
      <c r="F851" s="1"/>
      <c r="G851" s="1"/>
      <c r="H851" s="1"/>
      <c r="I851" s="1">
        <v>87</v>
      </c>
    </row>
    <row r="852" spans="1:9" ht="13.2" x14ac:dyDescent="0.25">
      <c r="A852" s="1"/>
      <c r="B852" s="1"/>
      <c r="C852" s="1"/>
      <c r="D852" s="1"/>
      <c r="E852" s="1"/>
      <c r="F852" s="1"/>
      <c r="G852" s="1"/>
      <c r="H852" s="1"/>
      <c r="I852" s="1">
        <v>62</v>
      </c>
    </row>
    <row r="853" spans="1:9" ht="13.2" x14ac:dyDescent="0.25">
      <c r="A853" s="1"/>
      <c r="B853" s="1"/>
      <c r="C853" s="1"/>
      <c r="D853" s="1"/>
      <c r="E853" s="1"/>
      <c r="F853" s="1"/>
      <c r="G853" s="1"/>
      <c r="H853" s="1"/>
      <c r="I853" s="1">
        <v>81</v>
      </c>
    </row>
    <row r="854" spans="1:9" ht="13.2" x14ac:dyDescent="0.25">
      <c r="A854" s="1"/>
      <c r="B854" s="1"/>
      <c r="C854" s="1"/>
      <c r="D854" s="1"/>
      <c r="E854" s="1"/>
      <c r="F854" s="1"/>
      <c r="G854" s="1"/>
      <c r="H854" s="1"/>
      <c r="I854" s="1">
        <v>68</v>
      </c>
    </row>
    <row r="855" spans="1:9" ht="13.2" x14ac:dyDescent="0.25">
      <c r="A855" s="1"/>
      <c r="B855" s="1"/>
      <c r="C855" s="1"/>
      <c r="D855" s="1"/>
      <c r="E855" s="1"/>
      <c r="F855" s="1"/>
      <c r="G855" s="1"/>
      <c r="H855" s="1"/>
      <c r="I855" s="1">
        <v>76</v>
      </c>
    </row>
    <row r="856" spans="1:9" ht="13.2" x14ac:dyDescent="0.25">
      <c r="A856" s="1"/>
      <c r="B856" s="1"/>
      <c r="C856" s="1"/>
      <c r="D856" s="1"/>
      <c r="E856" s="1"/>
      <c r="F856" s="1"/>
      <c r="G856" s="1"/>
      <c r="H856" s="1"/>
      <c r="I856" s="1">
        <v>88</v>
      </c>
    </row>
    <row r="857" spans="1:9" ht="13.2" x14ac:dyDescent="0.25">
      <c r="A857" s="1"/>
      <c r="B857" s="1"/>
      <c r="C857" s="1"/>
      <c r="D857" s="1"/>
      <c r="E857" s="1"/>
      <c r="F857" s="1"/>
      <c r="G857" s="1"/>
      <c r="H857" s="1"/>
      <c r="I857" s="1">
        <v>76</v>
      </c>
    </row>
    <row r="858" spans="1:9" ht="13.2" x14ac:dyDescent="0.25">
      <c r="A858" s="1"/>
      <c r="B858" s="1"/>
      <c r="C858" s="1"/>
      <c r="D858" s="1"/>
      <c r="E858" s="1"/>
      <c r="F858" s="1"/>
      <c r="G858" s="1"/>
      <c r="H858" s="1"/>
      <c r="I858" s="1">
        <v>53</v>
      </c>
    </row>
    <row r="859" spans="1:9" ht="13.2" x14ac:dyDescent="0.25">
      <c r="A859" s="1"/>
      <c r="B859" s="1"/>
      <c r="C859" s="1"/>
      <c r="D859" s="1"/>
      <c r="E859" s="1"/>
      <c r="F859" s="1"/>
      <c r="G859" s="1"/>
      <c r="H859" s="1"/>
      <c r="I859" s="1">
        <v>72</v>
      </c>
    </row>
    <row r="860" spans="1:9" ht="13.2" x14ac:dyDescent="0.25">
      <c r="A860" s="1"/>
      <c r="B860" s="1"/>
      <c r="C860" s="1"/>
      <c r="D860" s="1"/>
      <c r="E860" s="1"/>
      <c r="F860" s="1"/>
      <c r="G860" s="1"/>
      <c r="H860" s="1"/>
      <c r="I860" s="1">
        <v>58</v>
      </c>
    </row>
    <row r="861" spans="1:9" ht="13.2" x14ac:dyDescent="0.25">
      <c r="A861" s="1"/>
      <c r="B861" s="1"/>
      <c r="C861" s="1"/>
      <c r="D861" s="1"/>
      <c r="E861" s="1"/>
      <c r="F861" s="1"/>
      <c r="G861" s="1"/>
      <c r="H861" s="1"/>
      <c r="I861" s="1">
        <v>78</v>
      </c>
    </row>
    <row r="862" spans="1:9" ht="13.2" x14ac:dyDescent="0.25">
      <c r="A862" s="1"/>
      <c r="B862" s="1"/>
      <c r="C862" s="1"/>
      <c r="D862" s="1"/>
      <c r="E862" s="1"/>
      <c r="F862" s="1"/>
      <c r="G862" s="1"/>
      <c r="H862" s="1"/>
      <c r="I862" s="1">
        <v>80</v>
      </c>
    </row>
    <row r="863" spans="1:9" ht="13.2" x14ac:dyDescent="0.25">
      <c r="A863" s="1"/>
      <c r="B863" s="1"/>
      <c r="C863" s="1"/>
      <c r="D863" s="1"/>
      <c r="E863" s="1"/>
      <c r="F863" s="1"/>
      <c r="G863" s="1"/>
      <c r="H863" s="1"/>
      <c r="I863" s="1">
        <v>70</v>
      </c>
    </row>
    <row r="864" spans="1:9" ht="13.2" x14ac:dyDescent="0.25">
      <c r="A864" s="1"/>
      <c r="B864" s="1"/>
      <c r="C864" s="1"/>
      <c r="D864" s="1"/>
      <c r="E864" s="1"/>
      <c r="F864" s="1"/>
      <c r="G864" s="1"/>
      <c r="H864" s="1"/>
      <c r="I864" s="1">
        <v>51</v>
      </c>
    </row>
    <row r="865" spans="1:9" ht="13.2" x14ac:dyDescent="0.25">
      <c r="A865" s="1"/>
      <c r="B865" s="1"/>
      <c r="C865" s="1"/>
      <c r="D865" s="1"/>
      <c r="E865" s="1"/>
      <c r="F865" s="1"/>
      <c r="G865" s="1"/>
      <c r="H865" s="1"/>
      <c r="I865" s="1">
        <v>88</v>
      </c>
    </row>
    <row r="866" spans="1:9" ht="13.2" x14ac:dyDescent="0.25">
      <c r="A866" s="1"/>
      <c r="B866" s="1"/>
      <c r="C866" s="1"/>
      <c r="D866" s="1"/>
      <c r="E866" s="1"/>
      <c r="F866" s="1"/>
      <c r="G866" s="1"/>
      <c r="H866" s="1"/>
      <c r="I866" s="1">
        <v>69</v>
      </c>
    </row>
    <row r="867" spans="1:9" ht="13.2" x14ac:dyDescent="0.25">
      <c r="A867" s="1"/>
      <c r="B867" s="1"/>
      <c r="C867" s="1"/>
      <c r="D867" s="1"/>
      <c r="E867" s="1"/>
      <c r="F867" s="1"/>
      <c r="G867" s="1"/>
      <c r="H867" s="1"/>
      <c r="I867" s="1">
        <v>97</v>
      </c>
    </row>
    <row r="868" spans="1:9" ht="13.2" x14ac:dyDescent="0.25">
      <c r="A868" s="1"/>
      <c r="B868" s="1"/>
      <c r="C868" s="1"/>
      <c r="D868" s="1"/>
      <c r="E868" s="1"/>
      <c r="F868" s="1"/>
      <c r="G868" s="1"/>
      <c r="H868" s="1"/>
      <c r="I868" s="1">
        <v>89</v>
      </c>
    </row>
    <row r="869" spans="1:9" ht="13.2" x14ac:dyDescent="0.25">
      <c r="A869" s="1"/>
      <c r="B869" s="1"/>
      <c r="C869" s="1"/>
      <c r="D869" s="1"/>
      <c r="E869" s="1"/>
      <c r="F869" s="1"/>
      <c r="G869" s="1"/>
      <c r="H869" s="1"/>
      <c r="I869" s="1">
        <v>54</v>
      </c>
    </row>
    <row r="870" spans="1:9" ht="13.2" x14ac:dyDescent="0.25">
      <c r="A870" s="1"/>
      <c r="B870" s="1"/>
      <c r="C870" s="1"/>
      <c r="D870" s="1"/>
      <c r="E870" s="1"/>
      <c r="F870" s="1"/>
      <c r="G870" s="1"/>
      <c r="H870" s="1"/>
      <c r="I870" s="1">
        <v>61</v>
      </c>
    </row>
    <row r="871" spans="1:9" ht="13.2" x14ac:dyDescent="0.25">
      <c r="A871" s="1"/>
      <c r="B871" s="1"/>
      <c r="C871" s="1"/>
      <c r="D871" s="1"/>
      <c r="E871" s="1"/>
      <c r="F871" s="1"/>
      <c r="G871" s="1"/>
      <c r="H871" s="1"/>
      <c r="I871" s="1">
        <v>49</v>
      </c>
    </row>
    <row r="872" spans="1:9" ht="13.2" x14ac:dyDescent="0.25">
      <c r="A872" s="1"/>
      <c r="B872" s="1"/>
      <c r="C872" s="1"/>
      <c r="D872" s="1"/>
      <c r="E872" s="1"/>
      <c r="F872" s="1"/>
      <c r="G872" s="1"/>
      <c r="H872" s="1"/>
      <c r="I872" s="1">
        <v>32</v>
      </c>
    </row>
    <row r="873" spans="1:9" ht="13.2" x14ac:dyDescent="0.25">
      <c r="A873" s="1"/>
      <c r="B873" s="1"/>
      <c r="C873" s="1"/>
      <c r="D873" s="1"/>
      <c r="E873" s="1"/>
      <c r="F873" s="1"/>
      <c r="G873" s="1"/>
      <c r="H873" s="1"/>
      <c r="I873" s="1">
        <v>48</v>
      </c>
    </row>
    <row r="874" spans="1:9" ht="13.2" x14ac:dyDescent="0.25">
      <c r="A874" s="1"/>
      <c r="B874" s="1"/>
      <c r="C874" s="1"/>
      <c r="D874" s="1"/>
      <c r="E874" s="1"/>
      <c r="F874" s="1"/>
      <c r="G874" s="1"/>
      <c r="H874" s="1"/>
      <c r="I874" s="1">
        <v>62</v>
      </c>
    </row>
    <row r="875" spans="1:9" ht="13.2" x14ac:dyDescent="0.25">
      <c r="A875" s="1"/>
      <c r="B875" s="1"/>
      <c r="C875" s="1"/>
      <c r="D875" s="1"/>
      <c r="E875" s="1"/>
      <c r="F875" s="1"/>
      <c r="G875" s="1"/>
      <c r="H875" s="1"/>
      <c r="I875" s="1">
        <v>43</v>
      </c>
    </row>
    <row r="876" spans="1:9" ht="13.2" x14ac:dyDescent="0.25">
      <c r="A876" s="1"/>
      <c r="B876" s="1"/>
      <c r="C876" s="1"/>
      <c r="D876" s="1"/>
      <c r="E876" s="1"/>
      <c r="F876" s="1"/>
      <c r="G876" s="1"/>
      <c r="H876" s="1"/>
      <c r="I876" s="1">
        <v>92</v>
      </c>
    </row>
    <row r="877" spans="1:9" ht="13.2" x14ac:dyDescent="0.25">
      <c r="A877" s="1"/>
      <c r="B877" s="1"/>
      <c r="C877" s="1"/>
      <c r="D877" s="1"/>
      <c r="E877" s="1"/>
      <c r="F877" s="1"/>
      <c r="G877" s="1"/>
      <c r="H877" s="1"/>
      <c r="I877" s="1">
        <v>65</v>
      </c>
    </row>
    <row r="878" spans="1:9" ht="13.2" x14ac:dyDescent="0.25">
      <c r="A878" s="1"/>
      <c r="B878" s="1"/>
      <c r="C878" s="1"/>
      <c r="D878" s="1"/>
      <c r="E878" s="1"/>
      <c r="F878" s="1"/>
      <c r="G878" s="1"/>
      <c r="H878" s="1"/>
      <c r="I878" s="1">
        <v>86</v>
      </c>
    </row>
    <row r="879" spans="1:9" ht="13.2" x14ac:dyDescent="0.25">
      <c r="A879" s="1"/>
      <c r="B879" s="1"/>
      <c r="C879" s="1"/>
      <c r="D879" s="1"/>
      <c r="E879" s="1"/>
      <c r="F879" s="1"/>
      <c r="G879" s="1"/>
      <c r="H879" s="1"/>
      <c r="I879" s="1">
        <v>79</v>
      </c>
    </row>
    <row r="880" spans="1:9" ht="13.2" x14ac:dyDescent="0.25">
      <c r="A880" s="1"/>
      <c r="B880" s="1"/>
      <c r="C880" s="1"/>
      <c r="D880" s="1"/>
      <c r="E880" s="1"/>
      <c r="F880" s="1"/>
      <c r="G880" s="1"/>
      <c r="H880" s="1"/>
      <c r="I880" s="1">
        <v>70</v>
      </c>
    </row>
    <row r="881" spans="1:9" ht="13.2" x14ac:dyDescent="0.25">
      <c r="A881" s="1"/>
      <c r="B881" s="1"/>
      <c r="C881" s="1"/>
      <c r="D881" s="1"/>
      <c r="E881" s="1"/>
      <c r="F881" s="1"/>
      <c r="G881" s="1"/>
      <c r="H881" s="1"/>
      <c r="I881" s="1">
        <v>58</v>
      </c>
    </row>
    <row r="882" spans="1:9" ht="13.2" x14ac:dyDescent="0.25">
      <c r="A882" s="1"/>
      <c r="B882" s="1"/>
      <c r="C882" s="1"/>
      <c r="D882" s="1"/>
      <c r="E882" s="1"/>
      <c r="F882" s="1"/>
      <c r="G882" s="1"/>
      <c r="H882" s="1"/>
      <c r="I882" s="1">
        <v>74</v>
      </c>
    </row>
    <row r="883" spans="1:9" ht="13.2" x14ac:dyDescent="0.25">
      <c r="A883" s="1"/>
      <c r="B883" s="1"/>
      <c r="C883" s="1"/>
      <c r="D883" s="1"/>
      <c r="E883" s="1"/>
      <c r="F883" s="1"/>
      <c r="G883" s="1"/>
      <c r="H883" s="1"/>
      <c r="I883" s="1">
        <v>84</v>
      </c>
    </row>
    <row r="884" spans="1:9" ht="13.2" x14ac:dyDescent="0.25">
      <c r="A884" s="1"/>
      <c r="B884" s="1"/>
      <c r="C884" s="1"/>
      <c r="D884" s="1"/>
      <c r="E884" s="1"/>
      <c r="F884" s="1"/>
      <c r="G884" s="1"/>
      <c r="H884" s="1"/>
      <c r="I884" s="1">
        <v>52</v>
      </c>
    </row>
    <row r="885" spans="1:9" ht="13.2" x14ac:dyDescent="0.25">
      <c r="A885" s="1"/>
      <c r="B885" s="1"/>
      <c r="C885" s="1"/>
      <c r="D885" s="1"/>
      <c r="E885" s="1"/>
      <c r="F885" s="1"/>
      <c r="G885" s="1"/>
      <c r="H885" s="1"/>
      <c r="I885" s="1">
        <v>79</v>
      </c>
    </row>
    <row r="886" spans="1:9" ht="13.2" x14ac:dyDescent="0.25">
      <c r="A886" s="1"/>
      <c r="B886" s="1"/>
      <c r="C886" s="1"/>
      <c r="D886" s="1"/>
      <c r="E886" s="1"/>
      <c r="F886" s="1"/>
      <c r="G886" s="1"/>
      <c r="H886" s="1"/>
      <c r="I886" s="1">
        <v>33</v>
      </c>
    </row>
    <row r="887" spans="1:9" ht="13.2" x14ac:dyDescent="0.25">
      <c r="A887" s="1"/>
      <c r="B887" s="1"/>
      <c r="C887" s="1"/>
      <c r="D887" s="1"/>
      <c r="E887" s="1"/>
      <c r="F887" s="1"/>
      <c r="G887" s="1"/>
      <c r="H887" s="1"/>
      <c r="I887" s="1">
        <v>61</v>
      </c>
    </row>
    <row r="888" spans="1:9" ht="13.2" x14ac:dyDescent="0.25">
      <c r="A888" s="1"/>
      <c r="B888" s="1"/>
      <c r="C888" s="1"/>
      <c r="D888" s="1"/>
      <c r="E888" s="1"/>
      <c r="F888" s="1"/>
      <c r="G888" s="1"/>
      <c r="H888" s="1"/>
      <c r="I888" s="1">
        <v>77</v>
      </c>
    </row>
    <row r="889" spans="1:9" ht="13.2" x14ac:dyDescent="0.25">
      <c r="A889" s="1"/>
      <c r="B889" s="1"/>
      <c r="C889" s="1"/>
      <c r="D889" s="1"/>
      <c r="E889" s="1"/>
      <c r="F889" s="1"/>
      <c r="G889" s="1"/>
      <c r="H889" s="1"/>
      <c r="I889" s="1">
        <v>89</v>
      </c>
    </row>
    <row r="890" spans="1:9" ht="13.2" x14ac:dyDescent="0.25">
      <c r="A890" s="1"/>
      <c r="B890" s="1"/>
      <c r="C890" s="1"/>
      <c r="D890" s="1"/>
      <c r="E890" s="1"/>
      <c r="F890" s="1"/>
      <c r="G890" s="1"/>
      <c r="H890" s="1"/>
      <c r="I890" s="1">
        <v>34</v>
      </c>
    </row>
    <row r="891" spans="1:9" ht="13.2" x14ac:dyDescent="0.25">
      <c r="A891" s="1"/>
      <c r="B891" s="1"/>
      <c r="C891" s="1"/>
      <c r="D891" s="1"/>
      <c r="E891" s="1"/>
      <c r="F891" s="1"/>
      <c r="G891" s="1"/>
      <c r="H891" s="1"/>
      <c r="I891" s="1">
        <v>76</v>
      </c>
    </row>
    <row r="892" spans="1:9" ht="13.2" x14ac:dyDescent="0.25">
      <c r="A892" s="1"/>
      <c r="B892" s="1"/>
      <c r="C892" s="1"/>
      <c r="D892" s="1"/>
      <c r="E892" s="1"/>
      <c r="F892" s="1"/>
      <c r="G892" s="1"/>
      <c r="H892" s="1"/>
      <c r="I892" s="1">
        <v>51</v>
      </c>
    </row>
    <row r="893" spans="1:9" ht="13.2" x14ac:dyDescent="0.25">
      <c r="A893" s="1"/>
      <c r="B893" s="1"/>
      <c r="C893" s="1"/>
      <c r="D893" s="1"/>
      <c r="E893" s="1"/>
      <c r="F893" s="1"/>
      <c r="G893" s="1"/>
      <c r="H893" s="1"/>
      <c r="I893" s="1">
        <v>84</v>
      </c>
    </row>
    <row r="894" spans="1:9" ht="13.2" x14ac:dyDescent="0.25">
      <c r="A894" s="1"/>
      <c r="B894" s="1"/>
      <c r="C894" s="1"/>
      <c r="D894" s="1"/>
      <c r="E894" s="1"/>
      <c r="F894" s="1"/>
      <c r="G894" s="1"/>
      <c r="H894" s="1"/>
      <c r="I894" s="1">
        <v>65</v>
      </c>
    </row>
    <row r="895" spans="1:9" ht="13.2" x14ac:dyDescent="0.25">
      <c r="A895" s="1"/>
      <c r="B895" s="1"/>
      <c r="C895" s="1"/>
      <c r="D895" s="1"/>
      <c r="E895" s="1"/>
      <c r="F895" s="1"/>
      <c r="G895" s="1"/>
      <c r="H895" s="1"/>
      <c r="I895" s="1">
        <v>62</v>
      </c>
    </row>
    <row r="896" spans="1:9" ht="13.2" x14ac:dyDescent="0.25">
      <c r="A896" s="1"/>
      <c r="B896" s="1"/>
      <c r="C896" s="1"/>
      <c r="D896" s="1"/>
      <c r="E896" s="1"/>
      <c r="F896" s="1"/>
      <c r="G896" s="1"/>
      <c r="H896" s="1"/>
      <c r="I896" s="1">
        <v>60</v>
      </c>
    </row>
    <row r="897" spans="1:9" ht="13.2" x14ac:dyDescent="0.25">
      <c r="A897" s="1"/>
      <c r="B897" s="1"/>
      <c r="C897" s="1"/>
      <c r="D897" s="1"/>
      <c r="E897" s="1"/>
      <c r="F897" s="1"/>
      <c r="G897" s="1"/>
      <c r="H897" s="1"/>
      <c r="I897" s="1">
        <v>67</v>
      </c>
    </row>
    <row r="898" spans="1:9" ht="13.2" x14ac:dyDescent="0.25">
      <c r="A898" s="1"/>
      <c r="B898" s="1"/>
      <c r="C898" s="1"/>
      <c r="D898" s="1"/>
      <c r="E898" s="1"/>
      <c r="F898" s="1"/>
      <c r="G898" s="1"/>
      <c r="H898" s="1"/>
      <c r="I898" s="1">
        <v>62</v>
      </c>
    </row>
    <row r="899" spans="1:9" ht="13.2" x14ac:dyDescent="0.25">
      <c r="A899" s="1"/>
      <c r="B899" s="1"/>
      <c r="C899" s="1"/>
      <c r="D899" s="1"/>
      <c r="E899" s="1"/>
      <c r="F899" s="1"/>
      <c r="G899" s="1"/>
      <c r="H899" s="1"/>
      <c r="I899" s="1">
        <v>86</v>
      </c>
    </row>
    <row r="900" spans="1:9" ht="13.2" x14ac:dyDescent="0.25">
      <c r="A900" s="1"/>
      <c r="B900" s="1"/>
      <c r="C900" s="1"/>
      <c r="D900" s="1"/>
      <c r="E900" s="1"/>
      <c r="F900" s="1"/>
      <c r="G900" s="1"/>
      <c r="H900" s="1"/>
      <c r="I900" s="1">
        <v>67</v>
      </c>
    </row>
    <row r="901" spans="1:9" ht="13.2" x14ac:dyDescent="0.25">
      <c r="A901" s="1"/>
      <c r="B901" s="1"/>
      <c r="C901" s="1"/>
      <c r="D901" s="1"/>
      <c r="E901" s="1"/>
      <c r="F901" s="1"/>
      <c r="G901" s="1"/>
      <c r="H901" s="1"/>
      <c r="I901" s="1">
        <v>56</v>
      </c>
    </row>
    <row r="902" spans="1:9" ht="13.2" x14ac:dyDescent="0.25">
      <c r="A902" s="1"/>
      <c r="B902" s="1"/>
      <c r="C902" s="1"/>
      <c r="D902" s="1"/>
      <c r="E902" s="1"/>
      <c r="F902" s="1"/>
      <c r="G902" s="1"/>
      <c r="H902" s="1"/>
      <c r="I902" s="1">
        <v>100</v>
      </c>
    </row>
    <row r="903" spans="1:9" ht="13.2" x14ac:dyDescent="0.25">
      <c r="A903" s="1"/>
      <c r="B903" s="1"/>
      <c r="C903" s="1"/>
      <c r="D903" s="1"/>
      <c r="E903" s="1"/>
      <c r="F903" s="1"/>
      <c r="G903" s="1"/>
      <c r="H903" s="1"/>
      <c r="I903" s="1">
        <v>31</v>
      </c>
    </row>
    <row r="904" spans="1:9" ht="13.2" x14ac:dyDescent="0.25">
      <c r="A904" s="1"/>
      <c r="B904" s="1"/>
      <c r="C904" s="1"/>
      <c r="D904" s="1"/>
      <c r="E904" s="1"/>
      <c r="F904" s="1"/>
      <c r="G904" s="1"/>
      <c r="H904" s="1"/>
      <c r="I904" s="1">
        <v>68</v>
      </c>
    </row>
    <row r="905" spans="1:9" ht="13.2" x14ac:dyDescent="0.25">
      <c r="A905" s="1"/>
      <c r="B905" s="1"/>
      <c r="C905" s="1"/>
      <c r="D905" s="1"/>
      <c r="E905" s="1"/>
      <c r="F905" s="1"/>
      <c r="G905" s="1"/>
      <c r="H905" s="1"/>
      <c r="I905" s="1">
        <v>79</v>
      </c>
    </row>
    <row r="906" spans="1:9" ht="13.2" x14ac:dyDescent="0.25">
      <c r="A906" s="1"/>
      <c r="B906" s="1"/>
      <c r="C906" s="1"/>
      <c r="D906" s="1"/>
      <c r="E906" s="1"/>
      <c r="F906" s="1"/>
      <c r="G906" s="1"/>
      <c r="H906" s="1"/>
      <c r="I906" s="1">
        <v>68</v>
      </c>
    </row>
    <row r="907" spans="1:9" ht="13.2" x14ac:dyDescent="0.25">
      <c r="A907" s="1"/>
      <c r="B907" s="1"/>
      <c r="C907" s="1"/>
      <c r="D907" s="1"/>
      <c r="E907" s="1"/>
      <c r="F907" s="1"/>
      <c r="G907" s="1"/>
      <c r="H907" s="1"/>
      <c r="I907" s="1">
        <v>97</v>
      </c>
    </row>
    <row r="908" spans="1:9" ht="13.2" x14ac:dyDescent="0.25">
      <c r="A908" s="1"/>
      <c r="B908" s="1"/>
      <c r="C908" s="1"/>
      <c r="D908" s="1"/>
      <c r="E908" s="1"/>
      <c r="F908" s="1"/>
      <c r="G908" s="1"/>
      <c r="H908" s="1"/>
      <c r="I908" s="1">
        <v>66</v>
      </c>
    </row>
    <row r="909" spans="1:9" ht="13.2" x14ac:dyDescent="0.25">
      <c r="A909" s="1"/>
      <c r="B909" s="1"/>
      <c r="C909" s="1"/>
      <c r="D909" s="1"/>
      <c r="E909" s="1"/>
      <c r="F909" s="1"/>
      <c r="G909" s="1"/>
      <c r="H909" s="1"/>
      <c r="I909" s="1">
        <v>48</v>
      </c>
    </row>
    <row r="910" spans="1:9" ht="13.2" x14ac:dyDescent="0.25">
      <c r="A910" s="1"/>
      <c r="B910" s="1"/>
      <c r="C910" s="1"/>
      <c r="D910" s="1"/>
      <c r="E910" s="1"/>
      <c r="F910" s="1"/>
      <c r="G910" s="1"/>
      <c r="H910" s="1"/>
      <c r="I910" s="1">
        <v>53</v>
      </c>
    </row>
    <row r="911" spans="1:9" ht="13.2" x14ac:dyDescent="0.25">
      <c r="A911" s="1"/>
      <c r="B911" s="1"/>
      <c r="C911" s="1"/>
      <c r="D911" s="1"/>
      <c r="E911" s="1"/>
      <c r="F911" s="1"/>
      <c r="G911" s="1"/>
      <c r="H911" s="1"/>
      <c r="I911" s="1">
        <v>51</v>
      </c>
    </row>
    <row r="912" spans="1:9" ht="13.2" x14ac:dyDescent="0.25">
      <c r="A912" s="1"/>
      <c r="B912" s="1"/>
      <c r="C912" s="1"/>
      <c r="D912" s="1"/>
      <c r="E912" s="1"/>
      <c r="F912" s="1"/>
      <c r="G912" s="1"/>
      <c r="H912" s="1"/>
      <c r="I912" s="1">
        <v>58</v>
      </c>
    </row>
    <row r="913" spans="1:9" ht="13.2" x14ac:dyDescent="0.25">
      <c r="A913" s="1"/>
      <c r="B913" s="1"/>
      <c r="C913" s="1"/>
      <c r="D913" s="1"/>
      <c r="E913" s="1"/>
      <c r="F913" s="1"/>
      <c r="G913" s="1"/>
      <c r="H913" s="1"/>
      <c r="I913" s="1">
        <v>65</v>
      </c>
    </row>
    <row r="914" spans="1:9" ht="13.2" x14ac:dyDescent="0.25">
      <c r="A914" s="1"/>
      <c r="B914" s="1"/>
      <c r="C914" s="1"/>
      <c r="D914" s="1"/>
      <c r="E914" s="1"/>
      <c r="F914" s="1"/>
      <c r="G914" s="1"/>
      <c r="H914" s="1"/>
      <c r="I914" s="1">
        <v>59</v>
      </c>
    </row>
    <row r="915" spans="1:9" ht="13.2" x14ac:dyDescent="0.25">
      <c r="A915" s="1"/>
      <c r="B915" s="1"/>
      <c r="C915" s="1"/>
      <c r="D915" s="1"/>
      <c r="E915" s="1"/>
      <c r="F915" s="1"/>
      <c r="G915" s="1"/>
      <c r="H915" s="1"/>
      <c r="I915" s="1">
        <v>53</v>
      </c>
    </row>
    <row r="916" spans="1:9" ht="13.2" x14ac:dyDescent="0.25">
      <c r="A916" s="1"/>
      <c r="B916" s="1"/>
      <c r="C916" s="1"/>
      <c r="D916" s="1"/>
      <c r="E916" s="1"/>
      <c r="F916" s="1"/>
      <c r="G916" s="1"/>
      <c r="H916" s="1"/>
      <c r="I916" s="1">
        <v>51</v>
      </c>
    </row>
    <row r="917" spans="1:9" ht="13.2" x14ac:dyDescent="0.25">
      <c r="A917" s="1"/>
      <c r="B917" s="1"/>
      <c r="C917" s="1"/>
      <c r="D917" s="1"/>
      <c r="E917" s="1"/>
      <c r="F917" s="1"/>
      <c r="G917" s="1"/>
      <c r="H917" s="1"/>
      <c r="I917" s="1">
        <v>80</v>
      </c>
    </row>
    <row r="918" spans="1:9" ht="13.2" x14ac:dyDescent="0.25">
      <c r="A918" s="1"/>
      <c r="B918" s="1"/>
      <c r="C918" s="1"/>
      <c r="D918" s="1"/>
      <c r="E918" s="1"/>
      <c r="F918" s="1"/>
      <c r="G918" s="1"/>
      <c r="H918" s="1"/>
      <c r="I918" s="1">
        <v>68</v>
      </c>
    </row>
    <row r="919" spans="1:9" ht="13.2" x14ac:dyDescent="0.25">
      <c r="A919" s="1"/>
      <c r="B919" s="1"/>
      <c r="C919" s="1"/>
      <c r="D919" s="1"/>
      <c r="E919" s="1"/>
      <c r="F919" s="1"/>
      <c r="G919" s="1"/>
      <c r="H919" s="1"/>
      <c r="I919" s="1">
        <v>81</v>
      </c>
    </row>
    <row r="920" spans="1:9" ht="13.2" x14ac:dyDescent="0.25">
      <c r="A920" s="1"/>
      <c r="B920" s="1"/>
      <c r="C920" s="1"/>
      <c r="D920" s="1"/>
      <c r="E920" s="1"/>
      <c r="F920" s="1"/>
      <c r="G920" s="1"/>
      <c r="H920" s="1"/>
      <c r="I920" s="1">
        <v>53</v>
      </c>
    </row>
    <row r="921" spans="1:9" ht="13.2" x14ac:dyDescent="0.25">
      <c r="A921" s="1"/>
      <c r="B921" s="1"/>
      <c r="C921" s="1"/>
      <c r="D921" s="1"/>
      <c r="E921" s="1"/>
      <c r="F921" s="1"/>
      <c r="G921" s="1"/>
      <c r="H921" s="1"/>
      <c r="I921" s="1">
        <v>64</v>
      </c>
    </row>
    <row r="922" spans="1:9" ht="13.2" x14ac:dyDescent="0.25">
      <c r="A922" s="1"/>
      <c r="B922" s="1"/>
      <c r="C922" s="1"/>
      <c r="D922" s="1"/>
      <c r="E922" s="1"/>
      <c r="F922" s="1"/>
      <c r="G922" s="1"/>
      <c r="H922" s="1"/>
      <c r="I922" s="1">
        <v>51</v>
      </c>
    </row>
    <row r="923" spans="1:9" ht="13.2" x14ac:dyDescent="0.25">
      <c r="A923" s="1"/>
      <c r="B923" s="1"/>
      <c r="C923" s="1"/>
      <c r="D923" s="1"/>
      <c r="E923" s="1"/>
      <c r="F923" s="1"/>
      <c r="G923" s="1"/>
      <c r="H923" s="1"/>
      <c r="I923" s="1">
        <v>82</v>
      </c>
    </row>
    <row r="924" spans="1:9" ht="13.2" x14ac:dyDescent="0.25">
      <c r="A924" s="1"/>
      <c r="B924" s="1"/>
      <c r="C924" s="1"/>
      <c r="D924" s="1"/>
      <c r="E924" s="1"/>
      <c r="F924" s="1"/>
      <c r="G924" s="1"/>
      <c r="H924" s="1"/>
      <c r="I924" s="1">
        <v>77</v>
      </c>
    </row>
    <row r="925" spans="1:9" ht="13.2" x14ac:dyDescent="0.25">
      <c r="A925" s="1"/>
      <c r="B925" s="1"/>
      <c r="C925" s="1"/>
      <c r="D925" s="1"/>
      <c r="E925" s="1"/>
      <c r="F925" s="1"/>
      <c r="G925" s="1"/>
      <c r="H925" s="1"/>
      <c r="I925" s="1">
        <v>87</v>
      </c>
    </row>
    <row r="926" spans="1:9" ht="13.2" x14ac:dyDescent="0.25">
      <c r="A926" s="1"/>
      <c r="B926" s="1"/>
      <c r="C926" s="1"/>
      <c r="D926" s="1"/>
      <c r="E926" s="1"/>
      <c r="F926" s="1"/>
      <c r="G926" s="1"/>
      <c r="H926" s="1"/>
      <c r="I926" s="1">
        <v>66</v>
      </c>
    </row>
    <row r="927" spans="1:9" ht="13.2" x14ac:dyDescent="0.25">
      <c r="A927" s="1"/>
      <c r="B927" s="1"/>
      <c r="C927" s="1"/>
      <c r="D927" s="1"/>
      <c r="E927" s="1"/>
      <c r="F927" s="1"/>
      <c r="G927" s="1"/>
      <c r="H927" s="1"/>
      <c r="I927" s="1">
        <v>77</v>
      </c>
    </row>
    <row r="928" spans="1:9" ht="13.2" x14ac:dyDescent="0.25">
      <c r="A928" s="1"/>
      <c r="B928" s="1"/>
      <c r="C928" s="1"/>
      <c r="D928" s="1"/>
      <c r="E928" s="1"/>
      <c r="F928" s="1"/>
      <c r="G928" s="1"/>
      <c r="H928" s="1"/>
      <c r="I928" s="1">
        <v>64</v>
      </c>
    </row>
    <row r="929" spans="1:9" ht="13.2" x14ac:dyDescent="0.25">
      <c r="A929" s="1"/>
      <c r="B929" s="1"/>
      <c r="C929" s="1"/>
      <c r="D929" s="1"/>
      <c r="E929" s="1"/>
      <c r="F929" s="1"/>
      <c r="G929" s="1"/>
      <c r="H929" s="1"/>
      <c r="I929" s="1">
        <v>65</v>
      </c>
    </row>
    <row r="930" spans="1:9" ht="13.2" x14ac:dyDescent="0.25">
      <c r="A930" s="1"/>
      <c r="B930" s="1"/>
      <c r="C930" s="1"/>
      <c r="D930" s="1"/>
      <c r="E930" s="1"/>
      <c r="F930" s="1"/>
      <c r="G930" s="1"/>
      <c r="H930" s="1"/>
      <c r="I930" s="1">
        <v>73</v>
      </c>
    </row>
    <row r="931" spans="1:9" ht="13.2" x14ac:dyDescent="0.25">
      <c r="A931" s="1"/>
      <c r="B931" s="1"/>
      <c r="C931" s="1"/>
      <c r="D931" s="1"/>
      <c r="E931" s="1"/>
      <c r="F931" s="1"/>
      <c r="G931" s="1"/>
      <c r="H931" s="1"/>
      <c r="I931" s="1">
        <v>71</v>
      </c>
    </row>
    <row r="932" spans="1:9" ht="13.2" x14ac:dyDescent="0.25">
      <c r="A932" s="1"/>
      <c r="B932" s="1"/>
      <c r="C932" s="1"/>
      <c r="D932" s="1"/>
      <c r="E932" s="1"/>
      <c r="F932" s="1"/>
      <c r="G932" s="1"/>
      <c r="H932" s="1"/>
      <c r="I932" s="1">
        <v>55</v>
      </c>
    </row>
    <row r="933" spans="1:9" ht="13.2" x14ac:dyDescent="0.25">
      <c r="A933" s="1"/>
      <c r="B933" s="1"/>
      <c r="C933" s="1"/>
      <c r="D933" s="1"/>
      <c r="E933" s="1"/>
      <c r="F933" s="1"/>
      <c r="G933" s="1"/>
      <c r="H933" s="1"/>
      <c r="I933" s="1">
        <v>90</v>
      </c>
    </row>
    <row r="934" spans="1:9" ht="13.2" x14ac:dyDescent="0.25">
      <c r="A934" s="1"/>
      <c r="B934" s="1"/>
      <c r="C934" s="1"/>
      <c r="D934" s="1"/>
      <c r="E934" s="1"/>
      <c r="F934" s="1"/>
      <c r="G934" s="1"/>
      <c r="H934" s="1"/>
      <c r="I934" s="1">
        <v>55</v>
      </c>
    </row>
    <row r="935" spans="1:9" ht="13.2" x14ac:dyDescent="0.25">
      <c r="A935" s="1"/>
      <c r="B935" s="1"/>
      <c r="C935" s="1"/>
      <c r="D935" s="1"/>
      <c r="E935" s="1"/>
      <c r="F935" s="1"/>
      <c r="G935" s="1"/>
      <c r="H935" s="1"/>
      <c r="I935" s="1">
        <v>53</v>
      </c>
    </row>
    <row r="936" spans="1:9" ht="13.2" x14ac:dyDescent="0.25">
      <c r="A936" s="1"/>
      <c r="B936" s="1"/>
      <c r="C936" s="1"/>
      <c r="D936" s="1"/>
      <c r="E936" s="1"/>
      <c r="F936" s="1"/>
      <c r="G936" s="1"/>
      <c r="H936" s="1"/>
      <c r="I936" s="1">
        <v>54</v>
      </c>
    </row>
    <row r="937" spans="1:9" ht="13.2" x14ac:dyDescent="0.25">
      <c r="A937" s="1"/>
      <c r="B937" s="1"/>
      <c r="C937" s="1"/>
      <c r="D937" s="1"/>
      <c r="E937" s="1"/>
      <c r="F937" s="1"/>
      <c r="G937" s="1"/>
      <c r="H937" s="1"/>
      <c r="I937" s="1">
        <v>37</v>
      </c>
    </row>
    <row r="938" spans="1:9" ht="13.2" x14ac:dyDescent="0.25">
      <c r="A938" s="1"/>
      <c r="B938" s="1"/>
      <c r="C938" s="1"/>
      <c r="D938" s="1"/>
      <c r="E938" s="1"/>
      <c r="F938" s="1"/>
      <c r="G938" s="1"/>
      <c r="H938" s="1"/>
      <c r="I938" s="1">
        <v>42</v>
      </c>
    </row>
    <row r="939" spans="1:9" ht="13.2" x14ac:dyDescent="0.25">
      <c r="A939" s="1"/>
      <c r="B939" s="1"/>
      <c r="C939" s="1"/>
      <c r="D939" s="1"/>
      <c r="E939" s="1"/>
      <c r="F939" s="1"/>
      <c r="G939" s="1"/>
      <c r="H939" s="1"/>
      <c r="I939" s="1">
        <v>68</v>
      </c>
    </row>
    <row r="940" spans="1:9" ht="13.2" x14ac:dyDescent="0.25">
      <c r="A940" s="1"/>
      <c r="B940" s="1"/>
      <c r="C940" s="1"/>
      <c r="D940" s="1"/>
      <c r="E940" s="1"/>
      <c r="F940" s="1"/>
      <c r="G940" s="1"/>
      <c r="H940" s="1"/>
      <c r="I940" s="1">
        <v>82</v>
      </c>
    </row>
    <row r="941" spans="1:9" ht="13.2" x14ac:dyDescent="0.25">
      <c r="A941" s="1"/>
      <c r="B941" s="1"/>
      <c r="C941" s="1"/>
      <c r="D941" s="1"/>
      <c r="E941" s="1"/>
      <c r="F941" s="1"/>
      <c r="G941" s="1"/>
      <c r="H941" s="1"/>
      <c r="I941" s="1">
        <v>49</v>
      </c>
    </row>
    <row r="942" spans="1:9" ht="13.2" x14ac:dyDescent="0.25">
      <c r="A942" s="1"/>
      <c r="B942" s="1"/>
      <c r="C942" s="1"/>
      <c r="D942" s="1"/>
      <c r="E942" s="1"/>
      <c r="F942" s="1"/>
      <c r="G942" s="1"/>
      <c r="H942" s="1"/>
      <c r="I942" s="1">
        <v>69</v>
      </c>
    </row>
    <row r="943" spans="1:9" ht="13.2" x14ac:dyDescent="0.25">
      <c r="A943" s="1"/>
      <c r="B943" s="1"/>
      <c r="C943" s="1"/>
      <c r="D943" s="1"/>
      <c r="E943" s="1"/>
      <c r="F943" s="1"/>
      <c r="G943" s="1"/>
      <c r="H943" s="1"/>
      <c r="I943" s="1">
        <v>86</v>
      </c>
    </row>
    <row r="944" spans="1:9" ht="13.2" x14ac:dyDescent="0.25">
      <c r="A944" s="1"/>
      <c r="B944" s="1"/>
      <c r="C944" s="1"/>
      <c r="D944" s="1"/>
      <c r="E944" s="1"/>
      <c r="F944" s="1"/>
      <c r="G944" s="1"/>
      <c r="H944" s="1"/>
      <c r="I944" s="1">
        <v>91</v>
      </c>
    </row>
    <row r="945" spans="1:9" ht="13.2" x14ac:dyDescent="0.25">
      <c r="A945" s="1"/>
      <c r="B945" s="1"/>
      <c r="C945" s="1"/>
      <c r="D945" s="1"/>
      <c r="E945" s="1"/>
      <c r="F945" s="1"/>
      <c r="G945" s="1"/>
      <c r="H945" s="1"/>
      <c r="I945" s="1">
        <v>43</v>
      </c>
    </row>
    <row r="946" spans="1:9" ht="13.2" x14ac:dyDescent="0.25">
      <c r="A946" s="1"/>
      <c r="B946" s="1"/>
      <c r="C946" s="1"/>
      <c r="D946" s="1"/>
      <c r="E946" s="1"/>
      <c r="F946" s="1"/>
      <c r="G946" s="1"/>
      <c r="H946" s="1"/>
      <c r="I946" s="1">
        <v>85</v>
      </c>
    </row>
    <row r="947" spans="1:9" ht="13.2" x14ac:dyDescent="0.25">
      <c r="A947" s="1"/>
      <c r="B947" s="1"/>
      <c r="C947" s="1"/>
      <c r="D947" s="1"/>
      <c r="E947" s="1"/>
      <c r="F947" s="1"/>
      <c r="G947" s="1"/>
      <c r="H947" s="1"/>
      <c r="I947" s="1">
        <v>77</v>
      </c>
    </row>
    <row r="948" spans="1:9" ht="13.2" x14ac:dyDescent="0.25">
      <c r="A948" s="1"/>
      <c r="B948" s="1"/>
      <c r="C948" s="1"/>
      <c r="D948" s="1"/>
      <c r="E948" s="1"/>
      <c r="F948" s="1"/>
      <c r="G948" s="1"/>
      <c r="H948" s="1"/>
      <c r="I948" s="1">
        <v>73</v>
      </c>
    </row>
    <row r="949" spans="1:9" ht="13.2" x14ac:dyDescent="0.25">
      <c r="A949" s="1"/>
      <c r="B949" s="1"/>
      <c r="C949" s="1"/>
      <c r="D949" s="1"/>
      <c r="E949" s="1"/>
      <c r="F949" s="1"/>
      <c r="G949" s="1"/>
      <c r="H949" s="1"/>
      <c r="I949" s="1">
        <v>65</v>
      </c>
    </row>
    <row r="950" spans="1:9" ht="13.2" x14ac:dyDescent="0.25">
      <c r="A950" s="1"/>
      <c r="B950" s="1"/>
      <c r="C950" s="1"/>
      <c r="D950" s="1"/>
      <c r="E950" s="1"/>
      <c r="F950" s="1"/>
      <c r="G950" s="1"/>
      <c r="H950" s="1"/>
      <c r="I950" s="1">
        <v>66</v>
      </c>
    </row>
    <row r="951" spans="1:9" ht="13.2" x14ac:dyDescent="0.25">
      <c r="A951" s="1"/>
      <c r="B951" s="1"/>
      <c r="C951" s="1"/>
      <c r="D951" s="1"/>
      <c r="E951" s="1"/>
      <c r="F951" s="1"/>
      <c r="G951" s="1"/>
      <c r="H951" s="1"/>
      <c r="I951" s="1">
        <v>43</v>
      </c>
    </row>
    <row r="952" spans="1:9" ht="13.2" x14ac:dyDescent="0.25">
      <c r="A952" s="1"/>
      <c r="B952" s="1"/>
      <c r="C952" s="1"/>
      <c r="D952" s="1"/>
      <c r="E952" s="1"/>
      <c r="F952" s="1"/>
      <c r="G952" s="1"/>
      <c r="H952" s="1"/>
      <c r="I952" s="1">
        <v>66</v>
      </c>
    </row>
    <row r="953" spans="1:9" ht="13.2" x14ac:dyDescent="0.25">
      <c r="A953" s="1"/>
      <c r="B953" s="1"/>
      <c r="C953" s="1"/>
      <c r="D953" s="1"/>
      <c r="E953" s="1"/>
      <c r="F953" s="1"/>
      <c r="G953" s="1"/>
      <c r="H953" s="1"/>
      <c r="I953" s="1">
        <v>55</v>
      </c>
    </row>
    <row r="954" spans="1:9" ht="13.2" x14ac:dyDescent="0.25">
      <c r="A954" s="1"/>
      <c r="B954" s="1"/>
      <c r="C954" s="1"/>
      <c r="D954" s="1"/>
      <c r="E954" s="1"/>
      <c r="F954" s="1"/>
      <c r="G954" s="1"/>
      <c r="H954" s="1"/>
      <c r="I954" s="1">
        <v>51</v>
      </c>
    </row>
    <row r="955" spans="1:9" ht="13.2" x14ac:dyDescent="0.25">
      <c r="A955" s="1"/>
      <c r="B955" s="1"/>
      <c r="C955" s="1"/>
      <c r="D955" s="1"/>
      <c r="E955" s="1"/>
      <c r="F955" s="1"/>
      <c r="G955" s="1"/>
      <c r="H955" s="1"/>
      <c r="I955" s="1">
        <v>52</v>
      </c>
    </row>
    <row r="956" spans="1:9" ht="13.2" x14ac:dyDescent="0.25">
      <c r="A956" s="1"/>
      <c r="B956" s="1"/>
      <c r="C956" s="1"/>
      <c r="D956" s="1"/>
      <c r="E956" s="1"/>
      <c r="F956" s="1"/>
      <c r="G956" s="1"/>
      <c r="H956" s="1"/>
      <c r="I956" s="1">
        <v>59</v>
      </c>
    </row>
    <row r="957" spans="1:9" ht="13.2" x14ac:dyDescent="0.25">
      <c r="A957" s="1"/>
      <c r="B957" s="1"/>
      <c r="C957" s="1"/>
      <c r="D957" s="1"/>
      <c r="E957" s="1"/>
      <c r="F957" s="1"/>
      <c r="G957" s="1"/>
      <c r="H957" s="1"/>
      <c r="I957" s="1">
        <v>73</v>
      </c>
    </row>
    <row r="958" spans="1:9" ht="13.2" x14ac:dyDescent="0.25">
      <c r="A958" s="1"/>
      <c r="B958" s="1"/>
      <c r="C958" s="1"/>
      <c r="D958" s="1"/>
      <c r="E958" s="1"/>
      <c r="F958" s="1"/>
      <c r="G958" s="1"/>
      <c r="H958" s="1"/>
      <c r="I958" s="1">
        <v>70</v>
      </c>
    </row>
    <row r="959" spans="1:9" ht="13.2" x14ac:dyDescent="0.25">
      <c r="A959" s="1"/>
      <c r="B959" s="1"/>
      <c r="C959" s="1"/>
      <c r="D959" s="1"/>
      <c r="E959" s="1"/>
      <c r="F959" s="1"/>
      <c r="G959" s="1"/>
      <c r="H959" s="1"/>
      <c r="I959" s="1">
        <v>69</v>
      </c>
    </row>
    <row r="960" spans="1:9" ht="13.2" x14ac:dyDescent="0.25">
      <c r="A960" s="1"/>
      <c r="B960" s="1"/>
      <c r="C960" s="1"/>
      <c r="D960" s="1"/>
      <c r="E960" s="1"/>
      <c r="F960" s="1"/>
      <c r="G960" s="1"/>
      <c r="H960" s="1"/>
      <c r="I960" s="1">
        <v>52</v>
      </c>
    </row>
    <row r="961" spans="1:9" ht="13.2" x14ac:dyDescent="0.25">
      <c r="A961" s="1"/>
      <c r="B961" s="1"/>
      <c r="C961" s="1"/>
      <c r="D961" s="1"/>
      <c r="E961" s="1"/>
      <c r="F961" s="1"/>
      <c r="G961" s="1"/>
      <c r="H961" s="1"/>
      <c r="I961" s="1">
        <v>84</v>
      </c>
    </row>
    <row r="962" spans="1:9" ht="13.2" x14ac:dyDescent="0.25">
      <c r="A962" s="1"/>
      <c r="B962" s="1"/>
      <c r="C962" s="1"/>
      <c r="D962" s="1"/>
      <c r="E962" s="1"/>
      <c r="F962" s="1"/>
      <c r="G962" s="1"/>
      <c r="H962" s="1"/>
      <c r="I962" s="1">
        <v>88</v>
      </c>
    </row>
    <row r="963" spans="1:9" ht="13.2" x14ac:dyDescent="0.25">
      <c r="A963" s="1"/>
      <c r="B963" s="1"/>
      <c r="C963" s="1"/>
      <c r="D963" s="1"/>
      <c r="E963" s="1"/>
      <c r="F963" s="1"/>
      <c r="G963" s="1"/>
      <c r="H963" s="1"/>
      <c r="I963" s="1">
        <v>77</v>
      </c>
    </row>
    <row r="964" spans="1:9" ht="13.2" x14ac:dyDescent="0.25">
      <c r="A964" s="1"/>
      <c r="B964" s="1"/>
      <c r="C964" s="1"/>
      <c r="D964" s="1"/>
      <c r="E964" s="1"/>
      <c r="F964" s="1"/>
      <c r="G964" s="1"/>
      <c r="H964" s="1"/>
      <c r="I964" s="1">
        <v>45</v>
      </c>
    </row>
    <row r="965" spans="1:9" ht="13.2" x14ac:dyDescent="0.25">
      <c r="A965" s="1"/>
      <c r="B965" s="1"/>
      <c r="C965" s="1"/>
      <c r="D965" s="1"/>
      <c r="E965" s="1"/>
      <c r="F965" s="1"/>
      <c r="G965" s="1"/>
      <c r="H965" s="1"/>
      <c r="I965" s="1">
        <v>75</v>
      </c>
    </row>
    <row r="966" spans="1:9" ht="13.2" x14ac:dyDescent="0.25">
      <c r="A966" s="1"/>
      <c r="B966" s="1"/>
      <c r="C966" s="1"/>
      <c r="D966" s="1"/>
      <c r="E966" s="1"/>
      <c r="F966" s="1"/>
      <c r="G966" s="1"/>
      <c r="H966" s="1"/>
      <c r="I966" s="1">
        <v>87</v>
      </c>
    </row>
    <row r="967" spans="1:9" ht="13.2" x14ac:dyDescent="0.25">
      <c r="A967" s="1"/>
      <c r="B967" s="1"/>
      <c r="C967" s="1"/>
      <c r="D967" s="1"/>
      <c r="E967" s="1"/>
      <c r="F967" s="1"/>
      <c r="G967" s="1"/>
      <c r="H967" s="1"/>
      <c r="I967" s="1">
        <v>79</v>
      </c>
    </row>
    <row r="968" spans="1:9" ht="13.2" x14ac:dyDescent="0.25">
      <c r="A968" s="1"/>
      <c r="B968" s="1"/>
      <c r="C968" s="1"/>
      <c r="D968" s="1"/>
      <c r="E968" s="1"/>
      <c r="F968" s="1"/>
      <c r="G968" s="1"/>
      <c r="H968" s="1"/>
      <c r="I968" s="1">
        <v>66</v>
      </c>
    </row>
    <row r="969" spans="1:9" ht="13.2" x14ac:dyDescent="0.25">
      <c r="A969" s="1"/>
      <c r="B969" s="1"/>
      <c r="C969" s="1"/>
      <c r="D969" s="1"/>
      <c r="E969" s="1"/>
      <c r="F969" s="1"/>
      <c r="G969" s="1"/>
      <c r="H969" s="1"/>
      <c r="I969" s="1">
        <v>92</v>
      </c>
    </row>
    <row r="970" spans="1:9" ht="13.2" x14ac:dyDescent="0.25">
      <c r="A970" s="1"/>
      <c r="B970" s="1"/>
      <c r="C970" s="1"/>
      <c r="D970" s="1"/>
      <c r="E970" s="1"/>
      <c r="F970" s="1"/>
      <c r="G970" s="1"/>
      <c r="H970" s="1"/>
      <c r="I970" s="1">
        <v>51</v>
      </c>
    </row>
    <row r="971" spans="1:9" ht="13.2" x14ac:dyDescent="0.25">
      <c r="A971" s="1"/>
      <c r="B971" s="1"/>
      <c r="C971" s="1"/>
      <c r="D971" s="1"/>
      <c r="E971" s="1"/>
      <c r="F971" s="1"/>
      <c r="G971" s="1"/>
      <c r="H971" s="1"/>
      <c r="I971" s="1">
        <v>86</v>
      </c>
    </row>
    <row r="972" spans="1:9" ht="13.2" x14ac:dyDescent="0.25">
      <c r="A972" s="1"/>
      <c r="B972" s="1"/>
      <c r="C972" s="1"/>
      <c r="D972" s="1"/>
      <c r="E972" s="1"/>
      <c r="F972" s="1"/>
      <c r="G972" s="1"/>
      <c r="H972" s="1"/>
      <c r="I972" s="1">
        <v>62</v>
      </c>
    </row>
    <row r="973" spans="1:9" ht="13.2" x14ac:dyDescent="0.25">
      <c r="A973" s="1"/>
      <c r="B973" s="1"/>
      <c r="C973" s="1"/>
      <c r="D973" s="1"/>
      <c r="E973" s="1"/>
      <c r="F973" s="1"/>
      <c r="G973" s="1"/>
      <c r="H973" s="1"/>
      <c r="I973" s="1">
        <v>71</v>
      </c>
    </row>
    <row r="974" spans="1:9" ht="13.2" x14ac:dyDescent="0.25">
      <c r="A974" s="1"/>
      <c r="B974" s="1"/>
      <c r="C974" s="1"/>
      <c r="D974" s="1"/>
      <c r="E974" s="1"/>
      <c r="F974" s="1"/>
      <c r="G974" s="1"/>
      <c r="H974" s="1"/>
      <c r="I974" s="1">
        <v>64</v>
      </c>
    </row>
    <row r="975" spans="1:9" ht="13.2" x14ac:dyDescent="0.25">
      <c r="A975" s="1"/>
      <c r="B975" s="1"/>
      <c r="C975" s="1"/>
      <c r="D975" s="1"/>
      <c r="E975" s="1"/>
      <c r="F975" s="1"/>
      <c r="G975" s="1"/>
      <c r="H975" s="1"/>
      <c r="I975" s="1">
        <v>77</v>
      </c>
    </row>
    <row r="976" spans="1:9" ht="13.2" x14ac:dyDescent="0.25">
      <c r="A976" s="1"/>
      <c r="B976" s="1"/>
      <c r="C976" s="1"/>
      <c r="D976" s="1"/>
      <c r="E976" s="1"/>
      <c r="F976" s="1"/>
      <c r="G976" s="1"/>
      <c r="H976" s="1"/>
      <c r="I976" s="1">
        <v>69</v>
      </c>
    </row>
    <row r="977" spans="1:9" ht="13.2" x14ac:dyDescent="0.25">
      <c r="A977" s="1"/>
      <c r="B977" s="1"/>
      <c r="C977" s="1"/>
      <c r="D977" s="1"/>
      <c r="E977" s="1"/>
      <c r="F977" s="1"/>
      <c r="G977" s="1"/>
      <c r="H977" s="1"/>
      <c r="I977" s="1">
        <v>71</v>
      </c>
    </row>
    <row r="978" spans="1:9" ht="13.2" x14ac:dyDescent="0.25">
      <c r="A978" s="1"/>
      <c r="B978" s="1"/>
      <c r="C978" s="1"/>
      <c r="D978" s="1"/>
      <c r="E978" s="1"/>
      <c r="F978" s="1"/>
      <c r="G978" s="1"/>
      <c r="H978" s="1"/>
      <c r="I978" s="1">
        <v>83</v>
      </c>
    </row>
    <row r="979" spans="1:9" ht="13.2" x14ac:dyDescent="0.25">
      <c r="A979" s="1"/>
      <c r="B979" s="1"/>
      <c r="C979" s="1"/>
      <c r="D979" s="1"/>
      <c r="E979" s="1"/>
      <c r="F979" s="1"/>
      <c r="G979" s="1"/>
      <c r="H979" s="1"/>
      <c r="I979" s="1">
        <v>87</v>
      </c>
    </row>
    <row r="980" spans="1:9" ht="13.2" x14ac:dyDescent="0.25">
      <c r="A980" s="1"/>
      <c r="B980" s="1"/>
      <c r="C980" s="1"/>
      <c r="D980" s="1"/>
      <c r="E980" s="1"/>
      <c r="F980" s="1"/>
      <c r="G980" s="1"/>
      <c r="H980" s="1"/>
      <c r="I980" s="1">
        <v>74</v>
      </c>
    </row>
    <row r="981" spans="1:9" ht="13.2" x14ac:dyDescent="0.25">
      <c r="A981" s="1"/>
      <c r="B981" s="1"/>
      <c r="C981" s="1"/>
      <c r="D981" s="1"/>
      <c r="E981" s="1"/>
      <c r="F981" s="1"/>
      <c r="G981" s="1"/>
      <c r="H981" s="1"/>
      <c r="I981" s="1">
        <v>64</v>
      </c>
    </row>
    <row r="982" spans="1:9" ht="13.2" x14ac:dyDescent="0.25">
      <c r="A982" s="1"/>
      <c r="B982" s="1"/>
      <c r="C982" s="1"/>
      <c r="D982" s="1"/>
      <c r="E982" s="1"/>
      <c r="F982" s="1"/>
      <c r="G982" s="1"/>
      <c r="H982" s="1"/>
      <c r="I982" s="1">
        <v>77</v>
      </c>
    </row>
    <row r="983" spans="1:9" ht="13.2" x14ac:dyDescent="0.25">
      <c r="A983" s="1"/>
      <c r="B983" s="1"/>
      <c r="C983" s="1"/>
      <c r="D983" s="1"/>
      <c r="E983" s="1"/>
      <c r="F983" s="1"/>
      <c r="G983" s="1"/>
      <c r="H983" s="1"/>
      <c r="I983" s="1">
        <v>73</v>
      </c>
    </row>
    <row r="984" spans="1:9" ht="13.2" x14ac:dyDescent="0.25">
      <c r="A984" s="1"/>
      <c r="B984" s="1"/>
      <c r="C984" s="1"/>
      <c r="D984" s="1"/>
      <c r="E984" s="1"/>
      <c r="F984" s="1"/>
      <c r="G984" s="1"/>
      <c r="H984" s="1"/>
      <c r="I984" s="1">
        <v>56</v>
      </c>
    </row>
    <row r="985" spans="1:9" ht="13.2" x14ac:dyDescent="0.25">
      <c r="A985" s="1"/>
      <c r="B985" s="1"/>
      <c r="C985" s="1"/>
      <c r="D985" s="1"/>
      <c r="E985" s="1"/>
      <c r="F985" s="1"/>
      <c r="G985" s="1"/>
      <c r="H985" s="1"/>
      <c r="I985" s="1">
        <v>49</v>
      </c>
    </row>
    <row r="986" spans="1:9" ht="13.2" x14ac:dyDescent="0.25">
      <c r="A986" s="1"/>
      <c r="B986" s="1"/>
      <c r="C986" s="1"/>
      <c r="D986" s="1"/>
      <c r="E986" s="1"/>
      <c r="F986" s="1"/>
      <c r="G986" s="1"/>
      <c r="H986" s="1"/>
      <c r="I986" s="1">
        <v>59</v>
      </c>
    </row>
    <row r="987" spans="1:9" ht="13.2" x14ac:dyDescent="0.25">
      <c r="A987" s="1"/>
      <c r="B987" s="1"/>
      <c r="C987" s="1"/>
      <c r="D987" s="1"/>
      <c r="E987" s="1"/>
      <c r="F987" s="1"/>
      <c r="G987" s="1"/>
      <c r="H987" s="1"/>
      <c r="I987" s="1">
        <v>68</v>
      </c>
    </row>
    <row r="988" spans="1:9" ht="13.2" x14ac:dyDescent="0.25">
      <c r="A988" s="1"/>
      <c r="B988" s="1"/>
      <c r="C988" s="1"/>
      <c r="D988" s="1"/>
      <c r="E988" s="1"/>
      <c r="F988" s="1"/>
      <c r="G988" s="1"/>
      <c r="H988" s="1"/>
      <c r="I988" s="1">
        <v>72</v>
      </c>
    </row>
    <row r="989" spans="1:9" ht="13.2" x14ac:dyDescent="0.25">
      <c r="A989" s="1"/>
      <c r="B989" s="1"/>
      <c r="C989" s="1"/>
      <c r="D989" s="1"/>
      <c r="E989" s="1"/>
      <c r="F989" s="1"/>
      <c r="G989" s="1"/>
      <c r="H989" s="1"/>
      <c r="I989" s="1">
        <v>76</v>
      </c>
    </row>
    <row r="990" spans="1:9" ht="13.2" x14ac:dyDescent="0.25">
      <c r="A990" s="1"/>
      <c r="B990" s="1"/>
      <c r="C990" s="1"/>
      <c r="D990" s="1"/>
      <c r="E990" s="1"/>
      <c r="F990" s="1"/>
      <c r="G990" s="1"/>
      <c r="H990" s="1"/>
      <c r="I990" s="1">
        <v>100</v>
      </c>
    </row>
    <row r="991" spans="1:9" ht="13.2" x14ac:dyDescent="0.25">
      <c r="A991" s="1"/>
      <c r="B991" s="1"/>
      <c r="C991" s="1"/>
      <c r="D991" s="1"/>
      <c r="E991" s="1"/>
      <c r="F991" s="1"/>
      <c r="G991" s="1"/>
      <c r="H991" s="1"/>
      <c r="I991" s="1">
        <v>85</v>
      </c>
    </row>
    <row r="992" spans="1:9" ht="13.2" x14ac:dyDescent="0.25">
      <c r="A992" s="1"/>
      <c r="B992" s="1"/>
      <c r="C992" s="1"/>
      <c r="D992" s="1"/>
      <c r="E992" s="1"/>
      <c r="F992" s="1"/>
      <c r="G992" s="1"/>
      <c r="H992" s="1"/>
      <c r="I992" s="1">
        <v>90</v>
      </c>
    </row>
    <row r="993" spans="1:9" ht="13.2" x14ac:dyDescent="0.25">
      <c r="A993" s="1"/>
      <c r="B993" s="1"/>
      <c r="C993" s="1"/>
      <c r="D993" s="1"/>
      <c r="E993" s="1"/>
      <c r="F993" s="1"/>
      <c r="G993" s="1"/>
      <c r="H993" s="1"/>
      <c r="I993" s="1">
        <v>57</v>
      </c>
    </row>
    <row r="994" spans="1:9" ht="13.2" x14ac:dyDescent="0.25">
      <c r="A994" s="1"/>
      <c r="B994" s="1"/>
      <c r="C994" s="1"/>
      <c r="D994" s="1"/>
      <c r="E994" s="1"/>
      <c r="F994" s="1"/>
      <c r="G994" s="1"/>
      <c r="H994" s="1"/>
      <c r="I994" s="1">
        <v>89</v>
      </c>
    </row>
    <row r="995" spans="1:9" ht="13.2" x14ac:dyDescent="0.25">
      <c r="A995" s="1"/>
      <c r="B995" s="1"/>
      <c r="C995" s="1"/>
      <c r="D995" s="1"/>
      <c r="E995" s="1"/>
      <c r="F995" s="1"/>
      <c r="G995" s="1"/>
      <c r="H995" s="1"/>
      <c r="I995" s="1">
        <v>77</v>
      </c>
    </row>
    <row r="996" spans="1:9" ht="13.2" x14ac:dyDescent="0.25">
      <c r="A996" s="1"/>
      <c r="B996" s="1"/>
      <c r="C996" s="1"/>
      <c r="D996" s="1"/>
      <c r="E996" s="1"/>
      <c r="F996" s="1"/>
      <c r="G996" s="1"/>
      <c r="H996" s="1"/>
      <c r="I996" s="1">
        <v>71</v>
      </c>
    </row>
    <row r="997" spans="1:9" ht="13.2" x14ac:dyDescent="0.25">
      <c r="A997" s="1"/>
      <c r="B997" s="1"/>
      <c r="C997" s="1"/>
      <c r="D997" s="1"/>
      <c r="E997" s="1"/>
      <c r="F997" s="1"/>
      <c r="G997" s="1"/>
      <c r="H997" s="1"/>
      <c r="I997" s="1">
        <v>59</v>
      </c>
    </row>
    <row r="998" spans="1:9" ht="13.2" x14ac:dyDescent="0.25">
      <c r="A998" s="1"/>
      <c r="B998" s="1"/>
      <c r="C998" s="1"/>
      <c r="D998" s="1"/>
      <c r="E998" s="1"/>
      <c r="F998" s="1"/>
      <c r="G998" s="1"/>
      <c r="H998" s="1"/>
      <c r="I998" s="1">
        <v>56</v>
      </c>
    </row>
    <row r="999" spans="1:9" ht="13.2" x14ac:dyDescent="0.25">
      <c r="A999" s="1"/>
      <c r="B999" s="1"/>
      <c r="C999" s="1"/>
      <c r="D999" s="1"/>
      <c r="E999" s="1"/>
      <c r="F999" s="1"/>
      <c r="G999" s="1"/>
      <c r="H999" s="1"/>
      <c r="I999" s="1">
        <v>49</v>
      </c>
    </row>
    <row r="1000" spans="1:9" ht="13.2" x14ac:dyDescent="0.25">
      <c r="A1000" s="1"/>
      <c r="B1000" s="1"/>
      <c r="C1000" s="1"/>
      <c r="D1000" s="1"/>
      <c r="E1000" s="1"/>
      <c r="F1000" s="1"/>
      <c r="G1000" s="1"/>
      <c r="H1000" s="1"/>
      <c r="I1000" s="1">
        <v>54</v>
      </c>
    </row>
    <row r="1001" spans="1:9" ht="13.2" x14ac:dyDescent="0.25">
      <c r="A1001" s="1"/>
      <c r="B1001" s="1"/>
      <c r="C1001" s="1"/>
      <c r="D1001" s="1"/>
      <c r="E1001" s="1"/>
      <c r="F1001" s="1"/>
      <c r="G1001" s="1"/>
      <c r="H1001" s="1"/>
      <c r="I1001" s="1">
        <v>60</v>
      </c>
    </row>
  </sheetData>
  <sortState ref="J2:J1001">
    <sortCondition ref="J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1"/>
  <sheetViews>
    <sheetView tabSelected="1" workbookViewId="0">
      <selection activeCell="O14" sqref="O14"/>
    </sheetView>
  </sheetViews>
  <sheetFormatPr defaultColWidth="12.6640625" defaultRowHeight="15.75" customHeight="1" x14ac:dyDescent="0.25"/>
  <cols>
    <col min="6" max="8" width="0" hidden="1" customWidth="1"/>
    <col min="10" max="10" width="11.5546875" customWidth="1"/>
    <col min="18" max="18" width="15.33203125" customWidth="1"/>
  </cols>
  <sheetData>
    <row r="1" spans="1:1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</v>
      </c>
      <c r="J1" s="1" t="s">
        <v>47</v>
      </c>
      <c r="K1" s="1" t="s">
        <v>46</v>
      </c>
      <c r="L1" s="1" t="s">
        <v>48</v>
      </c>
      <c r="M1" s="1" t="s">
        <v>49</v>
      </c>
      <c r="N1" s="1" t="s">
        <v>51</v>
      </c>
      <c r="O1" s="1" t="s">
        <v>50</v>
      </c>
      <c r="P1" s="1"/>
      <c r="Q1" s="1"/>
      <c r="R1" s="1"/>
      <c r="S1" s="1"/>
    </row>
    <row r="2" spans="1:19" ht="13.2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67</v>
      </c>
      <c r="G2" s="1">
        <v>91</v>
      </c>
      <c r="H2" s="1">
        <v>84</v>
      </c>
      <c r="I2">
        <f>SUM(F2:H2)</f>
        <v>242</v>
      </c>
      <c r="J2">
        <f>IF(E2="completed", 1, IF(E2="none", 0, ""))</f>
        <v>0</v>
      </c>
      <c r="K2">
        <f>_xlfn.RANK.AVG(I2, I$2:I$601, 0)</f>
        <v>122.5</v>
      </c>
      <c r="L2">
        <f>K2-J2</f>
        <v>122.5</v>
      </c>
      <c r="M2">
        <f>L2^2</f>
        <v>15006.25</v>
      </c>
      <c r="N2" s="7">
        <f>SUM(M2:M601)</f>
        <v>72061016.5</v>
      </c>
      <c r="O2">
        <f>1-(6*N2)/(600*(600^2-1))</f>
        <v>-1.0017004630568418</v>
      </c>
      <c r="P2" s="2"/>
      <c r="Q2" s="2"/>
      <c r="R2" s="2"/>
      <c r="S2" s="3"/>
    </row>
    <row r="3" spans="1:19" ht="13.2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12</v>
      </c>
      <c r="F3" s="1">
        <v>63</v>
      </c>
      <c r="G3" s="1">
        <v>63</v>
      </c>
      <c r="H3" s="1">
        <v>67</v>
      </c>
      <c r="I3">
        <f t="shared" ref="I3:I66" si="0">SUM(F3:H3)</f>
        <v>193</v>
      </c>
      <c r="J3">
        <f t="shared" ref="J3:J66" si="1">IF(E3="completed", 1, IF(E3="none", 0, ""))</f>
        <v>0</v>
      </c>
      <c r="K3">
        <f t="shared" ref="K3:K66" si="2">_xlfn.RANK.AVG(I3, I$2:I$601, 0)</f>
        <v>344</v>
      </c>
      <c r="L3">
        <f t="shared" ref="L3:L66" si="3">K3-J3</f>
        <v>344</v>
      </c>
      <c r="M3">
        <f t="shared" ref="M3:M66" si="4">L3^2</f>
        <v>118336</v>
      </c>
      <c r="N3" s="2"/>
      <c r="P3" s="2"/>
      <c r="Q3" s="2"/>
      <c r="R3" s="2"/>
    </row>
    <row r="4" spans="1:19" ht="13.2" x14ac:dyDescent="0.25">
      <c r="A4" s="1" t="s">
        <v>8</v>
      </c>
      <c r="B4" s="1" t="s">
        <v>15</v>
      </c>
      <c r="C4" s="1" t="s">
        <v>16</v>
      </c>
      <c r="D4" s="1" t="s">
        <v>11</v>
      </c>
      <c r="E4" s="1" t="s">
        <v>17</v>
      </c>
      <c r="F4" s="1">
        <v>73</v>
      </c>
      <c r="G4" s="1">
        <v>83</v>
      </c>
      <c r="H4" s="1">
        <v>85</v>
      </c>
      <c r="I4">
        <f>SUM(F4:H4)</f>
        <v>241</v>
      </c>
      <c r="J4">
        <f>IF(E4="completed", 1, IF(E4="none", 0, ""))</f>
        <v>1</v>
      </c>
      <c r="K4">
        <f t="shared" si="2"/>
        <v>125</v>
      </c>
      <c r="L4">
        <f t="shared" si="3"/>
        <v>124</v>
      </c>
      <c r="M4">
        <f t="shared" si="4"/>
        <v>15376</v>
      </c>
      <c r="N4" s="2"/>
      <c r="P4" s="2"/>
      <c r="Q4" s="2"/>
      <c r="R4" s="2"/>
    </row>
    <row r="5" spans="1:19" ht="13.2" x14ac:dyDescent="0.25">
      <c r="A5" s="1" t="s">
        <v>8</v>
      </c>
      <c r="B5" s="1" t="s">
        <v>18</v>
      </c>
      <c r="C5" s="1" t="s">
        <v>16</v>
      </c>
      <c r="D5" s="1" t="s">
        <v>11</v>
      </c>
      <c r="E5" s="1" t="s">
        <v>12</v>
      </c>
      <c r="F5" s="1">
        <v>85</v>
      </c>
      <c r="G5" s="1">
        <v>98</v>
      </c>
      <c r="H5" s="1">
        <v>95</v>
      </c>
      <c r="I5">
        <f t="shared" si="0"/>
        <v>278</v>
      </c>
      <c r="J5">
        <f t="shared" si="1"/>
        <v>0</v>
      </c>
      <c r="K5">
        <f t="shared" si="2"/>
        <v>30</v>
      </c>
      <c r="L5">
        <f t="shared" si="3"/>
        <v>30</v>
      </c>
      <c r="M5">
        <f t="shared" si="4"/>
        <v>900</v>
      </c>
      <c r="N5" s="2"/>
      <c r="P5" s="2"/>
      <c r="Q5" s="2"/>
      <c r="R5" s="2"/>
    </row>
    <row r="6" spans="1:19" ht="13.2" x14ac:dyDescent="0.25">
      <c r="A6" s="1" t="s">
        <v>19</v>
      </c>
      <c r="B6" s="1" t="s">
        <v>9</v>
      </c>
      <c r="C6" s="1" t="s">
        <v>20</v>
      </c>
      <c r="D6" s="1" t="s">
        <v>11</v>
      </c>
      <c r="E6" s="1" t="s">
        <v>12</v>
      </c>
      <c r="F6" s="1">
        <v>75</v>
      </c>
      <c r="G6" s="1">
        <v>57</v>
      </c>
      <c r="H6" s="1">
        <v>63</v>
      </c>
      <c r="I6">
        <f t="shared" si="0"/>
        <v>195</v>
      </c>
      <c r="J6">
        <f t="shared" si="1"/>
        <v>0</v>
      </c>
      <c r="K6">
        <f t="shared" si="2"/>
        <v>331.5</v>
      </c>
      <c r="L6">
        <f t="shared" si="3"/>
        <v>331.5</v>
      </c>
      <c r="M6">
        <f t="shared" si="4"/>
        <v>109892.25</v>
      </c>
      <c r="N6" s="2"/>
      <c r="P6" s="2"/>
      <c r="Q6" s="2"/>
      <c r="R6" s="2"/>
    </row>
    <row r="7" spans="1:19" ht="13.2" x14ac:dyDescent="0.25">
      <c r="A7" s="1" t="s">
        <v>8</v>
      </c>
      <c r="B7" s="1" t="s">
        <v>21</v>
      </c>
      <c r="C7" s="1" t="s">
        <v>14</v>
      </c>
      <c r="D7" s="1" t="s">
        <v>11</v>
      </c>
      <c r="E7" s="1" t="s">
        <v>12</v>
      </c>
      <c r="F7" s="1">
        <v>85</v>
      </c>
      <c r="G7" s="1">
        <v>78</v>
      </c>
      <c r="H7" s="1">
        <v>74</v>
      </c>
      <c r="I7">
        <f t="shared" si="0"/>
        <v>237</v>
      </c>
      <c r="J7">
        <f t="shared" si="1"/>
        <v>0</v>
      </c>
      <c r="K7">
        <f t="shared" si="2"/>
        <v>144</v>
      </c>
      <c r="L7">
        <f t="shared" si="3"/>
        <v>144</v>
      </c>
      <c r="M7">
        <f t="shared" si="4"/>
        <v>20736</v>
      </c>
      <c r="N7" s="2"/>
      <c r="P7" s="2"/>
      <c r="Q7" s="2"/>
      <c r="R7" s="2"/>
    </row>
    <row r="8" spans="1:19" ht="13.2" x14ac:dyDescent="0.25">
      <c r="A8" s="1" t="s">
        <v>19</v>
      </c>
      <c r="B8" s="1" t="s">
        <v>15</v>
      </c>
      <c r="C8" s="1" t="s">
        <v>22</v>
      </c>
      <c r="D8" s="1" t="s">
        <v>23</v>
      </c>
      <c r="E8" s="1" t="s">
        <v>17</v>
      </c>
      <c r="F8" s="1">
        <v>40</v>
      </c>
      <c r="G8" s="1">
        <v>34</v>
      </c>
      <c r="H8" s="1">
        <v>30</v>
      </c>
      <c r="I8">
        <f t="shared" si="0"/>
        <v>104</v>
      </c>
      <c r="J8">
        <f t="shared" si="1"/>
        <v>1</v>
      </c>
      <c r="K8">
        <f t="shared" si="2"/>
        <v>592.5</v>
      </c>
      <c r="L8">
        <f t="shared" si="3"/>
        <v>591.5</v>
      </c>
      <c r="M8">
        <f t="shared" si="4"/>
        <v>349872.25</v>
      </c>
      <c r="N8" s="2"/>
      <c r="P8" s="2"/>
      <c r="Q8" s="2"/>
      <c r="R8" s="2"/>
    </row>
    <row r="9" spans="1:19" ht="13.2" x14ac:dyDescent="0.25">
      <c r="A9" s="1" t="s">
        <v>8</v>
      </c>
      <c r="B9" s="1" t="s">
        <v>21</v>
      </c>
      <c r="C9" s="1" t="s">
        <v>22</v>
      </c>
      <c r="D9" s="1" t="s">
        <v>11</v>
      </c>
      <c r="E9" s="1" t="s">
        <v>17</v>
      </c>
      <c r="F9" s="1">
        <v>57</v>
      </c>
      <c r="G9" s="1">
        <v>65</v>
      </c>
      <c r="H9" s="1">
        <v>68</v>
      </c>
      <c r="I9">
        <f t="shared" si="0"/>
        <v>190</v>
      </c>
      <c r="J9">
        <f t="shared" si="1"/>
        <v>1</v>
      </c>
      <c r="K9">
        <f t="shared" si="2"/>
        <v>359.5</v>
      </c>
      <c r="L9">
        <f t="shared" si="3"/>
        <v>358.5</v>
      </c>
      <c r="M9">
        <f t="shared" si="4"/>
        <v>128522.25</v>
      </c>
      <c r="N9" s="2"/>
      <c r="P9" s="2"/>
      <c r="Q9" s="2"/>
      <c r="R9" s="2"/>
    </row>
    <row r="10" spans="1:19" ht="13.2" x14ac:dyDescent="0.25">
      <c r="A10" s="1" t="s">
        <v>19</v>
      </c>
      <c r="B10" s="1" t="s">
        <v>13</v>
      </c>
      <c r="C10" s="1" t="s">
        <v>22</v>
      </c>
      <c r="D10" s="1" t="s">
        <v>11</v>
      </c>
      <c r="E10" s="1" t="s">
        <v>12</v>
      </c>
      <c r="F10" s="1">
        <v>81</v>
      </c>
      <c r="G10" s="1">
        <v>85</v>
      </c>
      <c r="H10" s="1">
        <v>81</v>
      </c>
      <c r="I10">
        <f t="shared" si="0"/>
        <v>247</v>
      </c>
      <c r="J10">
        <f t="shared" si="1"/>
        <v>0</v>
      </c>
      <c r="K10">
        <f t="shared" si="2"/>
        <v>107</v>
      </c>
      <c r="L10">
        <f t="shared" si="3"/>
        <v>107</v>
      </c>
      <c r="M10">
        <f t="shared" si="4"/>
        <v>11449</v>
      </c>
    </row>
    <row r="11" spans="1:19" ht="13.2" x14ac:dyDescent="0.25">
      <c r="A11" s="1" t="s">
        <v>19</v>
      </c>
      <c r="B11" s="1" t="s">
        <v>21</v>
      </c>
      <c r="C11" s="1" t="s">
        <v>14</v>
      </c>
      <c r="D11" s="1" t="s">
        <v>23</v>
      </c>
      <c r="E11" s="1" t="s">
        <v>17</v>
      </c>
      <c r="F11" s="1">
        <v>95</v>
      </c>
      <c r="G11" s="1">
        <v>92</v>
      </c>
      <c r="H11" s="1">
        <v>92</v>
      </c>
      <c r="I11">
        <f t="shared" si="0"/>
        <v>279</v>
      </c>
      <c r="J11">
        <f t="shared" si="1"/>
        <v>1</v>
      </c>
      <c r="K11">
        <f t="shared" si="2"/>
        <v>27.5</v>
      </c>
      <c r="L11">
        <f t="shared" si="3"/>
        <v>26.5</v>
      </c>
      <c r="M11">
        <f t="shared" si="4"/>
        <v>702.25</v>
      </c>
    </row>
    <row r="12" spans="1:19" ht="13.2" x14ac:dyDescent="0.25">
      <c r="A12" s="1" t="s">
        <v>19</v>
      </c>
      <c r="B12" s="1" t="s">
        <v>9</v>
      </c>
      <c r="C12" s="1" t="s">
        <v>14</v>
      </c>
      <c r="D12" s="1" t="s">
        <v>11</v>
      </c>
      <c r="E12" s="1" t="s">
        <v>12</v>
      </c>
      <c r="F12" s="1">
        <v>73</v>
      </c>
      <c r="G12" s="1">
        <v>58</v>
      </c>
      <c r="H12" s="1">
        <v>61</v>
      </c>
      <c r="I12">
        <f t="shared" si="0"/>
        <v>192</v>
      </c>
      <c r="J12">
        <f t="shared" si="1"/>
        <v>0</v>
      </c>
      <c r="K12">
        <f t="shared" si="2"/>
        <v>349</v>
      </c>
      <c r="L12">
        <f t="shared" si="3"/>
        <v>349</v>
      </c>
      <c r="M12">
        <f t="shared" si="4"/>
        <v>121801</v>
      </c>
    </row>
    <row r="13" spans="1:19" ht="13.2" x14ac:dyDescent="0.25">
      <c r="A13" s="1" t="s">
        <v>8</v>
      </c>
      <c r="B13" s="1" t="s">
        <v>13</v>
      </c>
      <c r="C13" s="1" t="s">
        <v>20</v>
      </c>
      <c r="D13" s="1" t="s">
        <v>23</v>
      </c>
      <c r="E13" s="1" t="s">
        <v>12</v>
      </c>
      <c r="F13" s="1">
        <v>45</v>
      </c>
      <c r="G13" s="1">
        <v>62</v>
      </c>
      <c r="H13" s="1">
        <v>55</v>
      </c>
      <c r="I13">
        <f t="shared" si="0"/>
        <v>162</v>
      </c>
      <c r="J13">
        <f t="shared" si="1"/>
        <v>0</v>
      </c>
      <c r="K13">
        <f>_xlfn.RANK.AVG(I13, I$2:I$601, 0)</f>
        <v>484.5</v>
      </c>
      <c r="L13">
        <f t="shared" si="3"/>
        <v>484.5</v>
      </c>
      <c r="M13">
        <f t="shared" si="4"/>
        <v>234740.25</v>
      </c>
    </row>
    <row r="14" spans="1:19" ht="13.2" x14ac:dyDescent="0.25">
      <c r="A14" s="1" t="s">
        <v>19</v>
      </c>
      <c r="B14" s="1" t="s">
        <v>13</v>
      </c>
      <c r="C14" s="1" t="s">
        <v>16</v>
      </c>
      <c r="D14" s="1" t="s">
        <v>23</v>
      </c>
      <c r="E14" s="1" t="s">
        <v>17</v>
      </c>
      <c r="F14" s="1">
        <v>94</v>
      </c>
      <c r="G14" s="1">
        <v>87</v>
      </c>
      <c r="H14" s="1">
        <v>90</v>
      </c>
      <c r="I14">
        <f t="shared" si="0"/>
        <v>271</v>
      </c>
      <c r="J14">
        <f t="shared" si="1"/>
        <v>1</v>
      </c>
      <c r="K14">
        <f t="shared" si="2"/>
        <v>40.5</v>
      </c>
      <c r="L14">
        <f t="shared" si="3"/>
        <v>39.5</v>
      </c>
      <c r="M14">
        <f t="shared" si="4"/>
        <v>1560.25</v>
      </c>
    </row>
    <row r="15" spans="1:19" ht="13.2" x14ac:dyDescent="0.25">
      <c r="A15" s="1" t="s">
        <v>8</v>
      </c>
      <c r="B15" s="1" t="s">
        <v>21</v>
      </c>
      <c r="C15" s="1" t="s">
        <v>10</v>
      </c>
      <c r="D15" s="1" t="s">
        <v>23</v>
      </c>
      <c r="E15" s="1" t="s">
        <v>17</v>
      </c>
      <c r="F15" s="1">
        <v>72</v>
      </c>
      <c r="G15" s="1">
        <v>77</v>
      </c>
      <c r="H15" s="1">
        <v>75</v>
      </c>
      <c r="I15">
        <f t="shared" si="0"/>
        <v>224</v>
      </c>
      <c r="J15">
        <f t="shared" si="1"/>
        <v>1</v>
      </c>
      <c r="K15">
        <f t="shared" si="2"/>
        <v>194</v>
      </c>
      <c r="L15">
        <f t="shared" si="3"/>
        <v>193</v>
      </c>
      <c r="M15">
        <f t="shared" si="4"/>
        <v>37249</v>
      </c>
    </row>
    <row r="16" spans="1:19" ht="13.2" x14ac:dyDescent="0.25">
      <c r="A16" s="1" t="s">
        <v>8</v>
      </c>
      <c r="B16" s="1" t="s">
        <v>13</v>
      </c>
      <c r="C16" s="1" t="s">
        <v>14</v>
      </c>
      <c r="D16" s="1" t="s">
        <v>11</v>
      </c>
      <c r="E16" s="1" t="s">
        <v>12</v>
      </c>
      <c r="F16" s="1">
        <v>52</v>
      </c>
      <c r="G16" s="1">
        <v>54</v>
      </c>
      <c r="H16" s="1">
        <v>54</v>
      </c>
      <c r="I16">
        <f t="shared" si="0"/>
        <v>160</v>
      </c>
      <c r="J16">
        <f t="shared" si="1"/>
        <v>0</v>
      </c>
      <c r="K16">
        <f t="shared" si="2"/>
        <v>490.5</v>
      </c>
      <c r="L16">
        <f t="shared" si="3"/>
        <v>490.5</v>
      </c>
      <c r="M16">
        <f t="shared" si="4"/>
        <v>240590.25</v>
      </c>
    </row>
    <row r="17" spans="1:13" ht="13.2" x14ac:dyDescent="0.25">
      <c r="A17" s="1" t="s">
        <v>19</v>
      </c>
      <c r="B17" s="1" t="s">
        <v>21</v>
      </c>
      <c r="C17" s="1" t="s">
        <v>20</v>
      </c>
      <c r="D17" s="1" t="s">
        <v>23</v>
      </c>
      <c r="E17" s="1" t="s">
        <v>17</v>
      </c>
      <c r="F17" s="1">
        <v>98</v>
      </c>
      <c r="G17" s="1">
        <v>92</v>
      </c>
      <c r="H17" s="1">
        <v>96</v>
      </c>
      <c r="I17">
        <f t="shared" si="0"/>
        <v>286</v>
      </c>
      <c r="J17">
        <f t="shared" si="1"/>
        <v>1</v>
      </c>
      <c r="K17">
        <f t="shared" si="2"/>
        <v>18.5</v>
      </c>
      <c r="L17">
        <f t="shared" si="3"/>
        <v>17.5</v>
      </c>
      <c r="M17">
        <f t="shared" si="4"/>
        <v>306.25</v>
      </c>
    </row>
    <row r="18" spans="1:13" ht="13.2" x14ac:dyDescent="0.25">
      <c r="A18" s="1" t="s">
        <v>19</v>
      </c>
      <c r="B18" s="1" t="s">
        <v>13</v>
      </c>
      <c r="C18" s="1" t="s">
        <v>10</v>
      </c>
      <c r="D18" s="1" t="s">
        <v>11</v>
      </c>
      <c r="E18" s="1" t="s">
        <v>12</v>
      </c>
      <c r="F18" s="1">
        <v>66</v>
      </c>
      <c r="G18" s="1">
        <v>56</v>
      </c>
      <c r="H18" s="1">
        <v>53</v>
      </c>
      <c r="I18">
        <f t="shared" si="0"/>
        <v>175</v>
      </c>
      <c r="J18">
        <f t="shared" si="1"/>
        <v>0</v>
      </c>
      <c r="K18">
        <f t="shared" si="2"/>
        <v>426.5</v>
      </c>
      <c r="L18">
        <f t="shared" si="3"/>
        <v>426.5</v>
      </c>
      <c r="M18">
        <f t="shared" si="4"/>
        <v>181902.25</v>
      </c>
    </row>
    <row r="19" spans="1:13" ht="13.2" x14ac:dyDescent="0.25">
      <c r="A19" s="1" t="s">
        <v>8</v>
      </c>
      <c r="B19" s="1" t="s">
        <v>9</v>
      </c>
      <c r="C19" s="1" t="s">
        <v>14</v>
      </c>
      <c r="D19" s="1" t="s">
        <v>11</v>
      </c>
      <c r="E19" s="1" t="s">
        <v>17</v>
      </c>
      <c r="F19" s="1">
        <v>46</v>
      </c>
      <c r="G19" s="1">
        <v>53</v>
      </c>
      <c r="H19" s="1">
        <v>56</v>
      </c>
      <c r="I19">
        <f t="shared" si="0"/>
        <v>155</v>
      </c>
      <c r="J19">
        <f t="shared" si="1"/>
        <v>1</v>
      </c>
      <c r="K19">
        <f t="shared" si="2"/>
        <v>511</v>
      </c>
      <c r="L19">
        <f t="shared" si="3"/>
        <v>510</v>
      </c>
      <c r="M19">
        <f t="shared" si="4"/>
        <v>260100</v>
      </c>
    </row>
    <row r="20" spans="1:13" ht="13.2" x14ac:dyDescent="0.25">
      <c r="A20" s="1" t="s">
        <v>19</v>
      </c>
      <c r="B20" s="1" t="s">
        <v>18</v>
      </c>
      <c r="C20" s="1" t="s">
        <v>16</v>
      </c>
      <c r="D20" s="1" t="s">
        <v>11</v>
      </c>
      <c r="E20" s="1" t="s">
        <v>12</v>
      </c>
      <c r="F20" s="1">
        <v>77</v>
      </c>
      <c r="G20" s="1">
        <v>73</v>
      </c>
      <c r="H20" s="1">
        <v>68</v>
      </c>
      <c r="I20">
        <f t="shared" si="0"/>
        <v>218</v>
      </c>
      <c r="J20">
        <f t="shared" si="1"/>
        <v>0</v>
      </c>
      <c r="K20">
        <f t="shared" si="2"/>
        <v>223</v>
      </c>
      <c r="L20">
        <f t="shared" si="3"/>
        <v>223</v>
      </c>
      <c r="M20">
        <f t="shared" si="4"/>
        <v>49729</v>
      </c>
    </row>
    <row r="21" spans="1:13" ht="13.2" x14ac:dyDescent="0.25">
      <c r="A21" s="1" t="s">
        <v>19</v>
      </c>
      <c r="B21" s="1" t="s">
        <v>21</v>
      </c>
      <c r="C21" s="1" t="s">
        <v>10</v>
      </c>
      <c r="D21" s="1" t="s">
        <v>11</v>
      </c>
      <c r="E21" s="1" t="s">
        <v>12</v>
      </c>
      <c r="F21" s="1">
        <v>79</v>
      </c>
      <c r="G21" s="1">
        <v>64</v>
      </c>
      <c r="H21" s="1">
        <v>60</v>
      </c>
      <c r="I21">
        <f t="shared" si="0"/>
        <v>203</v>
      </c>
      <c r="J21">
        <f t="shared" si="1"/>
        <v>0</v>
      </c>
      <c r="K21">
        <f t="shared" si="2"/>
        <v>286.5</v>
      </c>
      <c r="L21">
        <f t="shared" si="3"/>
        <v>286.5</v>
      </c>
      <c r="M21">
        <f t="shared" si="4"/>
        <v>82082.25</v>
      </c>
    </row>
    <row r="22" spans="1:13" ht="13.2" x14ac:dyDescent="0.25">
      <c r="A22" s="1" t="s">
        <v>19</v>
      </c>
      <c r="B22" s="1" t="s">
        <v>21</v>
      </c>
      <c r="C22" s="1" t="s">
        <v>16</v>
      </c>
      <c r="D22" s="1" t="s">
        <v>23</v>
      </c>
      <c r="E22" s="1" t="s">
        <v>12</v>
      </c>
      <c r="F22" s="1">
        <v>66</v>
      </c>
      <c r="G22" s="1">
        <v>58</v>
      </c>
      <c r="H22" s="1">
        <v>60</v>
      </c>
      <c r="I22">
        <f t="shared" si="0"/>
        <v>184</v>
      </c>
      <c r="J22">
        <f t="shared" si="1"/>
        <v>0</v>
      </c>
      <c r="K22">
        <f t="shared" si="2"/>
        <v>393.5</v>
      </c>
      <c r="L22">
        <f t="shared" si="3"/>
        <v>393.5</v>
      </c>
      <c r="M22">
        <f t="shared" si="4"/>
        <v>154842.25</v>
      </c>
    </row>
    <row r="23" spans="1:13" ht="13.2" x14ac:dyDescent="0.25">
      <c r="A23" s="1" t="s">
        <v>8</v>
      </c>
      <c r="B23" s="1" t="s">
        <v>13</v>
      </c>
      <c r="C23" s="1" t="s">
        <v>10</v>
      </c>
      <c r="D23" s="1" t="s">
        <v>11</v>
      </c>
      <c r="E23" s="1" t="s">
        <v>12</v>
      </c>
      <c r="F23" s="1">
        <v>82</v>
      </c>
      <c r="G23" s="1">
        <v>88</v>
      </c>
      <c r="H23" s="1">
        <v>81</v>
      </c>
      <c r="I23">
        <f t="shared" si="0"/>
        <v>251</v>
      </c>
      <c r="J23">
        <f t="shared" si="1"/>
        <v>0</v>
      </c>
      <c r="K23">
        <f t="shared" si="2"/>
        <v>92</v>
      </c>
      <c r="L23">
        <f t="shared" si="3"/>
        <v>92</v>
      </c>
      <c r="M23">
        <f t="shared" si="4"/>
        <v>8464</v>
      </c>
    </row>
    <row r="24" spans="1:13" ht="13.2" x14ac:dyDescent="0.25">
      <c r="A24" s="1" t="s">
        <v>8</v>
      </c>
      <c r="B24" s="1" t="s">
        <v>18</v>
      </c>
      <c r="C24" s="1" t="s">
        <v>10</v>
      </c>
      <c r="D24" s="1" t="s">
        <v>11</v>
      </c>
      <c r="E24" s="1" t="s">
        <v>12</v>
      </c>
      <c r="F24" s="1">
        <v>53</v>
      </c>
      <c r="G24" s="1">
        <v>56</v>
      </c>
      <c r="H24" s="1">
        <v>56</v>
      </c>
      <c r="I24">
        <f t="shared" si="0"/>
        <v>165</v>
      </c>
      <c r="J24">
        <f t="shared" si="1"/>
        <v>0</v>
      </c>
      <c r="K24">
        <f t="shared" si="2"/>
        <v>476</v>
      </c>
      <c r="L24">
        <f t="shared" si="3"/>
        <v>476</v>
      </c>
      <c r="M24">
        <f t="shared" si="4"/>
        <v>226576</v>
      </c>
    </row>
    <row r="25" spans="1:13" ht="13.2" x14ac:dyDescent="0.25">
      <c r="A25" s="1" t="s">
        <v>8</v>
      </c>
      <c r="B25" s="1" t="s">
        <v>18</v>
      </c>
      <c r="C25" s="1" t="s">
        <v>16</v>
      </c>
      <c r="D25" s="1" t="s">
        <v>23</v>
      </c>
      <c r="E25" s="1" t="s">
        <v>12</v>
      </c>
      <c r="F25" s="1">
        <v>74</v>
      </c>
      <c r="G25" s="1">
        <v>82</v>
      </c>
      <c r="H25" s="1">
        <v>83</v>
      </c>
      <c r="I25">
        <f t="shared" si="0"/>
        <v>239</v>
      </c>
      <c r="J25">
        <f t="shared" si="1"/>
        <v>0</v>
      </c>
      <c r="K25">
        <f t="shared" si="2"/>
        <v>135.5</v>
      </c>
      <c r="L25">
        <f t="shared" si="3"/>
        <v>135.5</v>
      </c>
      <c r="M25">
        <f t="shared" si="4"/>
        <v>18360.25</v>
      </c>
    </row>
    <row r="26" spans="1:13" ht="13.2" x14ac:dyDescent="0.25">
      <c r="A26" s="1" t="s">
        <v>8</v>
      </c>
      <c r="B26" s="1" t="s">
        <v>18</v>
      </c>
      <c r="C26" s="1" t="s">
        <v>20</v>
      </c>
      <c r="D26" s="1" t="s">
        <v>23</v>
      </c>
      <c r="E26" s="1" t="s">
        <v>17</v>
      </c>
      <c r="F26" s="1">
        <v>83</v>
      </c>
      <c r="G26" s="1">
        <v>97</v>
      </c>
      <c r="H26" s="1">
        <v>97</v>
      </c>
      <c r="I26">
        <f t="shared" si="0"/>
        <v>277</v>
      </c>
      <c r="J26">
        <f t="shared" si="1"/>
        <v>1</v>
      </c>
      <c r="K26">
        <f t="shared" si="2"/>
        <v>32.5</v>
      </c>
      <c r="L26">
        <f t="shared" si="3"/>
        <v>31.5</v>
      </c>
      <c r="M26">
        <f t="shared" si="4"/>
        <v>992.25</v>
      </c>
    </row>
    <row r="27" spans="1:13" ht="13.2" x14ac:dyDescent="0.25">
      <c r="A27" s="1" t="s">
        <v>8</v>
      </c>
      <c r="B27" s="1" t="s">
        <v>18</v>
      </c>
      <c r="C27" s="1" t="s">
        <v>22</v>
      </c>
      <c r="D27" s="1" t="s">
        <v>23</v>
      </c>
      <c r="E27" s="1" t="s">
        <v>17</v>
      </c>
      <c r="F27" s="1">
        <v>35</v>
      </c>
      <c r="G27" s="1">
        <v>49</v>
      </c>
      <c r="H27" s="1">
        <v>48</v>
      </c>
      <c r="I27">
        <f t="shared" si="0"/>
        <v>132</v>
      </c>
      <c r="J27">
        <f t="shared" si="1"/>
        <v>1</v>
      </c>
      <c r="K27">
        <f t="shared" si="2"/>
        <v>571.5</v>
      </c>
      <c r="L27">
        <f t="shared" si="3"/>
        <v>570.5</v>
      </c>
      <c r="M27">
        <f t="shared" si="4"/>
        <v>325470.25</v>
      </c>
    </row>
    <row r="28" spans="1:13" ht="13.2" x14ac:dyDescent="0.25">
      <c r="A28" s="1" t="s">
        <v>19</v>
      </c>
      <c r="B28" s="1" t="s">
        <v>21</v>
      </c>
      <c r="C28" s="1" t="s">
        <v>14</v>
      </c>
      <c r="D28" s="1" t="s">
        <v>23</v>
      </c>
      <c r="E28" s="1" t="s">
        <v>12</v>
      </c>
      <c r="F28" s="1">
        <v>49</v>
      </c>
      <c r="G28" s="1">
        <v>55</v>
      </c>
      <c r="H28" s="1">
        <v>49</v>
      </c>
      <c r="I28">
        <f t="shared" si="0"/>
        <v>153</v>
      </c>
      <c r="J28">
        <f t="shared" si="1"/>
        <v>0</v>
      </c>
      <c r="K28">
        <f t="shared" si="2"/>
        <v>520</v>
      </c>
      <c r="L28">
        <f t="shared" si="3"/>
        <v>520</v>
      </c>
      <c r="M28">
        <f t="shared" si="4"/>
        <v>270400</v>
      </c>
    </row>
    <row r="29" spans="1:13" ht="13.2" x14ac:dyDescent="0.25">
      <c r="A29" s="1" t="s">
        <v>8</v>
      </c>
      <c r="B29" s="1" t="s">
        <v>13</v>
      </c>
      <c r="C29" s="1" t="s">
        <v>14</v>
      </c>
      <c r="D29" s="1" t="s">
        <v>11</v>
      </c>
      <c r="E29" s="1" t="s">
        <v>17</v>
      </c>
      <c r="F29" s="1">
        <v>50</v>
      </c>
      <c r="G29" s="1">
        <v>56</v>
      </c>
      <c r="H29" s="1">
        <v>63</v>
      </c>
      <c r="I29">
        <f t="shared" si="0"/>
        <v>169</v>
      </c>
      <c r="J29">
        <f t="shared" si="1"/>
        <v>1</v>
      </c>
      <c r="K29">
        <f t="shared" si="2"/>
        <v>460</v>
      </c>
      <c r="L29">
        <f t="shared" si="3"/>
        <v>459</v>
      </c>
      <c r="M29">
        <f t="shared" si="4"/>
        <v>210681</v>
      </c>
    </row>
    <row r="30" spans="1:13" ht="13.2" x14ac:dyDescent="0.25">
      <c r="A30" s="1" t="s">
        <v>8</v>
      </c>
      <c r="B30" s="1" t="s">
        <v>18</v>
      </c>
      <c r="C30" s="1" t="s">
        <v>16</v>
      </c>
      <c r="D30" s="1" t="s">
        <v>11</v>
      </c>
      <c r="E30" s="1" t="s">
        <v>12</v>
      </c>
      <c r="F30" s="1">
        <v>45</v>
      </c>
      <c r="G30" s="1">
        <v>54</v>
      </c>
      <c r="H30" s="1">
        <v>56</v>
      </c>
      <c r="I30">
        <f t="shared" si="0"/>
        <v>155</v>
      </c>
      <c r="J30">
        <f t="shared" si="1"/>
        <v>0</v>
      </c>
      <c r="K30">
        <f t="shared" si="2"/>
        <v>511</v>
      </c>
      <c r="L30">
        <f t="shared" si="3"/>
        <v>511</v>
      </c>
      <c r="M30">
        <f t="shared" si="4"/>
        <v>261121</v>
      </c>
    </row>
    <row r="31" spans="1:13" ht="13.2" x14ac:dyDescent="0.25">
      <c r="A31" s="1" t="s">
        <v>19</v>
      </c>
      <c r="B31" s="1" t="s">
        <v>9</v>
      </c>
      <c r="C31" s="1" t="s">
        <v>16</v>
      </c>
      <c r="D31" s="1" t="s">
        <v>11</v>
      </c>
      <c r="E31" s="1" t="s">
        <v>17</v>
      </c>
      <c r="F31" s="1">
        <v>81</v>
      </c>
      <c r="G31" s="1">
        <v>74</v>
      </c>
      <c r="H31" s="1">
        <v>72</v>
      </c>
      <c r="I31">
        <f t="shared" si="0"/>
        <v>227</v>
      </c>
      <c r="J31">
        <f t="shared" si="1"/>
        <v>1</v>
      </c>
      <c r="K31">
        <f t="shared" si="2"/>
        <v>180</v>
      </c>
      <c r="L31">
        <f t="shared" si="3"/>
        <v>179</v>
      </c>
      <c r="M31">
        <f t="shared" si="4"/>
        <v>32041</v>
      </c>
    </row>
    <row r="32" spans="1:13" ht="13.2" x14ac:dyDescent="0.25">
      <c r="A32" s="1" t="s">
        <v>19</v>
      </c>
      <c r="B32" s="1" t="s">
        <v>9</v>
      </c>
      <c r="C32" s="1" t="s">
        <v>16</v>
      </c>
      <c r="D32" s="1" t="s">
        <v>23</v>
      </c>
      <c r="E32" s="1" t="s">
        <v>12</v>
      </c>
      <c r="F32" s="1">
        <v>27</v>
      </c>
      <c r="G32" s="1">
        <v>37</v>
      </c>
      <c r="H32" s="1">
        <v>30</v>
      </c>
      <c r="I32">
        <f t="shared" si="0"/>
        <v>94</v>
      </c>
      <c r="J32">
        <f t="shared" si="1"/>
        <v>0</v>
      </c>
      <c r="K32">
        <f t="shared" si="2"/>
        <v>595</v>
      </c>
      <c r="L32">
        <f t="shared" si="3"/>
        <v>595</v>
      </c>
      <c r="M32">
        <f t="shared" si="4"/>
        <v>354025</v>
      </c>
    </row>
    <row r="33" spans="1:13" ht="13.2" x14ac:dyDescent="0.25">
      <c r="A33" s="1" t="s">
        <v>8</v>
      </c>
      <c r="B33" s="1" t="s">
        <v>15</v>
      </c>
      <c r="C33" s="1" t="s">
        <v>22</v>
      </c>
      <c r="D33" s="1" t="s">
        <v>11</v>
      </c>
      <c r="E33" s="1" t="s">
        <v>12</v>
      </c>
      <c r="F33" s="1">
        <v>46</v>
      </c>
      <c r="G33" s="1">
        <v>57</v>
      </c>
      <c r="H33" s="1">
        <v>50</v>
      </c>
      <c r="I33">
        <f t="shared" si="0"/>
        <v>153</v>
      </c>
      <c r="J33">
        <f t="shared" si="1"/>
        <v>0</v>
      </c>
      <c r="K33">
        <f t="shared" si="2"/>
        <v>520</v>
      </c>
      <c r="L33">
        <f t="shared" si="3"/>
        <v>520</v>
      </c>
      <c r="M33">
        <f t="shared" si="4"/>
        <v>270400</v>
      </c>
    </row>
    <row r="34" spans="1:13" ht="13.2" x14ac:dyDescent="0.25">
      <c r="A34" s="1" t="s">
        <v>8</v>
      </c>
      <c r="B34" s="1" t="s">
        <v>18</v>
      </c>
      <c r="C34" s="1" t="s">
        <v>16</v>
      </c>
      <c r="D34" s="1" t="s">
        <v>11</v>
      </c>
      <c r="E34" s="1" t="s">
        <v>12</v>
      </c>
      <c r="F34" s="1">
        <v>65</v>
      </c>
      <c r="G34" s="1">
        <v>68</v>
      </c>
      <c r="H34" s="1">
        <v>74</v>
      </c>
      <c r="I34">
        <f t="shared" si="0"/>
        <v>207</v>
      </c>
      <c r="J34">
        <f t="shared" si="1"/>
        <v>0</v>
      </c>
      <c r="K34">
        <f t="shared" si="2"/>
        <v>268</v>
      </c>
      <c r="L34">
        <f t="shared" si="3"/>
        <v>268</v>
      </c>
      <c r="M34">
        <f t="shared" si="4"/>
        <v>71824</v>
      </c>
    </row>
    <row r="35" spans="1:13" ht="13.2" x14ac:dyDescent="0.25">
      <c r="A35" s="1" t="s">
        <v>19</v>
      </c>
      <c r="B35" s="1" t="s">
        <v>9</v>
      </c>
      <c r="C35" s="1" t="s">
        <v>16</v>
      </c>
      <c r="D35" s="1" t="s">
        <v>11</v>
      </c>
      <c r="E35" s="1" t="s">
        <v>17</v>
      </c>
      <c r="F35" s="1">
        <v>63</v>
      </c>
      <c r="G35" s="1">
        <v>66</v>
      </c>
      <c r="H35" s="1">
        <v>58</v>
      </c>
      <c r="I35">
        <f t="shared" si="0"/>
        <v>187</v>
      </c>
      <c r="J35">
        <f t="shared" si="1"/>
        <v>1</v>
      </c>
      <c r="K35">
        <f t="shared" si="2"/>
        <v>380</v>
      </c>
      <c r="L35">
        <f t="shared" si="3"/>
        <v>379</v>
      </c>
      <c r="M35">
        <f t="shared" si="4"/>
        <v>143641</v>
      </c>
    </row>
    <row r="36" spans="1:13" ht="13.2" x14ac:dyDescent="0.25">
      <c r="A36" s="1" t="s">
        <v>8</v>
      </c>
      <c r="B36" s="1" t="s">
        <v>18</v>
      </c>
      <c r="C36" s="1" t="s">
        <v>14</v>
      </c>
      <c r="D36" s="1" t="s">
        <v>11</v>
      </c>
      <c r="E36" s="1" t="s">
        <v>17</v>
      </c>
      <c r="F36" s="1">
        <v>70</v>
      </c>
      <c r="G36" s="1">
        <v>87</v>
      </c>
      <c r="H36" s="1">
        <v>88</v>
      </c>
      <c r="I36">
        <f t="shared" si="0"/>
        <v>245</v>
      </c>
      <c r="J36">
        <f t="shared" si="1"/>
        <v>1</v>
      </c>
      <c r="K36">
        <f t="shared" si="2"/>
        <v>112</v>
      </c>
      <c r="L36">
        <f t="shared" si="3"/>
        <v>111</v>
      </c>
      <c r="M36">
        <f t="shared" si="4"/>
        <v>12321</v>
      </c>
    </row>
    <row r="37" spans="1:13" ht="13.2" x14ac:dyDescent="0.25">
      <c r="A37" s="1" t="s">
        <v>8</v>
      </c>
      <c r="B37" s="1" t="s">
        <v>13</v>
      </c>
      <c r="C37" s="1" t="s">
        <v>14</v>
      </c>
      <c r="D37" s="1" t="s">
        <v>23</v>
      </c>
      <c r="E37" s="1" t="s">
        <v>12</v>
      </c>
      <c r="F37" s="1">
        <v>72</v>
      </c>
      <c r="G37" s="1">
        <v>91</v>
      </c>
      <c r="H37" s="1">
        <v>89</v>
      </c>
      <c r="I37">
        <f t="shared" si="0"/>
        <v>252</v>
      </c>
      <c r="J37">
        <f t="shared" si="1"/>
        <v>0</v>
      </c>
      <c r="K37">
        <f t="shared" si="2"/>
        <v>88.5</v>
      </c>
      <c r="L37">
        <f t="shared" si="3"/>
        <v>88.5</v>
      </c>
      <c r="M37">
        <f t="shared" si="4"/>
        <v>7832.25</v>
      </c>
    </row>
    <row r="38" spans="1:13" ht="13.2" x14ac:dyDescent="0.25">
      <c r="A38" s="1" t="s">
        <v>8</v>
      </c>
      <c r="B38" s="1" t="s">
        <v>13</v>
      </c>
      <c r="C38" s="1" t="s">
        <v>16</v>
      </c>
      <c r="D38" s="1" t="s">
        <v>11</v>
      </c>
      <c r="E38" s="1" t="s">
        <v>12</v>
      </c>
      <c r="F38" s="1">
        <v>57</v>
      </c>
      <c r="G38" s="1">
        <v>68</v>
      </c>
      <c r="H38" s="1">
        <v>71</v>
      </c>
      <c r="I38">
        <f t="shared" si="0"/>
        <v>196</v>
      </c>
      <c r="J38">
        <f t="shared" si="1"/>
        <v>0</v>
      </c>
      <c r="K38">
        <f t="shared" si="2"/>
        <v>323.5</v>
      </c>
      <c r="L38">
        <f t="shared" si="3"/>
        <v>323.5</v>
      </c>
      <c r="M38">
        <f t="shared" si="4"/>
        <v>104652.25</v>
      </c>
    </row>
    <row r="39" spans="1:13" ht="13.2" x14ac:dyDescent="0.25">
      <c r="A39" s="1" t="s">
        <v>19</v>
      </c>
      <c r="B39" s="1" t="s">
        <v>21</v>
      </c>
      <c r="C39" s="1" t="s">
        <v>10</v>
      </c>
      <c r="D39" s="1" t="s">
        <v>11</v>
      </c>
      <c r="E39" s="1" t="s">
        <v>12</v>
      </c>
      <c r="F39" s="1">
        <v>93</v>
      </c>
      <c r="G39" s="1">
        <v>85</v>
      </c>
      <c r="H39" s="1">
        <v>77</v>
      </c>
      <c r="I39">
        <f t="shared" si="0"/>
        <v>255</v>
      </c>
      <c r="J39">
        <f t="shared" si="1"/>
        <v>0</v>
      </c>
      <c r="K39">
        <f t="shared" si="2"/>
        <v>80</v>
      </c>
      <c r="L39">
        <f t="shared" si="3"/>
        <v>80</v>
      </c>
      <c r="M39">
        <f t="shared" si="4"/>
        <v>6400</v>
      </c>
    </row>
    <row r="40" spans="1:13" ht="13.2" x14ac:dyDescent="0.25">
      <c r="A40" s="1" t="s">
        <v>19</v>
      </c>
      <c r="B40" s="1" t="s">
        <v>18</v>
      </c>
      <c r="C40" s="1" t="s">
        <v>16</v>
      </c>
      <c r="D40" s="1" t="s">
        <v>11</v>
      </c>
      <c r="E40" s="1" t="s">
        <v>17</v>
      </c>
      <c r="F40" s="1">
        <v>84</v>
      </c>
      <c r="G40" s="1">
        <v>73</v>
      </c>
      <c r="H40" s="1">
        <v>77</v>
      </c>
      <c r="I40">
        <f t="shared" si="0"/>
        <v>234</v>
      </c>
      <c r="J40">
        <f t="shared" si="1"/>
        <v>1</v>
      </c>
      <c r="K40">
        <f t="shared" si="2"/>
        <v>159</v>
      </c>
      <c r="L40">
        <f t="shared" si="3"/>
        <v>158</v>
      </c>
      <c r="M40">
        <f t="shared" si="4"/>
        <v>24964</v>
      </c>
    </row>
    <row r="41" spans="1:13" ht="13.2" x14ac:dyDescent="0.25">
      <c r="A41" s="1" t="s">
        <v>8</v>
      </c>
      <c r="B41" s="1" t="s">
        <v>13</v>
      </c>
      <c r="C41" s="1" t="s">
        <v>10</v>
      </c>
      <c r="D41" s="1" t="s">
        <v>11</v>
      </c>
      <c r="E41" s="1" t="s">
        <v>12</v>
      </c>
      <c r="F41" s="1">
        <v>72</v>
      </c>
      <c r="G41" s="1">
        <v>86</v>
      </c>
      <c r="H41" s="1">
        <v>82</v>
      </c>
      <c r="I41">
        <f t="shared" si="0"/>
        <v>240</v>
      </c>
      <c r="J41">
        <f t="shared" si="1"/>
        <v>0</v>
      </c>
      <c r="K41">
        <f t="shared" si="2"/>
        <v>129.5</v>
      </c>
      <c r="L41">
        <f t="shared" si="3"/>
        <v>129.5</v>
      </c>
      <c r="M41">
        <f t="shared" si="4"/>
        <v>16770.25</v>
      </c>
    </row>
    <row r="42" spans="1:13" ht="13.2" x14ac:dyDescent="0.25">
      <c r="A42" s="1" t="s">
        <v>19</v>
      </c>
      <c r="B42" s="1" t="s">
        <v>13</v>
      </c>
      <c r="C42" s="1" t="s">
        <v>14</v>
      </c>
      <c r="D42" s="1" t="s">
        <v>11</v>
      </c>
      <c r="E42" s="1" t="s">
        <v>12</v>
      </c>
      <c r="F42" s="1">
        <v>67</v>
      </c>
      <c r="G42" s="1">
        <v>59</v>
      </c>
      <c r="H42" s="1">
        <v>59</v>
      </c>
      <c r="I42">
        <f t="shared" si="0"/>
        <v>185</v>
      </c>
      <c r="J42">
        <f t="shared" si="1"/>
        <v>0</v>
      </c>
      <c r="K42">
        <f t="shared" si="2"/>
        <v>389.5</v>
      </c>
      <c r="L42">
        <f t="shared" si="3"/>
        <v>389.5</v>
      </c>
      <c r="M42">
        <f t="shared" si="4"/>
        <v>151710.25</v>
      </c>
    </row>
    <row r="43" spans="1:13" ht="13.2" x14ac:dyDescent="0.25">
      <c r="A43" s="1" t="s">
        <v>19</v>
      </c>
      <c r="B43" s="1" t="s">
        <v>13</v>
      </c>
      <c r="C43" s="1" t="s">
        <v>24</v>
      </c>
      <c r="D43" s="1" t="s">
        <v>11</v>
      </c>
      <c r="E43" s="1" t="s">
        <v>12</v>
      </c>
      <c r="F43" s="1">
        <v>62</v>
      </c>
      <c r="G43" s="1">
        <v>57</v>
      </c>
      <c r="H43" s="1">
        <v>52</v>
      </c>
      <c r="I43">
        <f t="shared" si="0"/>
        <v>171</v>
      </c>
      <c r="J43">
        <f t="shared" si="1"/>
        <v>0</v>
      </c>
      <c r="K43">
        <f t="shared" si="2"/>
        <v>450</v>
      </c>
      <c r="L43">
        <f t="shared" si="3"/>
        <v>450</v>
      </c>
      <c r="M43">
        <f t="shared" si="4"/>
        <v>202500</v>
      </c>
    </row>
    <row r="44" spans="1:13" ht="13.2" x14ac:dyDescent="0.25">
      <c r="A44" s="1" t="s">
        <v>8</v>
      </c>
      <c r="B44" s="1" t="s">
        <v>13</v>
      </c>
      <c r="C44" s="1" t="s">
        <v>16</v>
      </c>
      <c r="D44" s="1" t="s">
        <v>11</v>
      </c>
      <c r="E44" s="1" t="s">
        <v>12</v>
      </c>
      <c r="F44" s="1">
        <v>60</v>
      </c>
      <c r="G44" s="1">
        <v>59</v>
      </c>
      <c r="H44" s="1">
        <v>71</v>
      </c>
      <c r="I44">
        <f t="shared" si="0"/>
        <v>190</v>
      </c>
      <c r="J44">
        <f t="shared" si="1"/>
        <v>0</v>
      </c>
      <c r="K44">
        <f t="shared" si="2"/>
        <v>359.5</v>
      </c>
      <c r="L44">
        <f t="shared" si="3"/>
        <v>359.5</v>
      </c>
      <c r="M44">
        <f t="shared" si="4"/>
        <v>129240.25</v>
      </c>
    </row>
    <row r="45" spans="1:13" ht="13.2" x14ac:dyDescent="0.25">
      <c r="A45" s="1" t="s">
        <v>19</v>
      </c>
      <c r="B45" s="1" t="s">
        <v>13</v>
      </c>
      <c r="C45" s="1" t="s">
        <v>10</v>
      </c>
      <c r="D45" s="1" t="s">
        <v>23</v>
      </c>
      <c r="E45" s="1" t="s">
        <v>17</v>
      </c>
      <c r="F45" s="1">
        <v>67</v>
      </c>
      <c r="G45" s="1">
        <v>75</v>
      </c>
      <c r="H45" s="1">
        <v>75</v>
      </c>
      <c r="I45">
        <f t="shared" si="0"/>
        <v>217</v>
      </c>
      <c r="J45">
        <f t="shared" si="1"/>
        <v>1</v>
      </c>
      <c r="K45">
        <f t="shared" si="2"/>
        <v>227</v>
      </c>
      <c r="L45">
        <f t="shared" si="3"/>
        <v>226</v>
      </c>
      <c r="M45">
        <f t="shared" si="4"/>
        <v>51076</v>
      </c>
    </row>
    <row r="46" spans="1:13" ht="13.2" x14ac:dyDescent="0.25">
      <c r="A46" s="1" t="s">
        <v>19</v>
      </c>
      <c r="B46" s="1" t="s">
        <v>18</v>
      </c>
      <c r="C46" s="1" t="s">
        <v>14</v>
      </c>
      <c r="D46" s="1" t="s">
        <v>23</v>
      </c>
      <c r="E46" s="1" t="s">
        <v>12</v>
      </c>
      <c r="F46" s="1">
        <v>60</v>
      </c>
      <c r="G46" s="1">
        <v>57</v>
      </c>
      <c r="H46" s="1">
        <v>50</v>
      </c>
      <c r="I46">
        <f t="shared" si="0"/>
        <v>167</v>
      </c>
      <c r="J46">
        <f t="shared" si="1"/>
        <v>0</v>
      </c>
      <c r="K46">
        <f t="shared" si="2"/>
        <v>466</v>
      </c>
      <c r="L46">
        <f t="shared" si="3"/>
        <v>466</v>
      </c>
      <c r="M46">
        <f t="shared" si="4"/>
        <v>217156</v>
      </c>
    </row>
    <row r="47" spans="1:13" ht="13.2" x14ac:dyDescent="0.25">
      <c r="A47" s="1" t="s">
        <v>8</v>
      </c>
      <c r="B47" s="1" t="s">
        <v>18</v>
      </c>
      <c r="C47" s="1" t="s">
        <v>14</v>
      </c>
      <c r="D47" s="1" t="s">
        <v>11</v>
      </c>
      <c r="E47" s="1" t="s">
        <v>17</v>
      </c>
      <c r="F47" s="1">
        <v>86</v>
      </c>
      <c r="G47" s="1">
        <v>100</v>
      </c>
      <c r="H47" s="1">
        <v>100</v>
      </c>
      <c r="I47">
        <f t="shared" si="0"/>
        <v>286</v>
      </c>
      <c r="J47">
        <f t="shared" si="1"/>
        <v>1</v>
      </c>
      <c r="K47">
        <f t="shared" si="2"/>
        <v>18.5</v>
      </c>
      <c r="L47">
        <f t="shared" si="3"/>
        <v>17.5</v>
      </c>
      <c r="M47">
        <f t="shared" si="4"/>
        <v>306.25</v>
      </c>
    </row>
    <row r="48" spans="1:13" ht="13.2" x14ac:dyDescent="0.25">
      <c r="A48" s="1" t="s">
        <v>19</v>
      </c>
      <c r="B48" s="1" t="s">
        <v>18</v>
      </c>
      <c r="C48" s="1" t="s">
        <v>16</v>
      </c>
      <c r="D48" s="1" t="s">
        <v>11</v>
      </c>
      <c r="E48" s="1" t="s">
        <v>17</v>
      </c>
      <c r="F48" s="1">
        <v>66</v>
      </c>
      <c r="G48" s="1">
        <v>68</v>
      </c>
      <c r="H48" s="1">
        <v>69</v>
      </c>
      <c r="I48">
        <f t="shared" si="0"/>
        <v>203</v>
      </c>
      <c r="J48">
        <f t="shared" si="1"/>
        <v>1</v>
      </c>
      <c r="K48">
        <f t="shared" si="2"/>
        <v>286.5</v>
      </c>
      <c r="L48">
        <f t="shared" si="3"/>
        <v>285.5</v>
      </c>
      <c r="M48">
        <f t="shared" si="4"/>
        <v>81510.25</v>
      </c>
    </row>
    <row r="49" spans="1:13" ht="13.2" x14ac:dyDescent="0.25">
      <c r="A49" s="1" t="s">
        <v>8</v>
      </c>
      <c r="B49" s="1" t="s">
        <v>21</v>
      </c>
      <c r="C49" s="1" t="s">
        <v>14</v>
      </c>
      <c r="D49" s="1" t="s">
        <v>23</v>
      </c>
      <c r="E49" s="1" t="s">
        <v>12</v>
      </c>
      <c r="F49" s="1">
        <v>68</v>
      </c>
      <c r="G49" s="1">
        <v>65</v>
      </c>
      <c r="H49" s="1">
        <v>66</v>
      </c>
      <c r="I49">
        <f t="shared" si="0"/>
        <v>199</v>
      </c>
      <c r="J49">
        <f t="shared" si="1"/>
        <v>0</v>
      </c>
      <c r="K49">
        <f t="shared" si="2"/>
        <v>307.5</v>
      </c>
      <c r="L49">
        <f t="shared" si="3"/>
        <v>307.5</v>
      </c>
      <c r="M49">
        <f t="shared" si="4"/>
        <v>94556.25</v>
      </c>
    </row>
    <row r="50" spans="1:13" ht="13.2" x14ac:dyDescent="0.25">
      <c r="A50" s="1" t="s">
        <v>19</v>
      </c>
      <c r="B50" s="1" t="s">
        <v>21</v>
      </c>
      <c r="C50" s="1" t="s">
        <v>16</v>
      </c>
      <c r="D50" s="1" t="s">
        <v>11</v>
      </c>
      <c r="E50" s="1" t="s">
        <v>12</v>
      </c>
      <c r="F50" s="1">
        <v>94</v>
      </c>
      <c r="G50" s="1">
        <v>90</v>
      </c>
      <c r="H50" s="1">
        <v>89</v>
      </c>
      <c r="I50">
        <f t="shared" si="0"/>
        <v>273</v>
      </c>
      <c r="J50">
        <f t="shared" si="1"/>
        <v>0</v>
      </c>
      <c r="K50">
        <f t="shared" si="2"/>
        <v>37</v>
      </c>
      <c r="L50">
        <f t="shared" si="3"/>
        <v>37</v>
      </c>
      <c r="M50">
        <f t="shared" si="4"/>
        <v>1369</v>
      </c>
    </row>
    <row r="51" spans="1:13" ht="13.2" x14ac:dyDescent="0.25">
      <c r="A51" s="1" t="s">
        <v>8</v>
      </c>
      <c r="B51" s="1" t="s">
        <v>21</v>
      </c>
      <c r="C51" s="1" t="s">
        <v>10</v>
      </c>
      <c r="D51" s="1" t="s">
        <v>23</v>
      </c>
      <c r="E51" s="1" t="s">
        <v>17</v>
      </c>
      <c r="F51" s="1">
        <v>63</v>
      </c>
      <c r="G51" s="1">
        <v>69</v>
      </c>
      <c r="H51" s="1">
        <v>68</v>
      </c>
      <c r="I51">
        <f t="shared" si="0"/>
        <v>200</v>
      </c>
      <c r="J51">
        <f t="shared" si="1"/>
        <v>1</v>
      </c>
      <c r="K51">
        <f t="shared" si="2"/>
        <v>300.5</v>
      </c>
      <c r="L51">
        <f t="shared" si="3"/>
        <v>299.5</v>
      </c>
      <c r="M51">
        <f t="shared" si="4"/>
        <v>89700.25</v>
      </c>
    </row>
    <row r="52" spans="1:13" ht="13.2" x14ac:dyDescent="0.25">
      <c r="A52" s="1" t="s">
        <v>8</v>
      </c>
      <c r="B52" s="1" t="s">
        <v>18</v>
      </c>
      <c r="C52" s="1" t="s">
        <v>16</v>
      </c>
      <c r="D52" s="1" t="s">
        <v>11</v>
      </c>
      <c r="E52" s="1" t="s">
        <v>17</v>
      </c>
      <c r="F52" s="1">
        <v>76</v>
      </c>
      <c r="G52" s="1">
        <v>78</v>
      </c>
      <c r="H52" s="1">
        <v>82</v>
      </c>
      <c r="I52">
        <f t="shared" si="0"/>
        <v>236</v>
      </c>
      <c r="J52">
        <f t="shared" si="1"/>
        <v>1</v>
      </c>
      <c r="K52">
        <f t="shared" si="2"/>
        <v>148.5</v>
      </c>
      <c r="L52">
        <f t="shared" si="3"/>
        <v>147.5</v>
      </c>
      <c r="M52">
        <f t="shared" si="4"/>
        <v>21756.25</v>
      </c>
    </row>
    <row r="53" spans="1:13" ht="13.2" x14ac:dyDescent="0.25">
      <c r="A53" s="1" t="s">
        <v>19</v>
      </c>
      <c r="B53" s="1" t="s">
        <v>21</v>
      </c>
      <c r="C53" s="1" t="s">
        <v>10</v>
      </c>
      <c r="D53" s="1" t="s">
        <v>11</v>
      </c>
      <c r="E53" s="1" t="s">
        <v>17</v>
      </c>
      <c r="F53" s="1">
        <v>81</v>
      </c>
      <c r="G53" s="1">
        <v>63</v>
      </c>
      <c r="H53" s="1">
        <v>62</v>
      </c>
      <c r="I53">
        <f t="shared" si="0"/>
        <v>206</v>
      </c>
      <c r="J53">
        <f t="shared" si="1"/>
        <v>1</v>
      </c>
      <c r="K53">
        <f t="shared" si="2"/>
        <v>272.5</v>
      </c>
      <c r="L53">
        <f t="shared" si="3"/>
        <v>271.5</v>
      </c>
      <c r="M53">
        <f t="shared" si="4"/>
        <v>73712.25</v>
      </c>
    </row>
    <row r="54" spans="1:13" ht="13.2" x14ac:dyDescent="0.25">
      <c r="A54" s="1" t="s">
        <v>19</v>
      </c>
      <c r="B54" s="1" t="s">
        <v>18</v>
      </c>
      <c r="C54" s="1" t="s">
        <v>10</v>
      </c>
      <c r="D54" s="1" t="s">
        <v>11</v>
      </c>
      <c r="E54" s="1" t="s">
        <v>12</v>
      </c>
      <c r="F54" s="1">
        <v>72</v>
      </c>
      <c r="G54" s="1">
        <v>64</v>
      </c>
      <c r="H54" s="1">
        <v>61</v>
      </c>
      <c r="I54">
        <f t="shared" si="0"/>
        <v>197</v>
      </c>
      <c r="J54">
        <f t="shared" si="1"/>
        <v>0</v>
      </c>
      <c r="K54">
        <f t="shared" si="2"/>
        <v>317.5</v>
      </c>
      <c r="L54">
        <f t="shared" si="3"/>
        <v>317.5</v>
      </c>
      <c r="M54">
        <f t="shared" si="4"/>
        <v>100806.25</v>
      </c>
    </row>
    <row r="55" spans="1:13" ht="13.2" x14ac:dyDescent="0.25">
      <c r="A55" s="1" t="s">
        <v>19</v>
      </c>
      <c r="B55" s="1" t="s">
        <v>13</v>
      </c>
      <c r="C55" s="1" t="s">
        <v>16</v>
      </c>
      <c r="D55" s="1" t="s">
        <v>11</v>
      </c>
      <c r="E55" s="1" t="s">
        <v>12</v>
      </c>
      <c r="F55" s="1">
        <v>62</v>
      </c>
      <c r="G55" s="1">
        <v>65</v>
      </c>
      <c r="H55" s="1">
        <v>60</v>
      </c>
      <c r="I55">
        <f t="shared" si="0"/>
        <v>187</v>
      </c>
      <c r="J55">
        <f t="shared" si="1"/>
        <v>0</v>
      </c>
      <c r="K55">
        <f t="shared" si="2"/>
        <v>380</v>
      </c>
      <c r="L55">
        <f t="shared" si="3"/>
        <v>380</v>
      </c>
      <c r="M55">
        <f t="shared" si="4"/>
        <v>144400</v>
      </c>
    </row>
    <row r="56" spans="1:13" ht="13.2" x14ac:dyDescent="0.25">
      <c r="A56" s="1" t="s">
        <v>19</v>
      </c>
      <c r="B56" s="1" t="s">
        <v>9</v>
      </c>
      <c r="C56" s="1" t="s">
        <v>16</v>
      </c>
      <c r="D56" s="1" t="s">
        <v>23</v>
      </c>
      <c r="E56" s="1" t="s">
        <v>12</v>
      </c>
      <c r="F56" s="1">
        <v>45</v>
      </c>
      <c r="G56" s="1">
        <v>40</v>
      </c>
      <c r="H56" s="1">
        <v>43</v>
      </c>
      <c r="I56">
        <f t="shared" si="0"/>
        <v>128</v>
      </c>
      <c r="J56">
        <f t="shared" si="1"/>
        <v>0</v>
      </c>
      <c r="K56">
        <f t="shared" si="2"/>
        <v>574</v>
      </c>
      <c r="L56">
        <f t="shared" si="3"/>
        <v>574</v>
      </c>
      <c r="M56">
        <f t="shared" si="4"/>
        <v>329476</v>
      </c>
    </row>
    <row r="57" spans="1:13" ht="13.2" x14ac:dyDescent="0.25">
      <c r="A57" s="1" t="s">
        <v>19</v>
      </c>
      <c r="B57" s="1" t="s">
        <v>13</v>
      </c>
      <c r="C57" s="1" t="s">
        <v>22</v>
      </c>
      <c r="D57" s="1" t="s">
        <v>23</v>
      </c>
      <c r="E57" s="1" t="s">
        <v>12</v>
      </c>
      <c r="F57" s="1">
        <v>44</v>
      </c>
      <c r="G57" s="1">
        <v>48</v>
      </c>
      <c r="H57" s="1">
        <v>42</v>
      </c>
      <c r="I57">
        <f t="shared" si="0"/>
        <v>134</v>
      </c>
      <c r="J57">
        <f t="shared" si="1"/>
        <v>0</v>
      </c>
      <c r="K57">
        <f t="shared" si="2"/>
        <v>567</v>
      </c>
      <c r="L57">
        <f t="shared" si="3"/>
        <v>567</v>
      </c>
      <c r="M57">
        <f t="shared" si="4"/>
        <v>321489</v>
      </c>
    </row>
    <row r="58" spans="1:13" ht="13.2" x14ac:dyDescent="0.25">
      <c r="A58" s="1" t="s">
        <v>8</v>
      </c>
      <c r="B58" s="1" t="s">
        <v>13</v>
      </c>
      <c r="C58" s="1" t="s">
        <v>10</v>
      </c>
      <c r="D58" s="1" t="s">
        <v>11</v>
      </c>
      <c r="E58" s="1" t="s">
        <v>12</v>
      </c>
      <c r="F58" s="1">
        <v>50</v>
      </c>
      <c r="G58" s="1">
        <v>50</v>
      </c>
      <c r="H58" s="1">
        <v>59</v>
      </c>
      <c r="I58">
        <f t="shared" si="0"/>
        <v>159</v>
      </c>
      <c r="J58">
        <f t="shared" si="1"/>
        <v>0</v>
      </c>
      <c r="K58">
        <f t="shared" si="2"/>
        <v>495.5</v>
      </c>
      <c r="L58">
        <f t="shared" si="3"/>
        <v>495.5</v>
      </c>
      <c r="M58">
        <f t="shared" si="4"/>
        <v>245520.25</v>
      </c>
    </row>
    <row r="59" spans="1:13" ht="13.2" x14ac:dyDescent="0.25">
      <c r="A59" s="1" t="s">
        <v>19</v>
      </c>
      <c r="B59" s="1" t="s">
        <v>13</v>
      </c>
      <c r="C59" s="1" t="s">
        <v>10</v>
      </c>
      <c r="D59" s="1" t="s">
        <v>23</v>
      </c>
      <c r="E59" s="1" t="s">
        <v>12</v>
      </c>
      <c r="F59" s="1">
        <v>73</v>
      </c>
      <c r="G59" s="1">
        <v>65</v>
      </c>
      <c r="H59" s="1">
        <v>63</v>
      </c>
      <c r="I59">
        <f t="shared" si="0"/>
        <v>201</v>
      </c>
      <c r="J59">
        <f t="shared" si="1"/>
        <v>0</v>
      </c>
      <c r="K59">
        <f t="shared" si="2"/>
        <v>295.5</v>
      </c>
      <c r="L59">
        <f t="shared" si="3"/>
        <v>295.5</v>
      </c>
      <c r="M59">
        <f t="shared" si="4"/>
        <v>87320.25</v>
      </c>
    </row>
    <row r="60" spans="1:13" ht="13.2" x14ac:dyDescent="0.25">
      <c r="A60" s="1" t="s">
        <v>19</v>
      </c>
      <c r="B60" s="1" t="s">
        <v>18</v>
      </c>
      <c r="C60" s="1" t="s">
        <v>10</v>
      </c>
      <c r="D60" s="1" t="s">
        <v>23</v>
      </c>
      <c r="E60" s="1" t="s">
        <v>17</v>
      </c>
      <c r="F60" s="1">
        <v>84</v>
      </c>
      <c r="G60" s="1">
        <v>79</v>
      </c>
      <c r="H60" s="1">
        <v>81</v>
      </c>
      <c r="I60">
        <f t="shared" si="0"/>
        <v>244</v>
      </c>
      <c r="J60">
        <f t="shared" si="1"/>
        <v>1</v>
      </c>
      <c r="K60">
        <f t="shared" si="2"/>
        <v>115.5</v>
      </c>
      <c r="L60">
        <f t="shared" si="3"/>
        <v>114.5</v>
      </c>
      <c r="M60">
        <f t="shared" si="4"/>
        <v>13110.25</v>
      </c>
    </row>
    <row r="61" spans="1:13" ht="13.2" x14ac:dyDescent="0.25">
      <c r="A61" s="1" t="s">
        <v>8</v>
      </c>
      <c r="B61" s="1" t="s">
        <v>21</v>
      </c>
      <c r="C61" s="1" t="s">
        <v>10</v>
      </c>
      <c r="D61" s="1" t="s">
        <v>23</v>
      </c>
      <c r="E61" s="1" t="s">
        <v>12</v>
      </c>
      <c r="F61" s="1">
        <v>60</v>
      </c>
      <c r="G61" s="1">
        <v>80</v>
      </c>
      <c r="H61" s="1">
        <v>69</v>
      </c>
      <c r="I61">
        <f t="shared" si="0"/>
        <v>209</v>
      </c>
      <c r="J61">
        <f t="shared" si="1"/>
        <v>0</v>
      </c>
      <c r="K61">
        <f t="shared" si="2"/>
        <v>257.5</v>
      </c>
      <c r="L61">
        <f t="shared" si="3"/>
        <v>257.5</v>
      </c>
      <c r="M61">
        <f t="shared" si="4"/>
        <v>66306.25</v>
      </c>
    </row>
    <row r="62" spans="1:13" ht="13.2" x14ac:dyDescent="0.25">
      <c r="A62" s="1" t="s">
        <v>8</v>
      </c>
      <c r="B62" s="1" t="s">
        <v>21</v>
      </c>
      <c r="C62" s="1" t="s">
        <v>16</v>
      </c>
      <c r="D62" s="1" t="s">
        <v>23</v>
      </c>
      <c r="E62" s="1" t="s">
        <v>17</v>
      </c>
      <c r="F62" s="1">
        <v>95</v>
      </c>
      <c r="G62" s="1">
        <v>96</v>
      </c>
      <c r="H62" s="1">
        <v>100</v>
      </c>
      <c r="I62">
        <f t="shared" si="0"/>
        <v>291</v>
      </c>
      <c r="J62">
        <f t="shared" si="1"/>
        <v>1</v>
      </c>
      <c r="K62">
        <f t="shared" si="2"/>
        <v>10</v>
      </c>
      <c r="L62">
        <f t="shared" si="3"/>
        <v>9</v>
      </c>
      <c r="M62">
        <f t="shared" si="4"/>
        <v>81</v>
      </c>
    </row>
    <row r="63" spans="1:13" ht="13.2" x14ac:dyDescent="0.25">
      <c r="A63" s="1" t="s">
        <v>19</v>
      </c>
      <c r="B63" s="1" t="s">
        <v>9</v>
      </c>
      <c r="C63" s="1" t="s">
        <v>10</v>
      </c>
      <c r="D63" s="1" t="s">
        <v>11</v>
      </c>
      <c r="E63" s="1" t="s">
        <v>17</v>
      </c>
      <c r="F63" s="1">
        <v>71</v>
      </c>
      <c r="G63" s="1">
        <v>73</v>
      </c>
      <c r="H63" s="1">
        <v>69</v>
      </c>
      <c r="I63">
        <f t="shared" si="0"/>
        <v>213</v>
      </c>
      <c r="J63">
        <f t="shared" si="1"/>
        <v>1</v>
      </c>
      <c r="K63">
        <f t="shared" si="2"/>
        <v>241</v>
      </c>
      <c r="L63">
        <f t="shared" si="3"/>
        <v>240</v>
      </c>
      <c r="M63">
        <f t="shared" si="4"/>
        <v>57600</v>
      </c>
    </row>
    <row r="64" spans="1:13" ht="13.2" x14ac:dyDescent="0.25">
      <c r="A64" s="1" t="s">
        <v>8</v>
      </c>
      <c r="B64" s="1" t="s">
        <v>18</v>
      </c>
      <c r="C64" s="1" t="s">
        <v>10</v>
      </c>
      <c r="D64" s="1" t="s">
        <v>11</v>
      </c>
      <c r="E64" s="1" t="s">
        <v>12</v>
      </c>
      <c r="F64" s="1">
        <v>56</v>
      </c>
      <c r="G64" s="1">
        <v>72</v>
      </c>
      <c r="H64" s="1">
        <v>68</v>
      </c>
      <c r="I64">
        <f t="shared" si="0"/>
        <v>196</v>
      </c>
      <c r="J64">
        <f t="shared" si="1"/>
        <v>0</v>
      </c>
      <c r="K64">
        <f t="shared" si="2"/>
        <v>323.5</v>
      </c>
      <c r="L64">
        <f t="shared" si="3"/>
        <v>323.5</v>
      </c>
      <c r="M64">
        <f t="shared" si="4"/>
        <v>104652.25</v>
      </c>
    </row>
    <row r="65" spans="1:13" ht="13.2" x14ac:dyDescent="0.25">
      <c r="A65" s="1" t="s">
        <v>8</v>
      </c>
      <c r="B65" s="1" t="s">
        <v>15</v>
      </c>
      <c r="C65" s="1" t="s">
        <v>14</v>
      </c>
      <c r="D65" s="1" t="s">
        <v>23</v>
      </c>
      <c r="E65" s="1" t="s">
        <v>12</v>
      </c>
      <c r="F65" s="1">
        <v>61</v>
      </c>
      <c r="G65" s="1">
        <v>62</v>
      </c>
      <c r="H65" s="1">
        <v>68</v>
      </c>
      <c r="I65">
        <f t="shared" si="0"/>
        <v>191</v>
      </c>
      <c r="J65">
        <f t="shared" si="1"/>
        <v>0</v>
      </c>
      <c r="K65">
        <f t="shared" si="2"/>
        <v>353.5</v>
      </c>
      <c r="L65">
        <f t="shared" si="3"/>
        <v>353.5</v>
      </c>
      <c r="M65">
        <f t="shared" si="4"/>
        <v>124962.25</v>
      </c>
    </row>
    <row r="66" spans="1:13" ht="13.2" x14ac:dyDescent="0.25">
      <c r="A66" s="1" t="s">
        <v>19</v>
      </c>
      <c r="B66" s="1" t="s">
        <v>21</v>
      </c>
      <c r="C66" s="1" t="s">
        <v>16</v>
      </c>
      <c r="D66" s="1" t="s">
        <v>11</v>
      </c>
      <c r="E66" s="1" t="s">
        <v>12</v>
      </c>
      <c r="F66" s="1">
        <v>100</v>
      </c>
      <c r="G66" s="1">
        <v>95</v>
      </c>
      <c r="H66" s="1">
        <v>94</v>
      </c>
      <c r="I66">
        <f t="shared" si="0"/>
        <v>289</v>
      </c>
      <c r="J66">
        <f t="shared" si="1"/>
        <v>0</v>
      </c>
      <c r="K66">
        <f t="shared" si="2"/>
        <v>12.5</v>
      </c>
      <c r="L66">
        <f t="shared" si="3"/>
        <v>12.5</v>
      </c>
      <c r="M66">
        <f t="shared" si="4"/>
        <v>156.25</v>
      </c>
    </row>
    <row r="67" spans="1:13" ht="13.2" x14ac:dyDescent="0.25">
      <c r="A67" s="1" t="s">
        <v>19</v>
      </c>
      <c r="B67" s="1" t="s">
        <v>21</v>
      </c>
      <c r="C67" s="1" t="s">
        <v>16</v>
      </c>
      <c r="D67" s="1" t="s">
        <v>11</v>
      </c>
      <c r="E67" s="1" t="s">
        <v>17</v>
      </c>
      <c r="F67" s="1">
        <v>100</v>
      </c>
      <c r="G67" s="1">
        <v>92</v>
      </c>
      <c r="H67" s="1">
        <v>94</v>
      </c>
      <c r="I67">
        <f t="shared" ref="I67:I130" si="5">SUM(F67:H67)</f>
        <v>286</v>
      </c>
      <c r="J67">
        <f t="shared" ref="J67:J130" si="6">IF(E67="completed", 1, IF(E67="none", 0, ""))</f>
        <v>1</v>
      </c>
      <c r="K67">
        <f t="shared" ref="K67:K130" si="7">_xlfn.RANK.AVG(I67, I$2:I$601, 0)</f>
        <v>18.5</v>
      </c>
      <c r="L67">
        <f t="shared" ref="L67:L130" si="8">K67-J67</f>
        <v>17.5</v>
      </c>
      <c r="M67">
        <f t="shared" ref="M67:M130" si="9">L67^2</f>
        <v>306.25</v>
      </c>
    </row>
    <row r="68" spans="1:13" ht="13.2" x14ac:dyDescent="0.25">
      <c r="A68" s="1" t="s">
        <v>19</v>
      </c>
      <c r="B68" s="1" t="s">
        <v>13</v>
      </c>
      <c r="C68" s="1" t="s">
        <v>10</v>
      </c>
      <c r="D68" s="1" t="s">
        <v>23</v>
      </c>
      <c r="E68" s="1" t="s">
        <v>12</v>
      </c>
      <c r="F68" s="1">
        <v>60</v>
      </c>
      <c r="G68" s="1">
        <v>64</v>
      </c>
      <c r="H68" s="1">
        <v>63</v>
      </c>
      <c r="I68">
        <f t="shared" si="5"/>
        <v>187</v>
      </c>
      <c r="J68">
        <f t="shared" si="6"/>
        <v>0</v>
      </c>
      <c r="K68">
        <f t="shared" si="7"/>
        <v>380</v>
      </c>
      <c r="L68">
        <f t="shared" si="8"/>
        <v>380</v>
      </c>
      <c r="M68">
        <f t="shared" si="9"/>
        <v>144400</v>
      </c>
    </row>
    <row r="69" spans="1:13" ht="13.2" x14ac:dyDescent="0.25">
      <c r="A69" s="1" t="s">
        <v>19</v>
      </c>
      <c r="B69" s="1" t="s">
        <v>13</v>
      </c>
      <c r="C69" s="1" t="s">
        <v>24</v>
      </c>
      <c r="D69" s="1" t="s">
        <v>11</v>
      </c>
      <c r="E69" s="1" t="s">
        <v>17</v>
      </c>
      <c r="F69" s="1">
        <v>67</v>
      </c>
      <c r="G69" s="1">
        <v>67</v>
      </c>
      <c r="H69" s="1">
        <v>65</v>
      </c>
      <c r="I69">
        <f t="shared" si="5"/>
        <v>199</v>
      </c>
      <c r="J69">
        <f t="shared" si="6"/>
        <v>1</v>
      </c>
      <c r="K69">
        <f t="shared" si="7"/>
        <v>307.5</v>
      </c>
      <c r="L69">
        <f t="shared" si="8"/>
        <v>306.5</v>
      </c>
      <c r="M69">
        <f t="shared" si="9"/>
        <v>93942.25</v>
      </c>
    </row>
    <row r="70" spans="1:13" ht="13.2" x14ac:dyDescent="0.25">
      <c r="A70" s="1" t="s">
        <v>19</v>
      </c>
      <c r="B70" s="1" t="s">
        <v>18</v>
      </c>
      <c r="C70" s="1" t="s">
        <v>16</v>
      </c>
      <c r="D70" s="1" t="s">
        <v>11</v>
      </c>
      <c r="E70" s="1" t="s">
        <v>17</v>
      </c>
      <c r="F70" s="1">
        <v>80</v>
      </c>
      <c r="G70" s="1">
        <v>76</v>
      </c>
      <c r="H70" s="1">
        <v>76</v>
      </c>
      <c r="I70">
        <f t="shared" si="5"/>
        <v>232</v>
      </c>
      <c r="J70">
        <f t="shared" si="6"/>
        <v>1</v>
      </c>
      <c r="K70">
        <f t="shared" si="7"/>
        <v>165.5</v>
      </c>
      <c r="L70">
        <f t="shared" si="8"/>
        <v>164.5</v>
      </c>
      <c r="M70">
        <f t="shared" si="9"/>
        <v>27060.25</v>
      </c>
    </row>
    <row r="71" spans="1:13" ht="13.2" x14ac:dyDescent="0.25">
      <c r="A71" s="1" t="s">
        <v>8</v>
      </c>
      <c r="B71" s="1" t="s">
        <v>9</v>
      </c>
      <c r="C71" s="1" t="s">
        <v>10</v>
      </c>
      <c r="D71" s="1" t="s">
        <v>11</v>
      </c>
      <c r="E71" s="1" t="s">
        <v>17</v>
      </c>
      <c r="F71" s="1">
        <v>77</v>
      </c>
      <c r="G71" s="1">
        <v>87</v>
      </c>
      <c r="H71" s="1">
        <v>91</v>
      </c>
      <c r="I71">
        <f t="shared" si="5"/>
        <v>255</v>
      </c>
      <c r="J71">
        <f t="shared" si="6"/>
        <v>1</v>
      </c>
      <c r="K71">
        <f t="shared" si="7"/>
        <v>80</v>
      </c>
      <c r="L71">
        <f t="shared" si="8"/>
        <v>79</v>
      </c>
      <c r="M71">
        <f t="shared" si="9"/>
        <v>6241</v>
      </c>
    </row>
    <row r="72" spans="1:13" ht="13.2" x14ac:dyDescent="0.25">
      <c r="A72" s="1" t="s">
        <v>19</v>
      </c>
      <c r="B72" s="1" t="s">
        <v>18</v>
      </c>
      <c r="C72" s="1" t="s">
        <v>14</v>
      </c>
      <c r="D72" s="1" t="s">
        <v>11</v>
      </c>
      <c r="E72" s="1" t="s">
        <v>12</v>
      </c>
      <c r="F72" s="1">
        <v>70</v>
      </c>
      <c r="G72" s="1">
        <v>65</v>
      </c>
      <c r="H72" s="1">
        <v>64</v>
      </c>
      <c r="I72">
        <f t="shared" si="5"/>
        <v>199</v>
      </c>
      <c r="J72">
        <f t="shared" si="6"/>
        <v>0</v>
      </c>
      <c r="K72">
        <f t="shared" si="7"/>
        <v>307.5</v>
      </c>
      <c r="L72">
        <f t="shared" si="8"/>
        <v>307.5</v>
      </c>
      <c r="M72">
        <f t="shared" si="9"/>
        <v>94556.25</v>
      </c>
    </row>
    <row r="73" spans="1:13" ht="13.2" x14ac:dyDescent="0.25">
      <c r="A73" s="1" t="s">
        <v>8</v>
      </c>
      <c r="B73" s="1" t="s">
        <v>18</v>
      </c>
      <c r="C73" s="1" t="s">
        <v>14</v>
      </c>
      <c r="D73" s="1" t="s">
        <v>11</v>
      </c>
      <c r="E73" s="1" t="s">
        <v>17</v>
      </c>
      <c r="F73" s="1">
        <v>50</v>
      </c>
      <c r="G73" s="1">
        <v>64</v>
      </c>
      <c r="H73" s="1">
        <v>72</v>
      </c>
      <c r="I73">
        <f t="shared" si="5"/>
        <v>186</v>
      </c>
      <c r="J73">
        <f t="shared" si="6"/>
        <v>1</v>
      </c>
      <c r="K73">
        <f t="shared" si="7"/>
        <v>385.5</v>
      </c>
      <c r="L73">
        <f t="shared" si="8"/>
        <v>384.5</v>
      </c>
      <c r="M73">
        <f t="shared" si="9"/>
        <v>147840.25</v>
      </c>
    </row>
    <row r="74" spans="1:13" ht="13.2" x14ac:dyDescent="0.25">
      <c r="A74" s="1" t="s">
        <v>8</v>
      </c>
      <c r="B74" s="1" t="s">
        <v>13</v>
      </c>
      <c r="C74" s="1" t="s">
        <v>20</v>
      </c>
      <c r="D74" s="1" t="s">
        <v>11</v>
      </c>
      <c r="E74" s="1" t="s">
        <v>12</v>
      </c>
      <c r="F74" s="1">
        <v>82</v>
      </c>
      <c r="G74" s="1">
        <v>90</v>
      </c>
      <c r="H74" s="1">
        <v>87</v>
      </c>
      <c r="I74">
        <f t="shared" si="5"/>
        <v>259</v>
      </c>
      <c r="J74">
        <f t="shared" si="6"/>
        <v>0</v>
      </c>
      <c r="K74">
        <f t="shared" si="7"/>
        <v>66</v>
      </c>
      <c r="L74">
        <f t="shared" si="8"/>
        <v>66</v>
      </c>
      <c r="M74">
        <f t="shared" si="9"/>
        <v>4356</v>
      </c>
    </row>
    <row r="75" spans="1:13" ht="13.2" x14ac:dyDescent="0.25">
      <c r="A75" s="1" t="s">
        <v>19</v>
      </c>
      <c r="B75" s="1" t="s">
        <v>18</v>
      </c>
      <c r="C75" s="1" t="s">
        <v>14</v>
      </c>
      <c r="D75" s="1" t="s">
        <v>23</v>
      </c>
      <c r="E75" s="1" t="s">
        <v>17</v>
      </c>
      <c r="F75" s="1">
        <v>60</v>
      </c>
      <c r="G75" s="1">
        <v>65</v>
      </c>
      <c r="H75" s="1">
        <v>68</v>
      </c>
      <c r="I75">
        <f t="shared" si="5"/>
        <v>193</v>
      </c>
      <c r="J75">
        <f t="shared" si="6"/>
        <v>1</v>
      </c>
      <c r="K75">
        <f t="shared" si="7"/>
        <v>344</v>
      </c>
      <c r="L75">
        <f t="shared" si="8"/>
        <v>343</v>
      </c>
      <c r="M75">
        <f t="shared" si="9"/>
        <v>117649</v>
      </c>
    </row>
    <row r="76" spans="1:13" ht="13.2" x14ac:dyDescent="0.25">
      <c r="A76" s="1" t="s">
        <v>8</v>
      </c>
      <c r="B76" s="1" t="s">
        <v>18</v>
      </c>
      <c r="C76" s="1" t="s">
        <v>10</v>
      </c>
      <c r="D76" s="1" t="s">
        <v>11</v>
      </c>
      <c r="E76" s="1" t="s">
        <v>17</v>
      </c>
      <c r="F76" s="1">
        <v>67</v>
      </c>
      <c r="G76" s="1">
        <v>70</v>
      </c>
      <c r="H76" s="1">
        <v>78</v>
      </c>
      <c r="I76">
        <f t="shared" si="5"/>
        <v>215</v>
      </c>
      <c r="J76">
        <f t="shared" si="6"/>
        <v>1</v>
      </c>
      <c r="K76">
        <f t="shared" si="7"/>
        <v>235.5</v>
      </c>
      <c r="L76">
        <f t="shared" si="8"/>
        <v>234.5</v>
      </c>
      <c r="M76">
        <f t="shared" si="9"/>
        <v>54990.25</v>
      </c>
    </row>
    <row r="77" spans="1:13" ht="13.2" x14ac:dyDescent="0.25">
      <c r="A77" s="1" t="s">
        <v>8</v>
      </c>
      <c r="B77" s="1" t="s">
        <v>18</v>
      </c>
      <c r="C77" s="1" t="s">
        <v>10</v>
      </c>
      <c r="D77" s="1" t="s">
        <v>23</v>
      </c>
      <c r="E77" s="1" t="s">
        <v>17</v>
      </c>
      <c r="F77" s="1">
        <v>73</v>
      </c>
      <c r="G77" s="1">
        <v>87</v>
      </c>
      <c r="H77" s="1">
        <v>86</v>
      </c>
      <c r="I77">
        <f t="shared" si="5"/>
        <v>246</v>
      </c>
      <c r="J77">
        <f t="shared" si="6"/>
        <v>1</v>
      </c>
      <c r="K77">
        <f t="shared" si="7"/>
        <v>109.5</v>
      </c>
      <c r="L77">
        <f t="shared" si="8"/>
        <v>108.5</v>
      </c>
      <c r="M77">
        <f t="shared" si="9"/>
        <v>11772.25</v>
      </c>
    </row>
    <row r="78" spans="1:13" ht="13.2" x14ac:dyDescent="0.25">
      <c r="A78" s="1" t="s">
        <v>19</v>
      </c>
      <c r="B78" s="1" t="s">
        <v>21</v>
      </c>
      <c r="C78" s="1" t="s">
        <v>10</v>
      </c>
      <c r="D78" s="1" t="s">
        <v>11</v>
      </c>
      <c r="E78" s="1" t="s">
        <v>12</v>
      </c>
      <c r="F78" s="1">
        <v>86</v>
      </c>
      <c r="G78" s="1">
        <v>73</v>
      </c>
      <c r="H78" s="1">
        <v>69</v>
      </c>
      <c r="I78">
        <f t="shared" si="5"/>
        <v>228</v>
      </c>
      <c r="J78">
        <f t="shared" si="6"/>
        <v>0</v>
      </c>
      <c r="K78">
        <f t="shared" si="7"/>
        <v>176.5</v>
      </c>
      <c r="L78">
        <f t="shared" si="8"/>
        <v>176.5</v>
      </c>
      <c r="M78">
        <f t="shared" si="9"/>
        <v>31152.25</v>
      </c>
    </row>
    <row r="79" spans="1:13" ht="13.2" x14ac:dyDescent="0.25">
      <c r="A79" s="1" t="s">
        <v>8</v>
      </c>
      <c r="B79" s="1" t="s">
        <v>18</v>
      </c>
      <c r="C79" s="1" t="s">
        <v>14</v>
      </c>
      <c r="D79" s="1" t="s">
        <v>11</v>
      </c>
      <c r="E79" s="1" t="s">
        <v>12</v>
      </c>
      <c r="F79" s="1">
        <v>41</v>
      </c>
      <c r="G79" s="1">
        <v>48</v>
      </c>
      <c r="H79" s="1">
        <v>46</v>
      </c>
      <c r="I79">
        <f t="shared" si="5"/>
        <v>135</v>
      </c>
      <c r="J79">
        <f t="shared" si="6"/>
        <v>0</v>
      </c>
      <c r="K79">
        <f t="shared" si="7"/>
        <v>564.5</v>
      </c>
      <c r="L79">
        <f t="shared" si="8"/>
        <v>564.5</v>
      </c>
      <c r="M79">
        <f t="shared" si="9"/>
        <v>318660.25</v>
      </c>
    </row>
    <row r="80" spans="1:13" ht="13.2" x14ac:dyDescent="0.25">
      <c r="A80" s="1" t="s">
        <v>8</v>
      </c>
      <c r="B80" s="1" t="s">
        <v>9</v>
      </c>
      <c r="C80" s="1" t="s">
        <v>16</v>
      </c>
      <c r="D80" s="1" t="s">
        <v>23</v>
      </c>
      <c r="E80" s="1" t="s">
        <v>12</v>
      </c>
      <c r="F80" s="1">
        <v>48</v>
      </c>
      <c r="G80" s="1">
        <v>77</v>
      </c>
      <c r="H80" s="1">
        <v>73</v>
      </c>
      <c r="I80">
        <f t="shared" si="5"/>
        <v>198</v>
      </c>
      <c r="J80">
        <f t="shared" si="6"/>
        <v>0</v>
      </c>
      <c r="K80">
        <f t="shared" si="7"/>
        <v>313</v>
      </c>
      <c r="L80">
        <f t="shared" si="8"/>
        <v>313</v>
      </c>
      <c r="M80">
        <f t="shared" si="9"/>
        <v>97969</v>
      </c>
    </row>
    <row r="81" spans="1:13" ht="13.2" x14ac:dyDescent="0.25">
      <c r="A81" s="1" t="s">
        <v>8</v>
      </c>
      <c r="B81" s="1" t="s">
        <v>9</v>
      </c>
      <c r="C81" s="1" t="s">
        <v>10</v>
      </c>
      <c r="D81" s="1" t="s">
        <v>23</v>
      </c>
      <c r="E81" s="1" t="s">
        <v>12</v>
      </c>
      <c r="F81" s="1">
        <v>39</v>
      </c>
      <c r="G81" s="1">
        <v>49</v>
      </c>
      <c r="H81" s="1">
        <v>49</v>
      </c>
      <c r="I81">
        <f t="shared" si="5"/>
        <v>137</v>
      </c>
      <c r="J81">
        <f t="shared" si="6"/>
        <v>0</v>
      </c>
      <c r="K81">
        <f t="shared" si="7"/>
        <v>557</v>
      </c>
      <c r="L81">
        <f t="shared" si="8"/>
        <v>557</v>
      </c>
      <c r="M81">
        <f t="shared" si="9"/>
        <v>310249</v>
      </c>
    </row>
    <row r="82" spans="1:13" ht="13.2" x14ac:dyDescent="0.25">
      <c r="A82" s="1" t="s">
        <v>8</v>
      </c>
      <c r="B82" s="1" t="s">
        <v>13</v>
      </c>
      <c r="C82" s="1" t="s">
        <v>22</v>
      </c>
      <c r="D82" s="1" t="s">
        <v>23</v>
      </c>
      <c r="E82" s="1" t="s">
        <v>17</v>
      </c>
      <c r="F82" s="1">
        <v>34</v>
      </c>
      <c r="G82" s="1">
        <v>60</v>
      </c>
      <c r="H82" s="1">
        <v>62</v>
      </c>
      <c r="I82">
        <f t="shared" si="5"/>
        <v>156</v>
      </c>
      <c r="J82">
        <f t="shared" si="6"/>
        <v>1</v>
      </c>
      <c r="K82">
        <f t="shared" si="7"/>
        <v>507</v>
      </c>
      <c r="L82">
        <f t="shared" si="8"/>
        <v>506</v>
      </c>
      <c r="M82">
        <f t="shared" si="9"/>
        <v>256036</v>
      </c>
    </row>
    <row r="83" spans="1:13" ht="13.2" x14ac:dyDescent="0.25">
      <c r="A83" s="1" t="s">
        <v>8</v>
      </c>
      <c r="B83" s="1" t="s">
        <v>18</v>
      </c>
      <c r="C83" s="1" t="s">
        <v>14</v>
      </c>
      <c r="D83" s="1" t="s">
        <v>11</v>
      </c>
      <c r="E83" s="1" t="s">
        <v>12</v>
      </c>
      <c r="F83" s="1">
        <v>54</v>
      </c>
      <c r="G83" s="1">
        <v>60</v>
      </c>
      <c r="H83" s="1">
        <v>55</v>
      </c>
      <c r="I83">
        <f t="shared" si="5"/>
        <v>169</v>
      </c>
      <c r="J83">
        <f t="shared" si="6"/>
        <v>0</v>
      </c>
      <c r="K83">
        <f t="shared" si="7"/>
        <v>460</v>
      </c>
      <c r="L83">
        <f t="shared" si="8"/>
        <v>460</v>
      </c>
      <c r="M83">
        <f t="shared" si="9"/>
        <v>211600</v>
      </c>
    </row>
    <row r="84" spans="1:13" ht="13.2" x14ac:dyDescent="0.25">
      <c r="A84" s="1" t="s">
        <v>19</v>
      </c>
      <c r="B84" s="1" t="s">
        <v>18</v>
      </c>
      <c r="C84" s="1" t="s">
        <v>24</v>
      </c>
      <c r="D84" s="1" t="s">
        <v>11</v>
      </c>
      <c r="E84" s="1" t="s">
        <v>12</v>
      </c>
      <c r="F84" s="1">
        <v>99</v>
      </c>
      <c r="G84" s="1">
        <v>95</v>
      </c>
      <c r="H84" s="1">
        <v>93</v>
      </c>
      <c r="I84">
        <f t="shared" si="5"/>
        <v>287</v>
      </c>
      <c r="J84">
        <f t="shared" si="6"/>
        <v>0</v>
      </c>
      <c r="K84">
        <f t="shared" si="7"/>
        <v>15.5</v>
      </c>
      <c r="L84">
        <f t="shared" si="8"/>
        <v>15.5</v>
      </c>
      <c r="M84">
        <f t="shared" si="9"/>
        <v>240.25</v>
      </c>
    </row>
    <row r="85" spans="1:13" ht="13.2" x14ac:dyDescent="0.25">
      <c r="A85" s="1" t="s">
        <v>8</v>
      </c>
      <c r="B85" s="1" t="s">
        <v>13</v>
      </c>
      <c r="C85" s="1" t="s">
        <v>22</v>
      </c>
      <c r="D85" s="1" t="s">
        <v>11</v>
      </c>
      <c r="E85" s="1" t="s">
        <v>17</v>
      </c>
      <c r="F85" s="1">
        <v>52</v>
      </c>
      <c r="G85" s="1">
        <v>69</v>
      </c>
      <c r="H85" s="1">
        <v>67</v>
      </c>
      <c r="I85">
        <f t="shared" si="5"/>
        <v>188</v>
      </c>
      <c r="J85">
        <f t="shared" si="6"/>
        <v>1</v>
      </c>
      <c r="K85">
        <f t="shared" si="7"/>
        <v>373</v>
      </c>
      <c r="L85">
        <f t="shared" si="8"/>
        <v>372</v>
      </c>
      <c r="M85">
        <f t="shared" si="9"/>
        <v>138384</v>
      </c>
    </row>
    <row r="86" spans="1:13" ht="13.2" x14ac:dyDescent="0.25">
      <c r="A86" s="1" t="s">
        <v>8</v>
      </c>
      <c r="B86" s="1" t="s">
        <v>13</v>
      </c>
      <c r="C86" s="1" t="s">
        <v>14</v>
      </c>
      <c r="D86" s="1" t="s">
        <v>23</v>
      </c>
      <c r="E86" s="1" t="s">
        <v>12</v>
      </c>
      <c r="F86" s="1">
        <v>80</v>
      </c>
      <c r="G86" s="1">
        <v>89</v>
      </c>
      <c r="H86" s="1">
        <v>90</v>
      </c>
      <c r="I86">
        <f t="shared" si="5"/>
        <v>259</v>
      </c>
      <c r="J86">
        <f t="shared" si="6"/>
        <v>0</v>
      </c>
      <c r="K86">
        <f t="shared" si="7"/>
        <v>66</v>
      </c>
      <c r="L86">
        <f t="shared" si="8"/>
        <v>66</v>
      </c>
      <c r="M86">
        <f t="shared" si="9"/>
        <v>4356</v>
      </c>
    </row>
    <row r="87" spans="1:13" ht="13.2" x14ac:dyDescent="0.25">
      <c r="A87" s="1" t="s">
        <v>8</v>
      </c>
      <c r="B87" s="1" t="s">
        <v>21</v>
      </c>
      <c r="C87" s="1" t="s">
        <v>16</v>
      </c>
      <c r="D87" s="1" t="s">
        <v>23</v>
      </c>
      <c r="E87" s="1" t="s">
        <v>12</v>
      </c>
      <c r="F87" s="1">
        <v>66</v>
      </c>
      <c r="G87" s="1">
        <v>88</v>
      </c>
      <c r="H87" s="1">
        <v>81</v>
      </c>
      <c r="I87">
        <f t="shared" si="5"/>
        <v>235</v>
      </c>
      <c r="J87">
        <f t="shared" si="6"/>
        <v>0</v>
      </c>
      <c r="K87">
        <f t="shared" si="7"/>
        <v>154</v>
      </c>
      <c r="L87">
        <f t="shared" si="8"/>
        <v>154</v>
      </c>
      <c r="M87">
        <f t="shared" si="9"/>
        <v>23716</v>
      </c>
    </row>
    <row r="88" spans="1:13" ht="13.2" x14ac:dyDescent="0.25">
      <c r="A88" s="1" t="s">
        <v>8</v>
      </c>
      <c r="B88" s="1" t="s">
        <v>21</v>
      </c>
      <c r="C88" s="1" t="s">
        <v>10</v>
      </c>
      <c r="D88" s="1" t="s">
        <v>11</v>
      </c>
      <c r="E88" s="1" t="s">
        <v>12</v>
      </c>
      <c r="F88" s="1">
        <v>75</v>
      </c>
      <c r="G88" s="1">
        <v>73</v>
      </c>
      <c r="H88" s="1">
        <v>78</v>
      </c>
      <c r="I88">
        <f t="shared" si="5"/>
        <v>226</v>
      </c>
      <c r="J88">
        <f t="shared" si="6"/>
        <v>0</v>
      </c>
      <c r="K88">
        <f t="shared" si="7"/>
        <v>186.5</v>
      </c>
      <c r="L88">
        <f t="shared" si="8"/>
        <v>186.5</v>
      </c>
      <c r="M88">
        <f t="shared" si="9"/>
        <v>34782.25</v>
      </c>
    </row>
    <row r="89" spans="1:13" ht="13.2" x14ac:dyDescent="0.25">
      <c r="A89" s="1" t="s">
        <v>8</v>
      </c>
      <c r="B89" s="1" t="s">
        <v>13</v>
      </c>
      <c r="C89" s="1" t="s">
        <v>16</v>
      </c>
      <c r="D89" s="1" t="s">
        <v>23</v>
      </c>
      <c r="E89" s="1" t="s">
        <v>12</v>
      </c>
      <c r="F89" s="1">
        <v>56</v>
      </c>
      <c r="G89" s="1">
        <v>65</v>
      </c>
      <c r="H89" s="1">
        <v>74</v>
      </c>
      <c r="I89">
        <f t="shared" si="5"/>
        <v>195</v>
      </c>
      <c r="J89">
        <f t="shared" si="6"/>
        <v>0</v>
      </c>
      <c r="K89">
        <f t="shared" si="7"/>
        <v>331.5</v>
      </c>
      <c r="L89">
        <f t="shared" si="8"/>
        <v>331.5</v>
      </c>
      <c r="M89">
        <f t="shared" si="9"/>
        <v>109892.25</v>
      </c>
    </row>
    <row r="90" spans="1:13" ht="13.2" x14ac:dyDescent="0.25">
      <c r="A90" s="1" t="s">
        <v>19</v>
      </c>
      <c r="B90" s="1" t="s">
        <v>13</v>
      </c>
      <c r="C90" s="1" t="s">
        <v>24</v>
      </c>
      <c r="D90" s="1" t="s">
        <v>11</v>
      </c>
      <c r="E90" s="1" t="s">
        <v>12</v>
      </c>
      <c r="F90" s="1">
        <v>100</v>
      </c>
      <c r="G90" s="1">
        <v>97</v>
      </c>
      <c r="H90" s="1">
        <v>93</v>
      </c>
      <c r="I90">
        <f t="shared" si="5"/>
        <v>290</v>
      </c>
      <c r="J90">
        <f t="shared" si="6"/>
        <v>0</v>
      </c>
      <c r="K90">
        <f t="shared" si="7"/>
        <v>11</v>
      </c>
      <c r="L90">
        <f t="shared" si="8"/>
        <v>11</v>
      </c>
      <c r="M90">
        <f t="shared" si="9"/>
        <v>121</v>
      </c>
    </row>
    <row r="91" spans="1:13" ht="13.2" x14ac:dyDescent="0.25">
      <c r="A91" s="1" t="s">
        <v>19</v>
      </c>
      <c r="B91" s="1" t="s">
        <v>18</v>
      </c>
      <c r="C91" s="1" t="s">
        <v>22</v>
      </c>
      <c r="D91" s="1" t="s">
        <v>11</v>
      </c>
      <c r="E91" s="1" t="s">
        <v>12</v>
      </c>
      <c r="F91" s="1">
        <v>80</v>
      </c>
      <c r="G91" s="1">
        <v>70</v>
      </c>
      <c r="H91" s="1">
        <v>70</v>
      </c>
      <c r="I91">
        <f t="shared" si="5"/>
        <v>220</v>
      </c>
      <c r="J91">
        <f t="shared" si="6"/>
        <v>0</v>
      </c>
      <c r="K91">
        <f t="shared" si="7"/>
        <v>213.5</v>
      </c>
      <c r="L91">
        <f t="shared" si="8"/>
        <v>213.5</v>
      </c>
      <c r="M91">
        <f t="shared" si="9"/>
        <v>45582.25</v>
      </c>
    </row>
    <row r="92" spans="1:13" ht="13.2" x14ac:dyDescent="0.25">
      <c r="A92" s="1" t="s">
        <v>19</v>
      </c>
      <c r="B92" s="1" t="s">
        <v>18</v>
      </c>
      <c r="C92" s="1" t="s">
        <v>22</v>
      </c>
      <c r="D92" s="1" t="s">
        <v>11</v>
      </c>
      <c r="E92" s="1" t="s">
        <v>17</v>
      </c>
      <c r="F92" s="1">
        <v>48</v>
      </c>
      <c r="G92" s="1">
        <v>49</v>
      </c>
      <c r="H92" s="1">
        <v>43</v>
      </c>
      <c r="I92">
        <f t="shared" si="5"/>
        <v>140</v>
      </c>
      <c r="J92">
        <f t="shared" si="6"/>
        <v>1</v>
      </c>
      <c r="K92">
        <f t="shared" si="7"/>
        <v>551</v>
      </c>
      <c r="L92">
        <f t="shared" si="8"/>
        <v>550</v>
      </c>
      <c r="M92">
        <f t="shared" si="9"/>
        <v>302500</v>
      </c>
    </row>
    <row r="93" spans="1:13" ht="13.2" x14ac:dyDescent="0.25">
      <c r="A93" s="1" t="s">
        <v>19</v>
      </c>
      <c r="B93" s="1" t="s">
        <v>21</v>
      </c>
      <c r="C93" s="1" t="s">
        <v>24</v>
      </c>
      <c r="D93" s="1" t="s">
        <v>23</v>
      </c>
      <c r="E93" s="1" t="s">
        <v>12</v>
      </c>
      <c r="F93" s="1">
        <v>59</v>
      </c>
      <c r="G93" s="1">
        <v>51</v>
      </c>
      <c r="H93" s="1">
        <v>50</v>
      </c>
      <c r="I93">
        <f t="shared" si="5"/>
        <v>160</v>
      </c>
      <c r="J93">
        <f t="shared" si="6"/>
        <v>0</v>
      </c>
      <c r="K93">
        <f t="shared" si="7"/>
        <v>490.5</v>
      </c>
      <c r="L93">
        <f t="shared" si="8"/>
        <v>490.5</v>
      </c>
      <c r="M93">
        <f t="shared" si="9"/>
        <v>240590.25</v>
      </c>
    </row>
    <row r="94" spans="1:13" ht="13.2" x14ac:dyDescent="0.25">
      <c r="A94" s="1" t="s">
        <v>19</v>
      </c>
      <c r="B94" s="1" t="s">
        <v>18</v>
      </c>
      <c r="C94" s="1" t="s">
        <v>14</v>
      </c>
      <c r="D94" s="1" t="s">
        <v>23</v>
      </c>
      <c r="E94" s="1" t="s">
        <v>12</v>
      </c>
      <c r="F94" s="1">
        <v>47</v>
      </c>
      <c r="G94" s="1">
        <v>50</v>
      </c>
      <c r="H94" s="1">
        <v>48</v>
      </c>
      <c r="I94">
        <f t="shared" si="5"/>
        <v>145</v>
      </c>
      <c r="J94">
        <f t="shared" si="6"/>
        <v>0</v>
      </c>
      <c r="K94">
        <f t="shared" si="7"/>
        <v>535.5</v>
      </c>
      <c r="L94">
        <f t="shared" si="8"/>
        <v>535.5</v>
      </c>
      <c r="M94">
        <f t="shared" si="9"/>
        <v>286760.25</v>
      </c>
    </row>
    <row r="95" spans="1:13" ht="13.2" x14ac:dyDescent="0.25">
      <c r="A95" s="1" t="s">
        <v>19</v>
      </c>
      <c r="B95" s="1" t="s">
        <v>18</v>
      </c>
      <c r="C95" s="1" t="s">
        <v>22</v>
      </c>
      <c r="D95" s="1" t="s">
        <v>11</v>
      </c>
      <c r="E95" s="1" t="s">
        <v>12</v>
      </c>
      <c r="F95" s="1">
        <v>69</v>
      </c>
      <c r="G95" s="1">
        <v>67</v>
      </c>
      <c r="H95" s="1">
        <v>64</v>
      </c>
      <c r="I95">
        <f t="shared" si="5"/>
        <v>200</v>
      </c>
      <c r="J95">
        <f t="shared" si="6"/>
        <v>0</v>
      </c>
      <c r="K95">
        <f t="shared" si="7"/>
        <v>300.5</v>
      </c>
      <c r="L95">
        <f t="shared" si="8"/>
        <v>300.5</v>
      </c>
      <c r="M95">
        <f t="shared" si="9"/>
        <v>90300.25</v>
      </c>
    </row>
    <row r="96" spans="1:13" ht="13.2" x14ac:dyDescent="0.25">
      <c r="A96" s="1" t="s">
        <v>8</v>
      </c>
      <c r="B96" s="1" t="s">
        <v>21</v>
      </c>
      <c r="C96" s="1" t="s">
        <v>16</v>
      </c>
      <c r="D96" s="1" t="s">
        <v>11</v>
      </c>
      <c r="E96" s="1" t="s">
        <v>12</v>
      </c>
      <c r="F96" s="1">
        <v>55</v>
      </c>
      <c r="G96" s="1">
        <v>59</v>
      </c>
      <c r="H96" s="1">
        <v>56</v>
      </c>
      <c r="I96">
        <f t="shared" si="5"/>
        <v>170</v>
      </c>
      <c r="J96">
        <f t="shared" si="6"/>
        <v>0</v>
      </c>
      <c r="K96">
        <f t="shared" si="7"/>
        <v>455.5</v>
      </c>
      <c r="L96">
        <f t="shared" si="8"/>
        <v>455.5</v>
      </c>
      <c r="M96">
        <f t="shared" si="9"/>
        <v>207480.25</v>
      </c>
    </row>
    <row r="97" spans="1:13" ht="13.2" x14ac:dyDescent="0.25">
      <c r="A97" s="1" t="s">
        <v>8</v>
      </c>
      <c r="B97" s="1" t="s">
        <v>13</v>
      </c>
      <c r="C97" s="1" t="s">
        <v>10</v>
      </c>
      <c r="D97" s="1" t="s">
        <v>11</v>
      </c>
      <c r="E97" s="1" t="s">
        <v>17</v>
      </c>
      <c r="F97" s="1">
        <v>71</v>
      </c>
      <c r="G97" s="1">
        <v>75</v>
      </c>
      <c r="H97" s="1">
        <v>81</v>
      </c>
      <c r="I97">
        <f t="shared" si="5"/>
        <v>227</v>
      </c>
      <c r="J97">
        <f t="shared" si="6"/>
        <v>1</v>
      </c>
      <c r="K97">
        <f t="shared" si="7"/>
        <v>180</v>
      </c>
      <c r="L97">
        <f t="shared" si="8"/>
        <v>179</v>
      </c>
      <c r="M97">
        <f t="shared" si="9"/>
        <v>32041</v>
      </c>
    </row>
    <row r="98" spans="1:13" ht="13.2" x14ac:dyDescent="0.25">
      <c r="A98" s="1" t="s">
        <v>8</v>
      </c>
      <c r="B98" s="1" t="s">
        <v>13</v>
      </c>
      <c r="C98" s="1" t="s">
        <v>24</v>
      </c>
      <c r="D98" s="1" t="s">
        <v>23</v>
      </c>
      <c r="E98" s="1" t="s">
        <v>12</v>
      </c>
      <c r="F98" s="1">
        <v>44</v>
      </c>
      <c r="G98" s="1">
        <v>55</v>
      </c>
      <c r="H98" s="1">
        <v>55</v>
      </c>
      <c r="I98">
        <f t="shared" si="5"/>
        <v>154</v>
      </c>
      <c r="J98">
        <f t="shared" si="6"/>
        <v>0</v>
      </c>
      <c r="K98">
        <f t="shared" si="7"/>
        <v>515.5</v>
      </c>
      <c r="L98">
        <f t="shared" si="8"/>
        <v>515.5</v>
      </c>
      <c r="M98">
        <f t="shared" si="9"/>
        <v>265740.25</v>
      </c>
    </row>
    <row r="99" spans="1:13" ht="13.2" x14ac:dyDescent="0.25">
      <c r="A99" s="1" t="s">
        <v>19</v>
      </c>
      <c r="B99" s="1" t="s">
        <v>13</v>
      </c>
      <c r="C99" s="1" t="s">
        <v>22</v>
      </c>
      <c r="D99" s="1" t="s">
        <v>11</v>
      </c>
      <c r="E99" s="1" t="s">
        <v>12</v>
      </c>
      <c r="F99" s="1">
        <v>95</v>
      </c>
      <c r="G99" s="1">
        <v>74</v>
      </c>
      <c r="H99" s="1">
        <v>81</v>
      </c>
      <c r="I99">
        <f t="shared" si="5"/>
        <v>250</v>
      </c>
      <c r="J99">
        <f t="shared" si="6"/>
        <v>0</v>
      </c>
      <c r="K99">
        <f t="shared" si="7"/>
        <v>94.5</v>
      </c>
      <c r="L99">
        <f t="shared" si="8"/>
        <v>94.5</v>
      </c>
      <c r="M99">
        <f t="shared" si="9"/>
        <v>8930.25</v>
      </c>
    </row>
    <row r="100" spans="1:13" ht="13.2" x14ac:dyDescent="0.25">
      <c r="A100" s="1" t="s">
        <v>8</v>
      </c>
      <c r="B100" s="1" t="s">
        <v>9</v>
      </c>
      <c r="C100" s="1" t="s">
        <v>16</v>
      </c>
      <c r="D100" s="1" t="s">
        <v>11</v>
      </c>
      <c r="E100" s="1" t="s">
        <v>17</v>
      </c>
      <c r="F100" s="1">
        <v>68</v>
      </c>
      <c r="G100" s="1">
        <v>80</v>
      </c>
      <c r="H100" s="1">
        <v>83</v>
      </c>
      <c r="I100">
        <f t="shared" si="5"/>
        <v>231</v>
      </c>
      <c r="J100">
        <f t="shared" si="6"/>
        <v>1</v>
      </c>
      <c r="K100">
        <f t="shared" si="7"/>
        <v>168</v>
      </c>
      <c r="L100">
        <f t="shared" si="8"/>
        <v>167</v>
      </c>
      <c r="M100">
        <f t="shared" si="9"/>
        <v>27889</v>
      </c>
    </row>
    <row r="101" spans="1:13" ht="13.2" x14ac:dyDescent="0.25">
      <c r="A101" s="1" t="s">
        <v>8</v>
      </c>
      <c r="B101" s="1" t="s">
        <v>18</v>
      </c>
      <c r="C101" s="1" t="s">
        <v>22</v>
      </c>
      <c r="D101" s="1" t="s">
        <v>11</v>
      </c>
      <c r="E101" s="1" t="s">
        <v>12</v>
      </c>
      <c r="F101" s="1">
        <v>52</v>
      </c>
      <c r="G101" s="1">
        <v>65</v>
      </c>
      <c r="H101" s="1">
        <v>57</v>
      </c>
      <c r="I101">
        <f t="shared" si="5"/>
        <v>174</v>
      </c>
      <c r="J101">
        <f t="shared" si="6"/>
        <v>0</v>
      </c>
      <c r="K101">
        <f t="shared" si="7"/>
        <v>434</v>
      </c>
      <c r="L101">
        <f t="shared" si="8"/>
        <v>434</v>
      </c>
      <c r="M101">
        <f t="shared" si="9"/>
        <v>188356</v>
      </c>
    </row>
    <row r="102" spans="1:13" ht="13.2" x14ac:dyDescent="0.25">
      <c r="A102" s="1" t="s">
        <v>19</v>
      </c>
      <c r="B102" s="1" t="s">
        <v>9</v>
      </c>
      <c r="C102" s="1" t="s">
        <v>22</v>
      </c>
      <c r="D102" s="1" t="s">
        <v>11</v>
      </c>
      <c r="E102" s="1" t="s">
        <v>17</v>
      </c>
      <c r="F102" s="1">
        <v>83</v>
      </c>
      <c r="G102" s="1">
        <v>88</v>
      </c>
      <c r="H102" s="1">
        <v>86</v>
      </c>
      <c r="I102">
        <f t="shared" si="5"/>
        <v>257</v>
      </c>
      <c r="J102">
        <f t="shared" si="6"/>
        <v>1</v>
      </c>
      <c r="K102">
        <f t="shared" si="7"/>
        <v>74.5</v>
      </c>
      <c r="L102">
        <f t="shared" si="8"/>
        <v>73.5</v>
      </c>
      <c r="M102">
        <f t="shared" si="9"/>
        <v>5402.25</v>
      </c>
    </row>
    <row r="103" spans="1:13" ht="13.2" x14ac:dyDescent="0.25">
      <c r="A103" s="1" t="s">
        <v>8</v>
      </c>
      <c r="B103" s="1" t="s">
        <v>18</v>
      </c>
      <c r="C103" s="1" t="s">
        <v>10</v>
      </c>
      <c r="D103" s="1" t="s">
        <v>23</v>
      </c>
      <c r="E103" s="1" t="s">
        <v>17</v>
      </c>
      <c r="F103" s="1">
        <v>64</v>
      </c>
      <c r="G103" s="1">
        <v>78</v>
      </c>
      <c r="H103" s="1">
        <v>78</v>
      </c>
      <c r="I103">
        <f t="shared" si="5"/>
        <v>220</v>
      </c>
      <c r="J103">
        <f t="shared" si="6"/>
        <v>1</v>
      </c>
      <c r="K103">
        <f t="shared" si="7"/>
        <v>213.5</v>
      </c>
      <c r="L103">
        <f t="shared" si="8"/>
        <v>212.5</v>
      </c>
      <c r="M103">
        <f t="shared" si="9"/>
        <v>45156.25</v>
      </c>
    </row>
    <row r="104" spans="1:13" ht="13.2" x14ac:dyDescent="0.25">
      <c r="A104" s="1" t="s">
        <v>8</v>
      </c>
      <c r="B104" s="1" t="s">
        <v>9</v>
      </c>
      <c r="C104" s="1" t="s">
        <v>10</v>
      </c>
      <c r="D104" s="1" t="s">
        <v>23</v>
      </c>
      <c r="E104" s="1" t="s">
        <v>12</v>
      </c>
      <c r="F104" s="1">
        <v>73</v>
      </c>
      <c r="G104" s="1">
        <v>81</v>
      </c>
      <c r="H104" s="1">
        <v>79</v>
      </c>
      <c r="I104">
        <f t="shared" si="5"/>
        <v>233</v>
      </c>
      <c r="J104">
        <f t="shared" si="6"/>
        <v>0</v>
      </c>
      <c r="K104">
        <f t="shared" si="7"/>
        <v>163</v>
      </c>
      <c r="L104">
        <f t="shared" si="8"/>
        <v>163</v>
      </c>
      <c r="M104">
        <f t="shared" si="9"/>
        <v>26569</v>
      </c>
    </row>
    <row r="105" spans="1:13" ht="13.2" x14ac:dyDescent="0.25">
      <c r="A105" s="1" t="s">
        <v>8</v>
      </c>
      <c r="B105" s="1" t="s">
        <v>21</v>
      </c>
      <c r="C105" s="1" t="s">
        <v>20</v>
      </c>
      <c r="D105" s="1" t="s">
        <v>23</v>
      </c>
      <c r="E105" s="1" t="s">
        <v>12</v>
      </c>
      <c r="F105" s="1">
        <v>47</v>
      </c>
      <c r="G105" s="1">
        <v>57</v>
      </c>
      <c r="H105" s="1">
        <v>55</v>
      </c>
      <c r="I105">
        <f t="shared" si="5"/>
        <v>159</v>
      </c>
      <c r="J105">
        <f t="shared" si="6"/>
        <v>0</v>
      </c>
      <c r="K105">
        <f t="shared" si="7"/>
        <v>495.5</v>
      </c>
      <c r="L105">
        <f t="shared" si="8"/>
        <v>495.5</v>
      </c>
      <c r="M105">
        <f t="shared" si="9"/>
        <v>245520.25</v>
      </c>
    </row>
    <row r="106" spans="1:13" ht="13.2" x14ac:dyDescent="0.25">
      <c r="A106" s="1" t="s">
        <v>8</v>
      </c>
      <c r="B106" s="1" t="s">
        <v>15</v>
      </c>
      <c r="C106" s="1" t="s">
        <v>14</v>
      </c>
      <c r="D106" s="1" t="s">
        <v>11</v>
      </c>
      <c r="E106" s="1" t="s">
        <v>12</v>
      </c>
      <c r="F106" s="1">
        <v>49</v>
      </c>
      <c r="G106" s="1">
        <v>57</v>
      </c>
      <c r="H106" s="1">
        <v>52</v>
      </c>
      <c r="I106">
        <f t="shared" si="5"/>
        <v>158</v>
      </c>
      <c r="J106">
        <f t="shared" si="6"/>
        <v>0</v>
      </c>
      <c r="K106">
        <f t="shared" si="7"/>
        <v>499</v>
      </c>
      <c r="L106">
        <f t="shared" si="8"/>
        <v>499</v>
      </c>
      <c r="M106">
        <f t="shared" si="9"/>
        <v>249001</v>
      </c>
    </row>
    <row r="107" spans="1:13" ht="13.2" x14ac:dyDescent="0.25">
      <c r="A107" s="1" t="s">
        <v>8</v>
      </c>
      <c r="B107" s="1" t="s">
        <v>18</v>
      </c>
      <c r="C107" s="1" t="s">
        <v>20</v>
      </c>
      <c r="D107" s="1" t="s">
        <v>11</v>
      </c>
      <c r="E107" s="1" t="s">
        <v>17</v>
      </c>
      <c r="F107" s="1">
        <v>93</v>
      </c>
      <c r="G107" s="1">
        <v>100</v>
      </c>
      <c r="H107" s="1">
        <v>100</v>
      </c>
      <c r="I107">
        <f t="shared" si="5"/>
        <v>293</v>
      </c>
      <c r="J107">
        <f t="shared" si="6"/>
        <v>1</v>
      </c>
      <c r="K107">
        <f t="shared" si="7"/>
        <v>8</v>
      </c>
      <c r="L107">
        <f t="shared" si="8"/>
        <v>7</v>
      </c>
      <c r="M107">
        <f t="shared" si="9"/>
        <v>49</v>
      </c>
    </row>
    <row r="108" spans="1:13" ht="13.2" x14ac:dyDescent="0.25">
      <c r="A108" s="1" t="s">
        <v>19</v>
      </c>
      <c r="B108" s="1" t="s">
        <v>18</v>
      </c>
      <c r="C108" s="1" t="s">
        <v>16</v>
      </c>
      <c r="D108" s="1" t="s">
        <v>11</v>
      </c>
      <c r="E108" s="1" t="s">
        <v>12</v>
      </c>
      <c r="F108" s="1">
        <v>58</v>
      </c>
      <c r="G108" s="1">
        <v>61</v>
      </c>
      <c r="H108" s="1">
        <v>51</v>
      </c>
      <c r="I108">
        <f t="shared" si="5"/>
        <v>170</v>
      </c>
      <c r="J108">
        <f t="shared" si="6"/>
        <v>0</v>
      </c>
      <c r="K108">
        <f t="shared" si="7"/>
        <v>455.5</v>
      </c>
      <c r="L108">
        <f t="shared" si="8"/>
        <v>455.5</v>
      </c>
      <c r="M108">
        <f t="shared" si="9"/>
        <v>207480.25</v>
      </c>
    </row>
    <row r="109" spans="1:13" ht="13.2" x14ac:dyDescent="0.25">
      <c r="A109" s="1" t="s">
        <v>19</v>
      </c>
      <c r="B109" s="1" t="s">
        <v>21</v>
      </c>
      <c r="C109" s="1" t="s">
        <v>14</v>
      </c>
      <c r="D109" s="1" t="s">
        <v>11</v>
      </c>
      <c r="E109" s="1" t="s">
        <v>17</v>
      </c>
      <c r="F109" s="1">
        <v>86</v>
      </c>
      <c r="G109" s="1">
        <v>88</v>
      </c>
      <c r="H109" s="1">
        <v>90</v>
      </c>
      <c r="I109">
        <f t="shared" si="5"/>
        <v>264</v>
      </c>
      <c r="J109">
        <f t="shared" si="6"/>
        <v>1</v>
      </c>
      <c r="K109">
        <f t="shared" si="7"/>
        <v>53.5</v>
      </c>
      <c r="L109">
        <f t="shared" si="8"/>
        <v>52.5</v>
      </c>
      <c r="M109">
        <f t="shared" si="9"/>
        <v>2756.25</v>
      </c>
    </row>
    <row r="110" spans="1:13" ht="13.2" x14ac:dyDescent="0.25">
      <c r="A110" s="1" t="s">
        <v>19</v>
      </c>
      <c r="B110" s="1" t="s">
        <v>13</v>
      </c>
      <c r="C110" s="1" t="s">
        <v>10</v>
      </c>
      <c r="D110" s="1" t="s">
        <v>11</v>
      </c>
      <c r="E110" s="1" t="s">
        <v>17</v>
      </c>
      <c r="F110" s="1">
        <v>68</v>
      </c>
      <c r="G110" s="1">
        <v>65</v>
      </c>
      <c r="H110" s="1">
        <v>69</v>
      </c>
      <c r="I110">
        <f t="shared" si="5"/>
        <v>202</v>
      </c>
      <c r="J110">
        <f t="shared" si="6"/>
        <v>1</v>
      </c>
      <c r="K110">
        <f t="shared" si="7"/>
        <v>292</v>
      </c>
      <c r="L110">
        <f t="shared" si="8"/>
        <v>291</v>
      </c>
      <c r="M110">
        <f t="shared" si="9"/>
        <v>84681</v>
      </c>
    </row>
    <row r="111" spans="1:13" ht="13.2" x14ac:dyDescent="0.25">
      <c r="A111" s="1" t="s">
        <v>19</v>
      </c>
      <c r="B111" s="1" t="s">
        <v>18</v>
      </c>
      <c r="C111" s="1" t="s">
        <v>16</v>
      </c>
      <c r="D111" s="1" t="s">
        <v>11</v>
      </c>
      <c r="E111" s="1" t="s">
        <v>12</v>
      </c>
      <c r="F111" s="1">
        <v>76</v>
      </c>
      <c r="G111" s="1">
        <v>72</v>
      </c>
      <c r="H111" s="1">
        <v>69</v>
      </c>
      <c r="I111">
        <f t="shared" si="5"/>
        <v>217</v>
      </c>
      <c r="J111">
        <f t="shared" si="6"/>
        <v>0</v>
      </c>
      <c r="K111">
        <f t="shared" si="7"/>
        <v>227</v>
      </c>
      <c r="L111">
        <f t="shared" si="8"/>
        <v>227</v>
      </c>
      <c r="M111">
        <f t="shared" si="9"/>
        <v>51529</v>
      </c>
    </row>
    <row r="112" spans="1:13" ht="13.2" x14ac:dyDescent="0.25">
      <c r="A112" s="1" t="s">
        <v>8</v>
      </c>
      <c r="B112" s="1" t="s">
        <v>13</v>
      </c>
      <c r="C112" s="1" t="s">
        <v>22</v>
      </c>
      <c r="D112" s="1" t="s">
        <v>23</v>
      </c>
      <c r="E112" s="1" t="s">
        <v>12</v>
      </c>
      <c r="F112" s="1">
        <v>37</v>
      </c>
      <c r="G112" s="1">
        <v>49</v>
      </c>
      <c r="H112" s="1">
        <v>51</v>
      </c>
      <c r="I112">
        <f t="shared" si="5"/>
        <v>137</v>
      </c>
      <c r="J112">
        <f t="shared" si="6"/>
        <v>0</v>
      </c>
      <c r="K112">
        <f t="shared" si="7"/>
        <v>557</v>
      </c>
      <c r="L112">
        <f t="shared" si="8"/>
        <v>557</v>
      </c>
      <c r="M112">
        <f t="shared" si="9"/>
        <v>310249</v>
      </c>
    </row>
    <row r="113" spans="1:13" ht="13.2" x14ac:dyDescent="0.25">
      <c r="A113" s="1" t="s">
        <v>8</v>
      </c>
      <c r="B113" s="1" t="s">
        <v>13</v>
      </c>
      <c r="C113" s="1" t="s">
        <v>14</v>
      </c>
      <c r="D113" s="1" t="s">
        <v>11</v>
      </c>
      <c r="E113" s="1" t="s">
        <v>17</v>
      </c>
      <c r="F113" s="1">
        <v>69</v>
      </c>
      <c r="G113" s="1">
        <v>79</v>
      </c>
      <c r="H113" s="1">
        <v>82</v>
      </c>
      <c r="I113">
        <f t="shared" si="5"/>
        <v>230</v>
      </c>
      <c r="J113">
        <f t="shared" si="6"/>
        <v>1</v>
      </c>
      <c r="K113">
        <f t="shared" si="7"/>
        <v>172.5</v>
      </c>
      <c r="L113">
        <f t="shared" si="8"/>
        <v>171.5</v>
      </c>
      <c r="M113">
        <f t="shared" si="9"/>
        <v>29412.25</v>
      </c>
    </row>
    <row r="114" spans="1:13" ht="13.2" x14ac:dyDescent="0.25">
      <c r="A114" s="1" t="s">
        <v>19</v>
      </c>
      <c r="B114" s="1" t="s">
        <v>13</v>
      </c>
      <c r="C114" s="1" t="s">
        <v>16</v>
      </c>
      <c r="D114" s="1" t="s">
        <v>11</v>
      </c>
      <c r="E114" s="1" t="s">
        <v>12</v>
      </c>
      <c r="F114" s="1">
        <v>65</v>
      </c>
      <c r="G114" s="1">
        <v>50</v>
      </c>
      <c r="H114" s="1">
        <v>48</v>
      </c>
      <c r="I114">
        <f t="shared" si="5"/>
        <v>163</v>
      </c>
      <c r="J114">
        <f t="shared" si="6"/>
        <v>0</v>
      </c>
      <c r="K114">
        <f t="shared" si="7"/>
        <v>481</v>
      </c>
      <c r="L114">
        <f t="shared" si="8"/>
        <v>481</v>
      </c>
      <c r="M114">
        <f t="shared" si="9"/>
        <v>231361</v>
      </c>
    </row>
    <row r="115" spans="1:13" ht="13.2" x14ac:dyDescent="0.25">
      <c r="A115" s="1" t="s">
        <v>8</v>
      </c>
      <c r="B115" s="1" t="s">
        <v>15</v>
      </c>
      <c r="C115" s="1" t="s">
        <v>22</v>
      </c>
      <c r="D115" s="1" t="s">
        <v>23</v>
      </c>
      <c r="E115" s="1" t="s">
        <v>17</v>
      </c>
      <c r="F115" s="1">
        <v>35</v>
      </c>
      <c r="G115" s="1">
        <v>52</v>
      </c>
      <c r="H115" s="1">
        <v>49</v>
      </c>
      <c r="I115">
        <f t="shared" si="5"/>
        <v>136</v>
      </c>
      <c r="J115">
        <f t="shared" si="6"/>
        <v>1</v>
      </c>
      <c r="K115">
        <f t="shared" si="7"/>
        <v>561</v>
      </c>
      <c r="L115">
        <f t="shared" si="8"/>
        <v>560</v>
      </c>
      <c r="M115">
        <f t="shared" si="9"/>
        <v>313600</v>
      </c>
    </row>
    <row r="116" spans="1:13" ht="13.2" x14ac:dyDescent="0.25">
      <c r="A116" s="1" t="s">
        <v>8</v>
      </c>
      <c r="B116" s="1" t="s">
        <v>18</v>
      </c>
      <c r="C116" s="1" t="s">
        <v>10</v>
      </c>
      <c r="D116" s="1" t="s">
        <v>11</v>
      </c>
      <c r="E116" s="1" t="s">
        <v>17</v>
      </c>
      <c r="F116" s="1">
        <v>61</v>
      </c>
      <c r="G116" s="1">
        <v>62</v>
      </c>
      <c r="H116" s="1">
        <v>67</v>
      </c>
      <c r="I116">
        <f t="shared" si="5"/>
        <v>190</v>
      </c>
      <c r="J116">
        <f t="shared" si="6"/>
        <v>1</v>
      </c>
      <c r="K116">
        <f t="shared" si="7"/>
        <v>359.5</v>
      </c>
      <c r="L116">
        <f t="shared" si="8"/>
        <v>358.5</v>
      </c>
      <c r="M116">
        <f t="shared" si="9"/>
        <v>128522.25</v>
      </c>
    </row>
    <row r="117" spans="1:13" ht="13.2" x14ac:dyDescent="0.25">
      <c r="A117" s="1" t="s">
        <v>19</v>
      </c>
      <c r="B117" s="1" t="s">
        <v>13</v>
      </c>
      <c r="C117" s="1" t="s">
        <v>14</v>
      </c>
      <c r="D117" s="1" t="s">
        <v>23</v>
      </c>
      <c r="E117" s="1" t="s">
        <v>17</v>
      </c>
      <c r="F117" s="1">
        <v>47</v>
      </c>
      <c r="G117" s="1">
        <v>52</v>
      </c>
      <c r="H117" s="1">
        <v>54</v>
      </c>
      <c r="I117">
        <f t="shared" si="5"/>
        <v>153</v>
      </c>
      <c r="J117">
        <f t="shared" si="6"/>
        <v>1</v>
      </c>
      <c r="K117">
        <f t="shared" si="7"/>
        <v>520</v>
      </c>
      <c r="L117">
        <f t="shared" si="8"/>
        <v>519</v>
      </c>
      <c r="M117">
        <f t="shared" si="9"/>
        <v>269361</v>
      </c>
    </row>
    <row r="118" spans="1:13" ht="13.2" x14ac:dyDescent="0.25">
      <c r="A118" s="1" t="s">
        <v>19</v>
      </c>
      <c r="B118" s="1" t="s">
        <v>21</v>
      </c>
      <c r="C118" s="1" t="s">
        <v>16</v>
      </c>
      <c r="D118" s="1" t="s">
        <v>23</v>
      </c>
      <c r="E118" s="1" t="s">
        <v>12</v>
      </c>
      <c r="F118" s="1">
        <v>65</v>
      </c>
      <c r="G118" s="1">
        <v>59</v>
      </c>
      <c r="H118" s="1">
        <v>61</v>
      </c>
      <c r="I118">
        <f t="shared" si="5"/>
        <v>185</v>
      </c>
      <c r="J118">
        <f t="shared" si="6"/>
        <v>0</v>
      </c>
      <c r="K118">
        <f t="shared" si="7"/>
        <v>389.5</v>
      </c>
      <c r="L118">
        <f t="shared" si="8"/>
        <v>389.5</v>
      </c>
      <c r="M118">
        <f t="shared" si="9"/>
        <v>151710.25</v>
      </c>
    </row>
    <row r="119" spans="1:13" ht="13.2" x14ac:dyDescent="0.25">
      <c r="A119" s="1" t="s">
        <v>19</v>
      </c>
      <c r="B119" s="1" t="s">
        <v>21</v>
      </c>
      <c r="C119" s="1" t="s">
        <v>10</v>
      </c>
      <c r="D119" s="1" t="s">
        <v>23</v>
      </c>
      <c r="E119" s="1" t="s">
        <v>12</v>
      </c>
      <c r="F119" s="1">
        <v>57</v>
      </c>
      <c r="G119" s="1">
        <v>45</v>
      </c>
      <c r="H119" s="1">
        <v>44</v>
      </c>
      <c r="I119">
        <f t="shared" si="5"/>
        <v>146</v>
      </c>
      <c r="J119">
        <f t="shared" si="6"/>
        <v>0</v>
      </c>
      <c r="K119">
        <f t="shared" si="7"/>
        <v>532</v>
      </c>
      <c r="L119">
        <f t="shared" si="8"/>
        <v>532</v>
      </c>
      <c r="M119">
        <f t="shared" si="9"/>
        <v>283024</v>
      </c>
    </row>
    <row r="120" spans="1:13" ht="13.2" x14ac:dyDescent="0.25">
      <c r="A120" s="1" t="s">
        <v>8</v>
      </c>
      <c r="B120" s="1" t="s">
        <v>13</v>
      </c>
      <c r="C120" s="1" t="s">
        <v>14</v>
      </c>
      <c r="D120" s="1" t="s">
        <v>11</v>
      </c>
      <c r="E120" s="1" t="s">
        <v>12</v>
      </c>
      <c r="F120" s="1">
        <v>55</v>
      </c>
      <c r="G120" s="1">
        <v>64</v>
      </c>
      <c r="H120" s="1">
        <v>61</v>
      </c>
      <c r="I120">
        <f t="shared" si="5"/>
        <v>180</v>
      </c>
      <c r="J120">
        <f t="shared" si="6"/>
        <v>0</v>
      </c>
      <c r="K120">
        <f t="shared" si="7"/>
        <v>410</v>
      </c>
      <c r="L120">
        <f t="shared" si="8"/>
        <v>410</v>
      </c>
      <c r="M120">
        <f t="shared" si="9"/>
        <v>168100</v>
      </c>
    </row>
    <row r="121" spans="1:13" ht="13.2" x14ac:dyDescent="0.25">
      <c r="A121" s="1" t="s">
        <v>19</v>
      </c>
      <c r="B121" s="1" t="s">
        <v>13</v>
      </c>
      <c r="C121" s="1" t="s">
        <v>22</v>
      </c>
      <c r="D121" s="1" t="s">
        <v>23</v>
      </c>
      <c r="E121" s="1" t="s">
        <v>12</v>
      </c>
      <c r="F121" s="1">
        <v>67</v>
      </c>
      <c r="G121" s="1">
        <v>60</v>
      </c>
      <c r="H121" s="1">
        <v>64</v>
      </c>
      <c r="I121">
        <f t="shared" si="5"/>
        <v>191</v>
      </c>
      <c r="J121">
        <f t="shared" si="6"/>
        <v>0</v>
      </c>
      <c r="K121">
        <f t="shared" si="7"/>
        <v>353.5</v>
      </c>
      <c r="L121">
        <f t="shared" si="8"/>
        <v>353.5</v>
      </c>
      <c r="M121">
        <f t="shared" si="9"/>
        <v>124962.25</v>
      </c>
    </row>
    <row r="122" spans="1:13" ht="13.2" x14ac:dyDescent="0.25">
      <c r="A122" s="1" t="s">
        <v>19</v>
      </c>
      <c r="B122" s="1" t="s">
        <v>18</v>
      </c>
      <c r="C122" s="1" t="s">
        <v>10</v>
      </c>
      <c r="D122" s="1" t="s">
        <v>11</v>
      </c>
      <c r="E122" s="1" t="s">
        <v>17</v>
      </c>
      <c r="F122" s="1">
        <v>66</v>
      </c>
      <c r="G122" s="1">
        <v>63</v>
      </c>
      <c r="H122" s="1">
        <v>67</v>
      </c>
      <c r="I122">
        <f t="shared" si="5"/>
        <v>196</v>
      </c>
      <c r="J122">
        <f t="shared" si="6"/>
        <v>1</v>
      </c>
      <c r="K122">
        <f t="shared" si="7"/>
        <v>323.5</v>
      </c>
      <c r="L122">
        <f t="shared" si="8"/>
        <v>322.5</v>
      </c>
      <c r="M122">
        <f t="shared" si="9"/>
        <v>104006.25</v>
      </c>
    </row>
    <row r="123" spans="1:13" ht="13.2" x14ac:dyDescent="0.25">
      <c r="A123" s="1" t="s">
        <v>8</v>
      </c>
      <c r="B123" s="1" t="s">
        <v>18</v>
      </c>
      <c r="C123" s="1" t="s">
        <v>20</v>
      </c>
      <c r="D123" s="1" t="s">
        <v>11</v>
      </c>
      <c r="E123" s="1" t="s">
        <v>12</v>
      </c>
      <c r="F123" s="1">
        <v>66</v>
      </c>
      <c r="G123" s="1">
        <v>69</v>
      </c>
      <c r="H123" s="1">
        <v>63</v>
      </c>
      <c r="I123">
        <f t="shared" si="5"/>
        <v>198</v>
      </c>
      <c r="J123">
        <f t="shared" si="6"/>
        <v>0</v>
      </c>
      <c r="K123">
        <f t="shared" si="7"/>
        <v>313</v>
      </c>
      <c r="L123">
        <f t="shared" si="8"/>
        <v>313</v>
      </c>
      <c r="M123">
        <f t="shared" si="9"/>
        <v>97969</v>
      </c>
    </row>
    <row r="124" spans="1:13" ht="13.2" x14ac:dyDescent="0.25">
      <c r="A124" s="1" t="s">
        <v>19</v>
      </c>
      <c r="B124" s="1" t="s">
        <v>9</v>
      </c>
      <c r="C124" s="1" t="s">
        <v>14</v>
      </c>
      <c r="D124" s="1" t="s">
        <v>23</v>
      </c>
      <c r="E124" s="1" t="s">
        <v>17</v>
      </c>
      <c r="F124" s="1">
        <v>55</v>
      </c>
      <c r="G124" s="1">
        <v>61</v>
      </c>
      <c r="H124" s="1">
        <v>55</v>
      </c>
      <c r="I124">
        <f t="shared" si="5"/>
        <v>171</v>
      </c>
      <c r="J124">
        <f t="shared" si="6"/>
        <v>1</v>
      </c>
      <c r="K124">
        <f t="shared" si="7"/>
        <v>450</v>
      </c>
      <c r="L124">
        <f t="shared" si="8"/>
        <v>449</v>
      </c>
      <c r="M124">
        <f t="shared" si="9"/>
        <v>201601</v>
      </c>
    </row>
    <row r="125" spans="1:13" ht="13.2" x14ac:dyDescent="0.25">
      <c r="A125" s="1" t="s">
        <v>8</v>
      </c>
      <c r="B125" s="1" t="s">
        <v>13</v>
      </c>
      <c r="C125" s="1" t="s">
        <v>24</v>
      </c>
      <c r="D125" s="1" t="s">
        <v>11</v>
      </c>
      <c r="E125" s="1" t="s">
        <v>12</v>
      </c>
      <c r="F125" s="1">
        <v>89</v>
      </c>
      <c r="G125" s="1">
        <v>97</v>
      </c>
      <c r="H125" s="1">
        <v>100</v>
      </c>
      <c r="I125">
        <f t="shared" si="5"/>
        <v>286</v>
      </c>
      <c r="J125">
        <f t="shared" si="6"/>
        <v>0</v>
      </c>
      <c r="K125">
        <f t="shared" si="7"/>
        <v>18.5</v>
      </c>
      <c r="L125">
        <f t="shared" si="8"/>
        <v>18.5</v>
      </c>
      <c r="M125">
        <f t="shared" si="9"/>
        <v>342.25</v>
      </c>
    </row>
    <row r="126" spans="1:13" ht="13.2" x14ac:dyDescent="0.25">
      <c r="A126" s="1" t="s">
        <v>19</v>
      </c>
      <c r="B126" s="1" t="s">
        <v>18</v>
      </c>
      <c r="C126" s="1" t="s">
        <v>10</v>
      </c>
      <c r="D126" s="1" t="s">
        <v>11</v>
      </c>
      <c r="E126" s="1" t="s">
        <v>17</v>
      </c>
      <c r="F126" s="1">
        <v>53</v>
      </c>
      <c r="G126" s="1">
        <v>62</v>
      </c>
      <c r="H126" s="1">
        <v>56</v>
      </c>
      <c r="I126">
        <f t="shared" si="5"/>
        <v>171</v>
      </c>
      <c r="J126">
        <f t="shared" si="6"/>
        <v>1</v>
      </c>
      <c r="K126">
        <f t="shared" si="7"/>
        <v>450</v>
      </c>
      <c r="L126">
        <f t="shared" si="8"/>
        <v>449</v>
      </c>
      <c r="M126">
        <f t="shared" si="9"/>
        <v>201601</v>
      </c>
    </row>
    <row r="127" spans="1:13" ht="13.2" x14ac:dyDescent="0.25">
      <c r="A127" s="1" t="s">
        <v>8</v>
      </c>
      <c r="B127" s="1" t="s">
        <v>18</v>
      </c>
      <c r="C127" s="1" t="s">
        <v>22</v>
      </c>
      <c r="D127" s="1" t="s">
        <v>11</v>
      </c>
      <c r="E127" s="1" t="s">
        <v>12</v>
      </c>
      <c r="F127" s="1">
        <v>49</v>
      </c>
      <c r="G127" s="1">
        <v>53</v>
      </c>
      <c r="H127" s="1">
        <v>47</v>
      </c>
      <c r="I127">
        <f t="shared" si="5"/>
        <v>149</v>
      </c>
      <c r="J127">
        <f t="shared" si="6"/>
        <v>0</v>
      </c>
      <c r="K127">
        <f t="shared" si="7"/>
        <v>527.5</v>
      </c>
      <c r="L127">
        <f t="shared" si="8"/>
        <v>527.5</v>
      </c>
      <c r="M127">
        <f t="shared" si="9"/>
        <v>278256.25</v>
      </c>
    </row>
    <row r="128" spans="1:13" ht="13.2" x14ac:dyDescent="0.25">
      <c r="A128" s="1" t="s">
        <v>19</v>
      </c>
      <c r="B128" s="1" t="s">
        <v>13</v>
      </c>
      <c r="C128" s="1" t="s">
        <v>10</v>
      </c>
      <c r="D128" s="1" t="s">
        <v>11</v>
      </c>
      <c r="E128" s="1" t="s">
        <v>17</v>
      </c>
      <c r="F128" s="1">
        <v>66</v>
      </c>
      <c r="G128" s="1">
        <v>68</v>
      </c>
      <c r="H128" s="1">
        <v>70</v>
      </c>
      <c r="I128">
        <f t="shared" si="5"/>
        <v>204</v>
      </c>
      <c r="J128">
        <f t="shared" si="6"/>
        <v>1</v>
      </c>
      <c r="K128">
        <f t="shared" si="7"/>
        <v>281.5</v>
      </c>
      <c r="L128">
        <f t="shared" si="8"/>
        <v>280.5</v>
      </c>
      <c r="M128">
        <f t="shared" si="9"/>
        <v>78680.25</v>
      </c>
    </row>
    <row r="129" spans="1:13" ht="13.2" x14ac:dyDescent="0.25">
      <c r="A129" s="1" t="s">
        <v>8</v>
      </c>
      <c r="B129" s="1" t="s">
        <v>15</v>
      </c>
      <c r="C129" s="1" t="s">
        <v>14</v>
      </c>
      <c r="D129" s="1" t="s">
        <v>11</v>
      </c>
      <c r="E129" s="1" t="s">
        <v>12</v>
      </c>
      <c r="F129" s="1">
        <v>67</v>
      </c>
      <c r="G129" s="1">
        <v>78</v>
      </c>
      <c r="H129" s="1">
        <v>71</v>
      </c>
      <c r="I129">
        <f t="shared" si="5"/>
        <v>216</v>
      </c>
      <c r="J129">
        <f t="shared" si="6"/>
        <v>0</v>
      </c>
      <c r="K129">
        <f t="shared" si="7"/>
        <v>231</v>
      </c>
      <c r="L129">
        <f t="shared" si="8"/>
        <v>231</v>
      </c>
      <c r="M129">
        <f t="shared" si="9"/>
        <v>53361</v>
      </c>
    </row>
    <row r="130" spans="1:13" ht="13.2" x14ac:dyDescent="0.25">
      <c r="A130" s="1" t="s">
        <v>19</v>
      </c>
      <c r="B130" s="1" t="s">
        <v>15</v>
      </c>
      <c r="C130" s="1" t="s">
        <v>14</v>
      </c>
      <c r="D130" s="1" t="s">
        <v>11</v>
      </c>
      <c r="E130" s="1" t="s">
        <v>12</v>
      </c>
      <c r="F130" s="1">
        <v>67</v>
      </c>
      <c r="G130" s="1">
        <v>66</v>
      </c>
      <c r="H130" s="1">
        <v>62</v>
      </c>
      <c r="I130">
        <f t="shared" si="5"/>
        <v>195</v>
      </c>
      <c r="J130">
        <f t="shared" si="6"/>
        <v>0</v>
      </c>
      <c r="K130">
        <f t="shared" si="7"/>
        <v>331.5</v>
      </c>
      <c r="L130">
        <f t="shared" si="8"/>
        <v>331.5</v>
      </c>
      <c r="M130">
        <f t="shared" si="9"/>
        <v>109892.25</v>
      </c>
    </row>
    <row r="131" spans="1:13" ht="13.2" x14ac:dyDescent="0.25">
      <c r="A131" s="1" t="s">
        <v>19</v>
      </c>
      <c r="B131" s="1" t="s">
        <v>13</v>
      </c>
      <c r="C131" s="1" t="s">
        <v>16</v>
      </c>
      <c r="D131" s="1" t="s">
        <v>11</v>
      </c>
      <c r="E131" s="1" t="s">
        <v>17</v>
      </c>
      <c r="F131" s="1">
        <v>70</v>
      </c>
      <c r="G131" s="1">
        <v>68</v>
      </c>
      <c r="H131" s="1">
        <v>75</v>
      </c>
      <c r="I131">
        <f t="shared" ref="I131:I194" si="10">SUM(F131:H131)</f>
        <v>213</v>
      </c>
      <c r="J131">
        <f t="shared" ref="J131:J194" si="11">IF(E131="completed", 1, IF(E131="none", 0, ""))</f>
        <v>1</v>
      </c>
      <c r="K131">
        <f t="shared" ref="K131:K194" si="12">_xlfn.RANK.AVG(I131, I$2:I$601, 0)</f>
        <v>241</v>
      </c>
      <c r="L131">
        <f t="shared" ref="L131:L194" si="13">K131-J131</f>
        <v>240</v>
      </c>
      <c r="M131">
        <f t="shared" ref="M131:M194" si="14">L131^2</f>
        <v>57600</v>
      </c>
    </row>
    <row r="132" spans="1:13" ht="13.2" x14ac:dyDescent="0.25">
      <c r="A132" s="1" t="s">
        <v>8</v>
      </c>
      <c r="B132" s="1" t="s">
        <v>18</v>
      </c>
      <c r="C132" s="1" t="s">
        <v>10</v>
      </c>
      <c r="D132" s="1" t="s">
        <v>23</v>
      </c>
      <c r="E132" s="1" t="s">
        <v>17</v>
      </c>
      <c r="F132" s="1">
        <v>49</v>
      </c>
      <c r="G132" s="1">
        <v>55</v>
      </c>
      <c r="H132" s="1">
        <v>51</v>
      </c>
      <c r="I132">
        <f t="shared" si="10"/>
        <v>155</v>
      </c>
      <c r="J132">
        <f t="shared" si="11"/>
        <v>1</v>
      </c>
      <c r="K132">
        <f t="shared" si="12"/>
        <v>511</v>
      </c>
      <c r="L132">
        <f t="shared" si="13"/>
        <v>510</v>
      </c>
      <c r="M132">
        <f t="shared" si="14"/>
        <v>260100</v>
      </c>
    </row>
    <row r="133" spans="1:13" ht="13.2" x14ac:dyDescent="0.25">
      <c r="A133" s="1" t="s">
        <v>19</v>
      </c>
      <c r="B133" s="1" t="s">
        <v>13</v>
      </c>
      <c r="C133" s="1" t="s">
        <v>10</v>
      </c>
      <c r="D133" s="1" t="s">
        <v>11</v>
      </c>
      <c r="E133" s="1" t="s">
        <v>17</v>
      </c>
      <c r="F133" s="1">
        <v>100</v>
      </c>
      <c r="G133" s="1">
        <v>91</v>
      </c>
      <c r="H133" s="1">
        <v>96</v>
      </c>
      <c r="I133">
        <f t="shared" si="10"/>
        <v>287</v>
      </c>
      <c r="J133">
        <f t="shared" si="11"/>
        <v>1</v>
      </c>
      <c r="K133">
        <f t="shared" si="12"/>
        <v>15.5</v>
      </c>
      <c r="L133">
        <f t="shared" si="13"/>
        <v>14.5</v>
      </c>
      <c r="M133">
        <f t="shared" si="14"/>
        <v>210.25</v>
      </c>
    </row>
    <row r="134" spans="1:13" ht="13.2" x14ac:dyDescent="0.25">
      <c r="A134" s="1" t="s">
        <v>19</v>
      </c>
      <c r="B134" s="1" t="s">
        <v>13</v>
      </c>
      <c r="C134" s="1" t="s">
        <v>14</v>
      </c>
      <c r="D134" s="1" t="s">
        <v>23</v>
      </c>
      <c r="E134" s="1" t="s">
        <v>12</v>
      </c>
      <c r="F134" s="1">
        <v>74</v>
      </c>
      <c r="G134" s="1">
        <v>72</v>
      </c>
      <c r="H134" s="1">
        <v>72</v>
      </c>
      <c r="I134">
        <f t="shared" si="10"/>
        <v>218</v>
      </c>
      <c r="J134">
        <f t="shared" si="11"/>
        <v>0</v>
      </c>
      <c r="K134">
        <f t="shared" si="12"/>
        <v>223</v>
      </c>
      <c r="L134">
        <f t="shared" si="13"/>
        <v>223</v>
      </c>
      <c r="M134">
        <f t="shared" si="14"/>
        <v>49729</v>
      </c>
    </row>
    <row r="135" spans="1:13" ht="13.2" x14ac:dyDescent="0.25">
      <c r="A135" s="1" t="s">
        <v>19</v>
      </c>
      <c r="B135" s="1" t="s">
        <v>18</v>
      </c>
      <c r="C135" s="1" t="s">
        <v>22</v>
      </c>
      <c r="D135" s="1" t="s">
        <v>11</v>
      </c>
      <c r="E135" s="1" t="s">
        <v>12</v>
      </c>
      <c r="F135" s="1">
        <v>81</v>
      </c>
      <c r="G135" s="1">
        <v>87</v>
      </c>
      <c r="H135" s="1">
        <v>79</v>
      </c>
      <c r="I135">
        <f t="shared" si="10"/>
        <v>247</v>
      </c>
      <c r="J135">
        <f t="shared" si="11"/>
        <v>0</v>
      </c>
      <c r="K135">
        <f t="shared" si="12"/>
        <v>107</v>
      </c>
      <c r="L135">
        <f t="shared" si="13"/>
        <v>107</v>
      </c>
      <c r="M135">
        <f t="shared" si="14"/>
        <v>11449</v>
      </c>
    </row>
    <row r="136" spans="1:13" ht="13.2" x14ac:dyDescent="0.25">
      <c r="A136" s="1" t="s">
        <v>19</v>
      </c>
      <c r="B136" s="1" t="s">
        <v>18</v>
      </c>
      <c r="C136" s="1" t="s">
        <v>22</v>
      </c>
      <c r="D136" s="1" t="s">
        <v>23</v>
      </c>
      <c r="E136" s="1" t="s">
        <v>17</v>
      </c>
      <c r="F136" s="1">
        <v>62</v>
      </c>
      <c r="G136" s="1">
        <v>58</v>
      </c>
      <c r="H136" s="1">
        <v>57</v>
      </c>
      <c r="I136">
        <f t="shared" si="10"/>
        <v>177</v>
      </c>
      <c r="J136">
        <f t="shared" si="11"/>
        <v>1</v>
      </c>
      <c r="K136">
        <f t="shared" si="12"/>
        <v>419.5</v>
      </c>
      <c r="L136">
        <f t="shared" si="13"/>
        <v>418.5</v>
      </c>
      <c r="M136">
        <f t="shared" si="14"/>
        <v>175142.25</v>
      </c>
    </row>
    <row r="137" spans="1:13" ht="13.2" x14ac:dyDescent="0.25">
      <c r="A137" s="1" t="s">
        <v>19</v>
      </c>
      <c r="B137" s="1" t="s">
        <v>9</v>
      </c>
      <c r="C137" s="1" t="s">
        <v>14</v>
      </c>
      <c r="D137" s="1" t="s">
        <v>23</v>
      </c>
      <c r="E137" s="1" t="s">
        <v>17</v>
      </c>
      <c r="F137" s="1">
        <v>67</v>
      </c>
      <c r="G137" s="1">
        <v>67</v>
      </c>
      <c r="H137" s="1">
        <v>66</v>
      </c>
      <c r="I137">
        <f t="shared" si="10"/>
        <v>200</v>
      </c>
      <c r="J137">
        <f t="shared" si="11"/>
        <v>1</v>
      </c>
      <c r="K137">
        <f t="shared" si="12"/>
        <v>300.5</v>
      </c>
      <c r="L137">
        <f t="shared" si="13"/>
        <v>299.5</v>
      </c>
      <c r="M137">
        <f t="shared" si="14"/>
        <v>89700.25</v>
      </c>
    </row>
    <row r="138" spans="1:13" ht="13.2" x14ac:dyDescent="0.25">
      <c r="A138" s="1" t="s">
        <v>8</v>
      </c>
      <c r="B138" s="1" t="s">
        <v>13</v>
      </c>
      <c r="C138" s="1" t="s">
        <v>14</v>
      </c>
      <c r="D138" s="1" t="s">
        <v>23</v>
      </c>
      <c r="E138" s="1" t="s">
        <v>12</v>
      </c>
      <c r="F138" s="1">
        <v>60</v>
      </c>
      <c r="G138" s="1">
        <v>68</v>
      </c>
      <c r="H138" s="1">
        <v>65</v>
      </c>
      <c r="I138">
        <f t="shared" si="10"/>
        <v>193</v>
      </c>
      <c r="J138">
        <f t="shared" si="11"/>
        <v>0</v>
      </c>
      <c r="K138">
        <f t="shared" si="12"/>
        <v>344</v>
      </c>
      <c r="L138">
        <f t="shared" si="13"/>
        <v>344</v>
      </c>
      <c r="M138">
        <f t="shared" si="14"/>
        <v>118336</v>
      </c>
    </row>
    <row r="139" spans="1:13" ht="13.2" x14ac:dyDescent="0.25">
      <c r="A139" s="1" t="s">
        <v>8</v>
      </c>
      <c r="B139" s="1" t="s">
        <v>9</v>
      </c>
      <c r="C139" s="1" t="s">
        <v>16</v>
      </c>
      <c r="D139" s="1" t="s">
        <v>11</v>
      </c>
      <c r="E139" s="1" t="s">
        <v>17</v>
      </c>
      <c r="F139" s="1">
        <v>54</v>
      </c>
      <c r="G139" s="1">
        <v>65</v>
      </c>
      <c r="H139" s="1">
        <v>59</v>
      </c>
      <c r="I139">
        <f t="shared" si="10"/>
        <v>178</v>
      </c>
      <c r="J139">
        <f t="shared" si="11"/>
        <v>1</v>
      </c>
      <c r="K139">
        <f t="shared" si="12"/>
        <v>414.5</v>
      </c>
      <c r="L139">
        <f t="shared" si="13"/>
        <v>413.5</v>
      </c>
      <c r="M139">
        <f t="shared" si="14"/>
        <v>170982.25</v>
      </c>
    </row>
    <row r="140" spans="1:13" ht="13.2" x14ac:dyDescent="0.25">
      <c r="A140" s="1" t="s">
        <v>19</v>
      </c>
      <c r="B140" s="1" t="s">
        <v>9</v>
      </c>
      <c r="C140" s="1" t="s">
        <v>10</v>
      </c>
      <c r="D140" s="1" t="s">
        <v>23</v>
      </c>
      <c r="E140" s="1" t="s">
        <v>12</v>
      </c>
      <c r="F140" s="1">
        <v>51</v>
      </c>
      <c r="G140" s="1">
        <v>45</v>
      </c>
      <c r="H140" s="1">
        <v>42</v>
      </c>
      <c r="I140">
        <f t="shared" si="10"/>
        <v>138</v>
      </c>
      <c r="J140">
        <f t="shared" si="11"/>
        <v>0</v>
      </c>
      <c r="K140">
        <f t="shared" si="12"/>
        <v>554.5</v>
      </c>
      <c r="L140">
        <f t="shared" si="13"/>
        <v>554.5</v>
      </c>
      <c r="M140">
        <f t="shared" si="14"/>
        <v>307470.25</v>
      </c>
    </row>
    <row r="141" spans="1:13" ht="13.2" x14ac:dyDescent="0.25">
      <c r="A141" s="1" t="s">
        <v>19</v>
      </c>
      <c r="B141" s="1" t="s">
        <v>15</v>
      </c>
      <c r="C141" s="1" t="s">
        <v>10</v>
      </c>
      <c r="D141" s="1" t="s">
        <v>23</v>
      </c>
      <c r="E141" s="1" t="s">
        <v>12</v>
      </c>
      <c r="F141" s="1">
        <v>46</v>
      </c>
      <c r="G141" s="1">
        <v>48</v>
      </c>
      <c r="H141" s="1">
        <v>43</v>
      </c>
      <c r="I141">
        <f t="shared" si="10"/>
        <v>137</v>
      </c>
      <c r="J141">
        <f t="shared" si="11"/>
        <v>0</v>
      </c>
      <c r="K141">
        <f t="shared" si="12"/>
        <v>557</v>
      </c>
      <c r="L141">
        <f t="shared" si="13"/>
        <v>557</v>
      </c>
      <c r="M141">
        <f t="shared" si="14"/>
        <v>310249</v>
      </c>
    </row>
    <row r="142" spans="1:13" ht="13.2" x14ac:dyDescent="0.25">
      <c r="A142" s="1" t="s">
        <v>19</v>
      </c>
      <c r="B142" s="1" t="s">
        <v>9</v>
      </c>
      <c r="C142" s="1" t="s">
        <v>14</v>
      </c>
      <c r="D142" s="1" t="s">
        <v>23</v>
      </c>
      <c r="E142" s="1" t="s">
        <v>12</v>
      </c>
      <c r="F142" s="1">
        <v>71</v>
      </c>
      <c r="G142" s="1">
        <v>84</v>
      </c>
      <c r="H142" s="1">
        <v>72</v>
      </c>
      <c r="I142">
        <f t="shared" si="10"/>
        <v>227</v>
      </c>
      <c r="J142">
        <f t="shared" si="11"/>
        <v>0</v>
      </c>
      <c r="K142">
        <f t="shared" si="12"/>
        <v>180</v>
      </c>
      <c r="L142">
        <f t="shared" si="13"/>
        <v>180</v>
      </c>
      <c r="M142">
        <f t="shared" si="14"/>
        <v>32400</v>
      </c>
    </row>
    <row r="143" spans="1:13" ht="13.2" x14ac:dyDescent="0.25">
      <c r="A143" s="1" t="s">
        <v>19</v>
      </c>
      <c r="B143" s="1" t="s">
        <v>13</v>
      </c>
      <c r="C143" s="1" t="s">
        <v>10</v>
      </c>
      <c r="D143" s="1" t="s">
        <v>23</v>
      </c>
      <c r="E143" s="1" t="s">
        <v>12</v>
      </c>
      <c r="F143" s="1">
        <v>48</v>
      </c>
      <c r="G143" s="1">
        <v>50</v>
      </c>
      <c r="H143" s="1">
        <v>45</v>
      </c>
      <c r="I143">
        <f t="shared" si="10"/>
        <v>143</v>
      </c>
      <c r="J143">
        <f t="shared" si="11"/>
        <v>0</v>
      </c>
      <c r="K143">
        <f t="shared" si="12"/>
        <v>544.5</v>
      </c>
      <c r="L143">
        <f t="shared" si="13"/>
        <v>544.5</v>
      </c>
      <c r="M143">
        <f t="shared" si="14"/>
        <v>296480.25</v>
      </c>
    </row>
    <row r="144" spans="1:13" ht="13.2" x14ac:dyDescent="0.25">
      <c r="A144" s="1" t="s">
        <v>19</v>
      </c>
      <c r="B144" s="1" t="s">
        <v>9</v>
      </c>
      <c r="C144" s="1" t="s">
        <v>14</v>
      </c>
      <c r="D144" s="1" t="s">
        <v>11</v>
      </c>
      <c r="E144" s="1" t="s">
        <v>12</v>
      </c>
      <c r="F144" s="1">
        <v>74</v>
      </c>
      <c r="G144" s="1">
        <v>73</v>
      </c>
      <c r="H144" s="1">
        <v>69</v>
      </c>
      <c r="I144">
        <f t="shared" si="10"/>
        <v>216</v>
      </c>
      <c r="J144">
        <f t="shared" si="11"/>
        <v>0</v>
      </c>
      <c r="K144">
        <f t="shared" si="12"/>
        <v>231</v>
      </c>
      <c r="L144">
        <f t="shared" si="13"/>
        <v>231</v>
      </c>
      <c r="M144">
        <f t="shared" si="14"/>
        <v>53361</v>
      </c>
    </row>
    <row r="145" spans="1:13" ht="13.2" x14ac:dyDescent="0.25">
      <c r="A145" s="1" t="s">
        <v>19</v>
      </c>
      <c r="B145" s="1" t="s">
        <v>13</v>
      </c>
      <c r="C145" s="1" t="s">
        <v>10</v>
      </c>
      <c r="D145" s="1" t="s">
        <v>11</v>
      </c>
      <c r="E145" s="1" t="s">
        <v>12</v>
      </c>
      <c r="F145" s="1">
        <v>76</v>
      </c>
      <c r="G145" s="1">
        <v>75</v>
      </c>
      <c r="H145" s="1">
        <v>68</v>
      </c>
      <c r="I145">
        <f t="shared" si="10"/>
        <v>219</v>
      </c>
      <c r="J145">
        <f t="shared" si="11"/>
        <v>0</v>
      </c>
      <c r="K145">
        <f t="shared" si="12"/>
        <v>218.5</v>
      </c>
      <c r="L145">
        <f t="shared" si="13"/>
        <v>218.5</v>
      </c>
      <c r="M145">
        <f t="shared" si="14"/>
        <v>47742.25</v>
      </c>
    </row>
    <row r="146" spans="1:13" ht="13.2" x14ac:dyDescent="0.25">
      <c r="A146" s="1" t="s">
        <v>8</v>
      </c>
      <c r="B146" s="1" t="s">
        <v>13</v>
      </c>
      <c r="C146" s="1" t="s">
        <v>20</v>
      </c>
      <c r="D146" s="1" t="s">
        <v>23</v>
      </c>
      <c r="E146" s="1" t="s">
        <v>17</v>
      </c>
      <c r="F146" s="1">
        <v>70</v>
      </c>
      <c r="G146" s="1">
        <v>70</v>
      </c>
      <c r="H146" s="1">
        <v>83</v>
      </c>
      <c r="I146">
        <f t="shared" si="10"/>
        <v>223</v>
      </c>
      <c r="J146">
        <f t="shared" si="11"/>
        <v>1</v>
      </c>
      <c r="K146">
        <f t="shared" si="12"/>
        <v>200</v>
      </c>
      <c r="L146">
        <f t="shared" si="13"/>
        <v>199</v>
      </c>
      <c r="M146">
        <f t="shared" si="14"/>
        <v>39601</v>
      </c>
    </row>
    <row r="147" spans="1:13" ht="13.2" x14ac:dyDescent="0.25">
      <c r="A147" s="1" t="s">
        <v>19</v>
      </c>
      <c r="B147" s="1" t="s">
        <v>13</v>
      </c>
      <c r="C147" s="1" t="s">
        <v>16</v>
      </c>
      <c r="D147" s="1" t="s">
        <v>23</v>
      </c>
      <c r="E147" s="1" t="s">
        <v>12</v>
      </c>
      <c r="F147" s="1">
        <v>71</v>
      </c>
      <c r="G147" s="1">
        <v>72</v>
      </c>
      <c r="H147" s="1">
        <v>72</v>
      </c>
      <c r="I147">
        <f t="shared" si="10"/>
        <v>215</v>
      </c>
      <c r="J147">
        <f t="shared" si="11"/>
        <v>0</v>
      </c>
      <c r="K147">
        <f t="shared" si="12"/>
        <v>235.5</v>
      </c>
      <c r="L147">
        <f t="shared" si="13"/>
        <v>235.5</v>
      </c>
      <c r="M147">
        <f t="shared" si="14"/>
        <v>55460.25</v>
      </c>
    </row>
    <row r="148" spans="1:13" ht="13.2" x14ac:dyDescent="0.25">
      <c r="A148" s="1" t="s">
        <v>8</v>
      </c>
      <c r="B148" s="1" t="s">
        <v>9</v>
      </c>
      <c r="C148" s="1" t="s">
        <v>10</v>
      </c>
      <c r="D148" s="1" t="s">
        <v>11</v>
      </c>
      <c r="E148" s="1" t="s">
        <v>17</v>
      </c>
      <c r="F148" s="1">
        <v>61</v>
      </c>
      <c r="G148" s="1">
        <v>72</v>
      </c>
      <c r="H148" s="1">
        <v>76</v>
      </c>
      <c r="I148">
        <f t="shared" si="10"/>
        <v>209</v>
      </c>
      <c r="J148">
        <f t="shared" si="11"/>
        <v>1</v>
      </c>
      <c r="K148">
        <f t="shared" si="12"/>
        <v>257.5</v>
      </c>
      <c r="L148">
        <f t="shared" si="13"/>
        <v>256.5</v>
      </c>
      <c r="M148">
        <f t="shared" si="14"/>
        <v>65792.25</v>
      </c>
    </row>
    <row r="149" spans="1:13" ht="13.2" x14ac:dyDescent="0.25">
      <c r="A149" s="1" t="s">
        <v>19</v>
      </c>
      <c r="B149" s="1" t="s">
        <v>21</v>
      </c>
      <c r="C149" s="1" t="s">
        <v>16</v>
      </c>
      <c r="D149" s="1" t="s">
        <v>11</v>
      </c>
      <c r="E149" s="1" t="s">
        <v>12</v>
      </c>
      <c r="F149" s="1">
        <v>89</v>
      </c>
      <c r="G149" s="1">
        <v>86</v>
      </c>
      <c r="H149" s="1">
        <v>77</v>
      </c>
      <c r="I149">
        <f t="shared" si="10"/>
        <v>252</v>
      </c>
      <c r="J149">
        <f t="shared" si="11"/>
        <v>0</v>
      </c>
      <c r="K149">
        <f t="shared" si="12"/>
        <v>88.5</v>
      </c>
      <c r="L149">
        <f t="shared" si="13"/>
        <v>88.5</v>
      </c>
      <c r="M149">
        <f t="shared" si="14"/>
        <v>7832.25</v>
      </c>
    </row>
    <row r="150" spans="1:13" ht="13.2" x14ac:dyDescent="0.25">
      <c r="A150" s="1" t="s">
        <v>8</v>
      </c>
      <c r="B150" s="1" t="s">
        <v>18</v>
      </c>
      <c r="C150" s="1" t="s">
        <v>10</v>
      </c>
      <c r="D150" s="1" t="s">
        <v>23</v>
      </c>
      <c r="E150" s="1" t="s">
        <v>12</v>
      </c>
      <c r="F150" s="1">
        <v>43</v>
      </c>
      <c r="G150" s="1">
        <v>53</v>
      </c>
      <c r="H150" s="1">
        <v>49</v>
      </c>
      <c r="I150">
        <f t="shared" si="10"/>
        <v>145</v>
      </c>
      <c r="J150">
        <f t="shared" si="11"/>
        <v>0</v>
      </c>
      <c r="K150">
        <f t="shared" si="12"/>
        <v>535.5</v>
      </c>
      <c r="L150">
        <f t="shared" si="13"/>
        <v>535.5</v>
      </c>
      <c r="M150">
        <f t="shared" si="14"/>
        <v>286760.25</v>
      </c>
    </row>
    <row r="151" spans="1:13" ht="13.2" x14ac:dyDescent="0.25">
      <c r="A151" s="1" t="s">
        <v>19</v>
      </c>
      <c r="B151" s="1" t="s">
        <v>21</v>
      </c>
      <c r="C151" s="1" t="s">
        <v>24</v>
      </c>
      <c r="D151" s="1" t="s">
        <v>11</v>
      </c>
      <c r="E151" s="1" t="s">
        <v>17</v>
      </c>
      <c r="F151" s="1">
        <v>67</v>
      </c>
      <c r="G151" s="1">
        <v>60</v>
      </c>
      <c r="H151" s="1">
        <v>60</v>
      </c>
      <c r="I151">
        <f t="shared" si="10"/>
        <v>187</v>
      </c>
      <c r="J151">
        <f t="shared" si="11"/>
        <v>1</v>
      </c>
      <c r="K151">
        <f t="shared" si="12"/>
        <v>380</v>
      </c>
      <c r="L151">
        <f t="shared" si="13"/>
        <v>379</v>
      </c>
      <c r="M151">
        <f t="shared" si="14"/>
        <v>143641</v>
      </c>
    </row>
    <row r="152" spans="1:13" ht="13.2" x14ac:dyDescent="0.25">
      <c r="A152" s="1" t="s">
        <v>19</v>
      </c>
      <c r="B152" s="1" t="s">
        <v>21</v>
      </c>
      <c r="C152" s="1" t="s">
        <v>22</v>
      </c>
      <c r="D152" s="1" t="s">
        <v>11</v>
      </c>
      <c r="E152" s="1" t="s">
        <v>12</v>
      </c>
      <c r="F152" s="1">
        <v>58</v>
      </c>
      <c r="G152" s="1">
        <v>67</v>
      </c>
      <c r="H152" s="1">
        <v>56</v>
      </c>
      <c r="I152">
        <f t="shared" si="10"/>
        <v>181</v>
      </c>
      <c r="J152">
        <f t="shared" si="11"/>
        <v>0</v>
      </c>
      <c r="K152">
        <f t="shared" si="12"/>
        <v>405.5</v>
      </c>
      <c r="L152">
        <f t="shared" si="13"/>
        <v>405.5</v>
      </c>
      <c r="M152">
        <f t="shared" si="14"/>
        <v>164430.25</v>
      </c>
    </row>
    <row r="153" spans="1:13" ht="13.2" x14ac:dyDescent="0.25">
      <c r="A153" s="1" t="s">
        <v>19</v>
      </c>
      <c r="B153" s="1" t="s">
        <v>9</v>
      </c>
      <c r="C153" s="1" t="s">
        <v>14</v>
      </c>
      <c r="D153" s="1" t="s">
        <v>23</v>
      </c>
      <c r="E153" s="1" t="s">
        <v>17</v>
      </c>
      <c r="F153" s="1">
        <v>64</v>
      </c>
      <c r="G153" s="1">
        <v>60</v>
      </c>
      <c r="H153" s="1">
        <v>61</v>
      </c>
      <c r="I153">
        <f t="shared" si="10"/>
        <v>185</v>
      </c>
      <c r="J153">
        <f t="shared" si="11"/>
        <v>1</v>
      </c>
      <c r="K153">
        <f t="shared" si="12"/>
        <v>389.5</v>
      </c>
      <c r="L153">
        <f t="shared" si="13"/>
        <v>388.5</v>
      </c>
      <c r="M153">
        <f t="shared" si="14"/>
        <v>150932.25</v>
      </c>
    </row>
    <row r="154" spans="1:13" ht="13.2" x14ac:dyDescent="0.25">
      <c r="A154" s="1" t="s">
        <v>8</v>
      </c>
      <c r="B154" s="1" t="s">
        <v>18</v>
      </c>
      <c r="C154" s="1" t="s">
        <v>10</v>
      </c>
      <c r="D154" s="1" t="s">
        <v>11</v>
      </c>
      <c r="E154" s="1" t="s">
        <v>12</v>
      </c>
      <c r="F154" s="1">
        <v>71</v>
      </c>
      <c r="G154" s="1">
        <v>76</v>
      </c>
      <c r="H154" s="1">
        <v>79</v>
      </c>
      <c r="I154">
        <f t="shared" si="10"/>
        <v>226</v>
      </c>
      <c r="J154">
        <f t="shared" si="11"/>
        <v>0</v>
      </c>
      <c r="K154">
        <f t="shared" si="12"/>
        <v>186.5</v>
      </c>
      <c r="L154">
        <f t="shared" si="13"/>
        <v>186.5</v>
      </c>
      <c r="M154">
        <f t="shared" si="14"/>
        <v>34782.25</v>
      </c>
    </row>
    <row r="155" spans="1:13" ht="13.2" x14ac:dyDescent="0.25">
      <c r="A155" s="1" t="s">
        <v>19</v>
      </c>
      <c r="B155" s="1" t="s">
        <v>18</v>
      </c>
      <c r="C155" s="1" t="s">
        <v>14</v>
      </c>
      <c r="D155" s="1" t="s">
        <v>23</v>
      </c>
      <c r="E155" s="1" t="s">
        <v>17</v>
      </c>
      <c r="F155" s="1">
        <v>42</v>
      </c>
      <c r="G155" s="1">
        <v>54</v>
      </c>
      <c r="H155" s="1">
        <v>50</v>
      </c>
      <c r="I155">
        <f t="shared" si="10"/>
        <v>146</v>
      </c>
      <c r="J155">
        <f t="shared" si="11"/>
        <v>1</v>
      </c>
      <c r="K155">
        <f t="shared" si="12"/>
        <v>532</v>
      </c>
      <c r="L155">
        <f t="shared" si="13"/>
        <v>531</v>
      </c>
      <c r="M155">
        <f t="shared" si="14"/>
        <v>281961</v>
      </c>
    </row>
    <row r="156" spans="1:13" ht="13.2" x14ac:dyDescent="0.25">
      <c r="A156" s="1" t="s">
        <v>19</v>
      </c>
      <c r="B156" s="1" t="s">
        <v>9</v>
      </c>
      <c r="C156" s="1" t="s">
        <v>16</v>
      </c>
      <c r="D156" s="1" t="s">
        <v>11</v>
      </c>
      <c r="E156" s="1" t="s">
        <v>17</v>
      </c>
      <c r="F156" s="1">
        <v>92</v>
      </c>
      <c r="G156" s="1">
        <v>91</v>
      </c>
      <c r="H156" s="1">
        <v>92</v>
      </c>
      <c r="I156">
        <f t="shared" si="10"/>
        <v>275</v>
      </c>
      <c r="J156">
        <f t="shared" si="11"/>
        <v>1</v>
      </c>
      <c r="K156">
        <f t="shared" si="12"/>
        <v>34</v>
      </c>
      <c r="L156">
        <f t="shared" si="13"/>
        <v>33</v>
      </c>
      <c r="M156">
        <f t="shared" si="14"/>
        <v>1089</v>
      </c>
    </row>
    <row r="157" spans="1:13" ht="13.2" x14ac:dyDescent="0.25">
      <c r="A157" s="1" t="s">
        <v>19</v>
      </c>
      <c r="B157" s="1" t="s">
        <v>9</v>
      </c>
      <c r="C157" s="1" t="s">
        <v>16</v>
      </c>
      <c r="D157" s="1" t="s">
        <v>11</v>
      </c>
      <c r="E157" s="1" t="s">
        <v>12</v>
      </c>
      <c r="F157" s="1">
        <v>72</v>
      </c>
      <c r="G157" s="1">
        <v>72</v>
      </c>
      <c r="H157" s="1">
        <v>65</v>
      </c>
      <c r="I157">
        <f t="shared" si="10"/>
        <v>209</v>
      </c>
      <c r="J157">
        <f t="shared" si="11"/>
        <v>0</v>
      </c>
      <c r="K157">
        <f t="shared" si="12"/>
        <v>257.5</v>
      </c>
      <c r="L157">
        <f t="shared" si="13"/>
        <v>257.5</v>
      </c>
      <c r="M157">
        <f t="shared" si="14"/>
        <v>66306.25</v>
      </c>
    </row>
    <row r="158" spans="1:13" ht="13.2" x14ac:dyDescent="0.25">
      <c r="A158" s="1" t="s">
        <v>8</v>
      </c>
      <c r="B158" s="1" t="s">
        <v>18</v>
      </c>
      <c r="C158" s="1" t="s">
        <v>20</v>
      </c>
      <c r="D158" s="1" t="s">
        <v>23</v>
      </c>
      <c r="E158" s="1" t="s">
        <v>17</v>
      </c>
      <c r="F158" s="1">
        <v>47</v>
      </c>
      <c r="G158" s="1">
        <v>60</v>
      </c>
      <c r="H158" s="1">
        <v>54</v>
      </c>
      <c r="I158">
        <f t="shared" si="10"/>
        <v>161</v>
      </c>
      <c r="J158">
        <f t="shared" si="11"/>
        <v>1</v>
      </c>
      <c r="K158">
        <f t="shared" si="12"/>
        <v>486.5</v>
      </c>
      <c r="L158">
        <f t="shared" si="13"/>
        <v>485.5</v>
      </c>
      <c r="M158">
        <f t="shared" si="14"/>
        <v>235710.25</v>
      </c>
    </row>
    <row r="159" spans="1:13" ht="13.2" x14ac:dyDescent="0.25">
      <c r="A159" s="1" t="s">
        <v>8</v>
      </c>
      <c r="B159" s="1" t="s">
        <v>21</v>
      </c>
      <c r="C159" s="1" t="s">
        <v>14</v>
      </c>
      <c r="D159" s="1" t="s">
        <v>23</v>
      </c>
      <c r="E159" s="1" t="s">
        <v>12</v>
      </c>
      <c r="F159" s="1">
        <v>63</v>
      </c>
      <c r="G159" s="1">
        <v>59</v>
      </c>
      <c r="H159" s="1">
        <v>59</v>
      </c>
      <c r="I159">
        <f t="shared" si="10"/>
        <v>181</v>
      </c>
      <c r="J159">
        <f t="shared" si="11"/>
        <v>0</v>
      </c>
      <c r="K159">
        <f t="shared" si="12"/>
        <v>405.5</v>
      </c>
      <c r="L159">
        <f t="shared" si="13"/>
        <v>405.5</v>
      </c>
      <c r="M159">
        <f t="shared" si="14"/>
        <v>164430.25</v>
      </c>
    </row>
    <row r="160" spans="1:13" ht="13.2" x14ac:dyDescent="0.25">
      <c r="A160" s="1" t="s">
        <v>19</v>
      </c>
      <c r="B160" s="1" t="s">
        <v>9</v>
      </c>
      <c r="C160" s="1" t="s">
        <v>16</v>
      </c>
      <c r="D160" s="1" t="s">
        <v>23</v>
      </c>
      <c r="E160" s="1" t="s">
        <v>12</v>
      </c>
      <c r="F160" s="1">
        <v>35</v>
      </c>
      <c r="G160" s="1">
        <v>37</v>
      </c>
      <c r="H160" s="1">
        <v>41</v>
      </c>
      <c r="I160">
        <f t="shared" si="10"/>
        <v>113</v>
      </c>
      <c r="J160">
        <f t="shared" si="11"/>
        <v>0</v>
      </c>
      <c r="K160">
        <f t="shared" si="12"/>
        <v>588.5</v>
      </c>
      <c r="L160">
        <f t="shared" si="13"/>
        <v>588.5</v>
      </c>
      <c r="M160">
        <f t="shared" si="14"/>
        <v>346332.25</v>
      </c>
    </row>
    <row r="161" spans="1:13" ht="13.2" x14ac:dyDescent="0.25">
      <c r="A161" s="1" t="s">
        <v>19</v>
      </c>
      <c r="B161" s="1" t="s">
        <v>18</v>
      </c>
      <c r="C161" s="1" t="s">
        <v>14</v>
      </c>
      <c r="D161" s="1" t="s">
        <v>11</v>
      </c>
      <c r="E161" s="1" t="s">
        <v>12</v>
      </c>
      <c r="F161" s="1">
        <v>79</v>
      </c>
      <c r="G161" s="1">
        <v>66</v>
      </c>
      <c r="H161" s="1">
        <v>65</v>
      </c>
      <c r="I161">
        <f t="shared" si="10"/>
        <v>210</v>
      </c>
      <c r="J161">
        <f t="shared" si="11"/>
        <v>0</v>
      </c>
      <c r="K161">
        <f t="shared" si="12"/>
        <v>251</v>
      </c>
      <c r="L161">
        <f t="shared" si="13"/>
        <v>251</v>
      </c>
      <c r="M161">
        <f t="shared" si="14"/>
        <v>63001</v>
      </c>
    </row>
    <row r="162" spans="1:13" ht="13.2" x14ac:dyDescent="0.25">
      <c r="A162" s="1" t="s">
        <v>19</v>
      </c>
      <c r="B162" s="1" t="s">
        <v>15</v>
      </c>
      <c r="C162" s="1" t="s">
        <v>14</v>
      </c>
      <c r="D162" s="1" t="s">
        <v>11</v>
      </c>
      <c r="E162" s="1" t="s">
        <v>12</v>
      </c>
      <c r="F162" s="1">
        <v>70</v>
      </c>
      <c r="G162" s="1">
        <v>68</v>
      </c>
      <c r="H162" s="1">
        <v>60</v>
      </c>
      <c r="I162">
        <f t="shared" si="10"/>
        <v>198</v>
      </c>
      <c r="J162">
        <f t="shared" si="11"/>
        <v>0</v>
      </c>
      <c r="K162">
        <f t="shared" si="12"/>
        <v>313</v>
      </c>
      <c r="L162">
        <f t="shared" si="13"/>
        <v>313</v>
      </c>
      <c r="M162">
        <f t="shared" si="14"/>
        <v>97969</v>
      </c>
    </row>
    <row r="163" spans="1:13" ht="13.2" x14ac:dyDescent="0.25">
      <c r="A163" s="1" t="s">
        <v>8</v>
      </c>
      <c r="B163" s="1" t="s">
        <v>13</v>
      </c>
      <c r="C163" s="1" t="s">
        <v>20</v>
      </c>
      <c r="D163" s="1" t="s">
        <v>11</v>
      </c>
      <c r="E163" s="1" t="s">
        <v>12</v>
      </c>
      <c r="F163" s="1">
        <v>71</v>
      </c>
      <c r="G163" s="1">
        <v>73</v>
      </c>
      <c r="H163" s="1">
        <v>76</v>
      </c>
      <c r="I163">
        <f t="shared" si="10"/>
        <v>220</v>
      </c>
      <c r="J163">
        <f t="shared" si="11"/>
        <v>0</v>
      </c>
      <c r="K163">
        <f t="shared" si="12"/>
        <v>213.5</v>
      </c>
      <c r="L163">
        <f t="shared" si="13"/>
        <v>213.5</v>
      </c>
      <c r="M163">
        <f t="shared" si="14"/>
        <v>45582.25</v>
      </c>
    </row>
    <row r="164" spans="1:13" ht="13.2" x14ac:dyDescent="0.25">
      <c r="A164" s="1" t="s">
        <v>8</v>
      </c>
      <c r="B164" s="1" t="s">
        <v>15</v>
      </c>
      <c r="C164" s="1" t="s">
        <v>16</v>
      </c>
      <c r="D164" s="1" t="s">
        <v>11</v>
      </c>
      <c r="E164" s="1" t="s">
        <v>12</v>
      </c>
      <c r="F164" s="1">
        <v>85</v>
      </c>
      <c r="G164" s="1">
        <v>90</v>
      </c>
      <c r="H164" s="1">
        <v>85</v>
      </c>
      <c r="I164">
        <f t="shared" si="10"/>
        <v>260</v>
      </c>
      <c r="J164">
        <f t="shared" si="11"/>
        <v>0</v>
      </c>
      <c r="K164">
        <f t="shared" si="12"/>
        <v>63.5</v>
      </c>
      <c r="L164">
        <f t="shared" si="13"/>
        <v>63.5</v>
      </c>
      <c r="M164">
        <f t="shared" si="14"/>
        <v>4032.25</v>
      </c>
    </row>
    <row r="165" spans="1:13" ht="13.2" x14ac:dyDescent="0.25">
      <c r="A165" s="1" t="s">
        <v>8</v>
      </c>
      <c r="B165" s="1" t="s">
        <v>13</v>
      </c>
      <c r="C165" s="1" t="s">
        <v>10</v>
      </c>
      <c r="D165" s="1" t="s">
        <v>11</v>
      </c>
      <c r="E165" s="1" t="s">
        <v>17</v>
      </c>
      <c r="F165" s="1">
        <v>65</v>
      </c>
      <c r="G165" s="1">
        <v>71</v>
      </c>
      <c r="H165" s="1">
        <v>77</v>
      </c>
      <c r="I165">
        <f t="shared" si="10"/>
        <v>213</v>
      </c>
      <c r="J165">
        <f t="shared" si="11"/>
        <v>1</v>
      </c>
      <c r="K165">
        <f t="shared" si="12"/>
        <v>241</v>
      </c>
      <c r="L165">
        <f t="shared" si="13"/>
        <v>240</v>
      </c>
      <c r="M165">
        <f t="shared" si="14"/>
        <v>57600</v>
      </c>
    </row>
    <row r="166" spans="1:13" ht="13.2" x14ac:dyDescent="0.25">
      <c r="A166" s="1" t="s">
        <v>19</v>
      </c>
      <c r="B166" s="1" t="s">
        <v>13</v>
      </c>
      <c r="C166" s="1" t="s">
        <v>14</v>
      </c>
      <c r="D166" s="1" t="s">
        <v>11</v>
      </c>
      <c r="E166" s="1" t="s">
        <v>12</v>
      </c>
      <c r="F166" s="1">
        <v>61</v>
      </c>
      <c r="G166" s="1">
        <v>57</v>
      </c>
      <c r="H166" s="1">
        <v>45</v>
      </c>
      <c r="I166">
        <f t="shared" si="10"/>
        <v>163</v>
      </c>
      <c r="J166">
        <f t="shared" si="11"/>
        <v>0</v>
      </c>
      <c r="K166">
        <f t="shared" si="12"/>
        <v>481</v>
      </c>
      <c r="L166">
        <f t="shared" si="13"/>
        <v>481</v>
      </c>
      <c r="M166">
        <f t="shared" si="14"/>
        <v>231361</v>
      </c>
    </row>
    <row r="167" spans="1:13" ht="13.2" x14ac:dyDescent="0.25">
      <c r="A167" s="1" t="s">
        <v>8</v>
      </c>
      <c r="B167" s="1" t="s">
        <v>18</v>
      </c>
      <c r="C167" s="1" t="s">
        <v>14</v>
      </c>
      <c r="D167" s="1" t="s">
        <v>11</v>
      </c>
      <c r="E167" s="1" t="s">
        <v>12</v>
      </c>
      <c r="F167" s="1">
        <v>40</v>
      </c>
      <c r="G167" s="1">
        <v>48</v>
      </c>
      <c r="H167" s="1">
        <v>48</v>
      </c>
      <c r="I167">
        <f t="shared" si="10"/>
        <v>136</v>
      </c>
      <c r="J167">
        <f t="shared" si="11"/>
        <v>0</v>
      </c>
      <c r="K167">
        <f t="shared" si="12"/>
        <v>561</v>
      </c>
      <c r="L167">
        <f t="shared" si="13"/>
        <v>561</v>
      </c>
      <c r="M167">
        <f t="shared" si="14"/>
        <v>314721</v>
      </c>
    </row>
    <row r="168" spans="1:13" ht="13.2" x14ac:dyDescent="0.25">
      <c r="A168" s="1" t="s">
        <v>19</v>
      </c>
      <c r="B168" s="1" t="s">
        <v>13</v>
      </c>
      <c r="C168" s="1" t="s">
        <v>14</v>
      </c>
      <c r="D168" s="1" t="s">
        <v>11</v>
      </c>
      <c r="E168" s="1" t="s">
        <v>17</v>
      </c>
      <c r="F168" s="1">
        <v>65</v>
      </c>
      <c r="G168" s="1">
        <v>64</v>
      </c>
      <c r="H168" s="1">
        <v>65</v>
      </c>
      <c r="I168">
        <f t="shared" si="10"/>
        <v>194</v>
      </c>
      <c r="J168">
        <f t="shared" si="11"/>
        <v>1</v>
      </c>
      <c r="K168">
        <f t="shared" si="12"/>
        <v>338.5</v>
      </c>
      <c r="L168">
        <f t="shared" si="13"/>
        <v>337.5</v>
      </c>
      <c r="M168">
        <f t="shared" si="14"/>
        <v>113906.25</v>
      </c>
    </row>
    <row r="169" spans="1:13" ht="13.2" x14ac:dyDescent="0.25">
      <c r="A169" s="1" t="s">
        <v>8</v>
      </c>
      <c r="B169" s="1" t="s">
        <v>9</v>
      </c>
      <c r="C169" s="1" t="s">
        <v>24</v>
      </c>
      <c r="D169" s="1" t="s">
        <v>11</v>
      </c>
      <c r="E169" s="1" t="s">
        <v>12</v>
      </c>
      <c r="F169" s="1">
        <v>62</v>
      </c>
      <c r="G169" s="1">
        <v>77</v>
      </c>
      <c r="H169" s="1">
        <v>72</v>
      </c>
      <c r="I169">
        <f t="shared" si="10"/>
        <v>211</v>
      </c>
      <c r="J169">
        <f t="shared" si="11"/>
        <v>0</v>
      </c>
      <c r="K169">
        <f t="shared" si="12"/>
        <v>248.5</v>
      </c>
      <c r="L169">
        <f t="shared" si="13"/>
        <v>248.5</v>
      </c>
      <c r="M169">
        <f t="shared" si="14"/>
        <v>61752.25</v>
      </c>
    </row>
    <row r="170" spans="1:13" ht="13.2" x14ac:dyDescent="0.25">
      <c r="A170" s="1" t="s">
        <v>8</v>
      </c>
      <c r="B170" s="1" t="s">
        <v>9</v>
      </c>
      <c r="C170" s="1" t="s">
        <v>20</v>
      </c>
      <c r="D170" s="1" t="s">
        <v>11</v>
      </c>
      <c r="E170" s="1" t="s">
        <v>12</v>
      </c>
      <c r="F170" s="1">
        <v>65</v>
      </c>
      <c r="G170" s="1">
        <v>63</v>
      </c>
      <c r="H170" s="1">
        <v>68</v>
      </c>
      <c r="I170">
        <f t="shared" si="10"/>
        <v>196</v>
      </c>
      <c r="J170">
        <f t="shared" si="11"/>
        <v>0</v>
      </c>
      <c r="K170">
        <f t="shared" si="12"/>
        <v>323.5</v>
      </c>
      <c r="L170">
        <f t="shared" si="13"/>
        <v>323.5</v>
      </c>
      <c r="M170">
        <f t="shared" si="14"/>
        <v>104652.25</v>
      </c>
    </row>
    <row r="171" spans="1:13" ht="13.2" x14ac:dyDescent="0.25">
      <c r="A171" s="1" t="s">
        <v>8</v>
      </c>
      <c r="B171" s="1" t="s">
        <v>18</v>
      </c>
      <c r="C171" s="1" t="s">
        <v>10</v>
      </c>
      <c r="D171" s="1" t="s">
        <v>11</v>
      </c>
      <c r="E171" s="1" t="s">
        <v>12</v>
      </c>
      <c r="F171" s="1">
        <v>63</v>
      </c>
      <c r="G171" s="1">
        <v>67</v>
      </c>
      <c r="H171" s="1">
        <v>57</v>
      </c>
      <c r="I171">
        <f t="shared" si="10"/>
        <v>187</v>
      </c>
      <c r="J171">
        <f t="shared" si="11"/>
        <v>0</v>
      </c>
      <c r="K171">
        <f t="shared" si="12"/>
        <v>380</v>
      </c>
      <c r="L171">
        <f t="shared" si="13"/>
        <v>380</v>
      </c>
      <c r="M171">
        <f t="shared" si="14"/>
        <v>144400</v>
      </c>
    </row>
    <row r="172" spans="1:13" ht="13.2" x14ac:dyDescent="0.25">
      <c r="A172" s="1" t="s">
        <v>8</v>
      </c>
      <c r="B172" s="1" t="s">
        <v>21</v>
      </c>
      <c r="C172" s="1" t="s">
        <v>10</v>
      </c>
      <c r="D172" s="1" t="s">
        <v>11</v>
      </c>
      <c r="E172" s="1" t="s">
        <v>12</v>
      </c>
      <c r="F172" s="1">
        <v>72</v>
      </c>
      <c r="G172" s="1">
        <v>77</v>
      </c>
      <c r="H172" s="1">
        <v>74</v>
      </c>
      <c r="I172">
        <f t="shared" si="10"/>
        <v>223</v>
      </c>
      <c r="J172">
        <f t="shared" si="11"/>
        <v>0</v>
      </c>
      <c r="K172">
        <f t="shared" si="12"/>
        <v>200</v>
      </c>
      <c r="L172">
        <f t="shared" si="13"/>
        <v>200</v>
      </c>
      <c r="M172">
        <f t="shared" si="14"/>
        <v>40000</v>
      </c>
    </row>
    <row r="173" spans="1:13" ht="13.2" x14ac:dyDescent="0.25">
      <c r="A173" s="1" t="s">
        <v>19</v>
      </c>
      <c r="B173" s="1" t="s">
        <v>13</v>
      </c>
      <c r="C173" s="1" t="s">
        <v>16</v>
      </c>
      <c r="D173" s="1" t="s">
        <v>23</v>
      </c>
      <c r="E173" s="1" t="s">
        <v>12</v>
      </c>
      <c r="F173" s="1">
        <v>58</v>
      </c>
      <c r="G173" s="1">
        <v>59</v>
      </c>
      <c r="H173" s="1">
        <v>54</v>
      </c>
      <c r="I173">
        <f t="shared" si="10"/>
        <v>171</v>
      </c>
      <c r="J173">
        <f t="shared" si="11"/>
        <v>0</v>
      </c>
      <c r="K173">
        <f t="shared" si="12"/>
        <v>450</v>
      </c>
      <c r="L173">
        <f t="shared" si="13"/>
        <v>450</v>
      </c>
      <c r="M173">
        <f t="shared" si="14"/>
        <v>202500</v>
      </c>
    </row>
    <row r="174" spans="1:13" ht="13.2" x14ac:dyDescent="0.25">
      <c r="A174" s="1" t="s">
        <v>8</v>
      </c>
      <c r="B174" s="1" t="s">
        <v>9</v>
      </c>
      <c r="C174" s="1" t="s">
        <v>14</v>
      </c>
      <c r="D174" s="1" t="s">
        <v>11</v>
      </c>
      <c r="E174" s="1" t="s">
        <v>17</v>
      </c>
      <c r="F174" s="1">
        <v>53</v>
      </c>
      <c r="G174" s="1">
        <v>70</v>
      </c>
      <c r="H174" s="1">
        <v>64</v>
      </c>
      <c r="I174">
        <f t="shared" si="10"/>
        <v>187</v>
      </c>
      <c r="J174">
        <f t="shared" si="11"/>
        <v>1</v>
      </c>
      <c r="K174">
        <f t="shared" si="12"/>
        <v>380</v>
      </c>
      <c r="L174">
        <f t="shared" si="13"/>
        <v>379</v>
      </c>
      <c r="M174">
        <f t="shared" si="14"/>
        <v>143641</v>
      </c>
    </row>
    <row r="175" spans="1:13" ht="13.2" x14ac:dyDescent="0.25">
      <c r="A175" s="1" t="s">
        <v>8</v>
      </c>
      <c r="B175" s="1" t="s">
        <v>13</v>
      </c>
      <c r="C175" s="1" t="s">
        <v>22</v>
      </c>
      <c r="D175" s="1" t="s">
        <v>11</v>
      </c>
      <c r="E175" s="1" t="s">
        <v>12</v>
      </c>
      <c r="F175" s="1">
        <v>51</v>
      </c>
      <c r="G175" s="1">
        <v>63</v>
      </c>
      <c r="H175" s="1">
        <v>59</v>
      </c>
      <c r="I175">
        <f t="shared" si="10"/>
        <v>173</v>
      </c>
      <c r="J175">
        <f t="shared" si="11"/>
        <v>0</v>
      </c>
      <c r="K175">
        <f t="shared" si="12"/>
        <v>440.5</v>
      </c>
      <c r="L175">
        <f t="shared" si="13"/>
        <v>440.5</v>
      </c>
      <c r="M175">
        <f t="shared" si="14"/>
        <v>194040.25</v>
      </c>
    </row>
    <row r="176" spans="1:13" ht="13.2" x14ac:dyDescent="0.25">
      <c r="A176" s="1" t="s">
        <v>8</v>
      </c>
      <c r="B176" s="1" t="s">
        <v>18</v>
      </c>
      <c r="C176" s="1" t="s">
        <v>14</v>
      </c>
      <c r="D176" s="1" t="s">
        <v>11</v>
      </c>
      <c r="E176" s="1" t="s">
        <v>12</v>
      </c>
      <c r="F176" s="1">
        <v>74</v>
      </c>
      <c r="G176" s="1">
        <v>83</v>
      </c>
      <c r="H176" s="1">
        <v>82</v>
      </c>
      <c r="I176">
        <f t="shared" si="10"/>
        <v>239</v>
      </c>
      <c r="J176">
        <f t="shared" si="11"/>
        <v>0</v>
      </c>
      <c r="K176">
        <f t="shared" si="12"/>
        <v>135.5</v>
      </c>
      <c r="L176">
        <f t="shared" si="13"/>
        <v>135.5</v>
      </c>
      <c r="M176">
        <f t="shared" si="14"/>
        <v>18360.25</v>
      </c>
    </row>
    <row r="177" spans="1:13" ht="13.2" x14ac:dyDescent="0.25">
      <c r="A177" s="1" t="s">
        <v>8</v>
      </c>
      <c r="B177" s="1" t="s">
        <v>13</v>
      </c>
      <c r="C177" s="1" t="s">
        <v>22</v>
      </c>
      <c r="D177" s="1" t="s">
        <v>23</v>
      </c>
      <c r="E177" s="1" t="s">
        <v>17</v>
      </c>
      <c r="F177" s="1">
        <v>54</v>
      </c>
      <c r="G177" s="1">
        <v>74</v>
      </c>
      <c r="H177" s="1">
        <v>68</v>
      </c>
      <c r="I177">
        <f t="shared" si="10"/>
        <v>196</v>
      </c>
      <c r="J177">
        <f t="shared" si="11"/>
        <v>1</v>
      </c>
      <c r="K177">
        <f t="shared" si="12"/>
        <v>323.5</v>
      </c>
      <c r="L177">
        <f t="shared" si="13"/>
        <v>322.5</v>
      </c>
      <c r="M177">
        <f t="shared" si="14"/>
        <v>104006.25</v>
      </c>
    </row>
    <row r="178" spans="1:13" ht="13.2" x14ac:dyDescent="0.25">
      <c r="A178" s="1" t="s">
        <v>8</v>
      </c>
      <c r="B178" s="1" t="s">
        <v>13</v>
      </c>
      <c r="C178" s="1" t="s">
        <v>24</v>
      </c>
      <c r="D178" s="1" t="s">
        <v>11</v>
      </c>
      <c r="E178" s="1" t="s">
        <v>12</v>
      </c>
      <c r="F178" s="1">
        <v>67</v>
      </c>
      <c r="G178" s="1">
        <v>79</v>
      </c>
      <c r="H178" s="1">
        <v>74</v>
      </c>
      <c r="I178">
        <f t="shared" si="10"/>
        <v>220</v>
      </c>
      <c r="J178">
        <f t="shared" si="11"/>
        <v>0</v>
      </c>
      <c r="K178">
        <f t="shared" si="12"/>
        <v>213.5</v>
      </c>
      <c r="L178">
        <f t="shared" si="13"/>
        <v>213.5</v>
      </c>
      <c r="M178">
        <f t="shared" si="14"/>
        <v>45582.25</v>
      </c>
    </row>
    <row r="179" spans="1:13" ht="13.2" x14ac:dyDescent="0.25">
      <c r="A179" s="1" t="s">
        <v>8</v>
      </c>
      <c r="B179" s="1" t="s">
        <v>18</v>
      </c>
      <c r="C179" s="1" t="s">
        <v>14</v>
      </c>
      <c r="D179" s="1" t="s">
        <v>11</v>
      </c>
      <c r="E179" s="1" t="s">
        <v>12</v>
      </c>
      <c r="F179" s="1">
        <v>73</v>
      </c>
      <c r="G179" s="1">
        <v>87</v>
      </c>
      <c r="H179" s="1">
        <v>88</v>
      </c>
      <c r="I179">
        <f t="shared" si="10"/>
        <v>248</v>
      </c>
      <c r="J179">
        <f t="shared" si="11"/>
        <v>0</v>
      </c>
      <c r="K179">
        <f t="shared" si="12"/>
        <v>103</v>
      </c>
      <c r="L179">
        <f t="shared" si="13"/>
        <v>103</v>
      </c>
      <c r="M179">
        <f t="shared" si="14"/>
        <v>10609</v>
      </c>
    </row>
    <row r="180" spans="1:13" ht="13.2" x14ac:dyDescent="0.25">
      <c r="A180" s="1" t="s">
        <v>8</v>
      </c>
      <c r="B180" s="1" t="s">
        <v>13</v>
      </c>
      <c r="C180" s="1" t="s">
        <v>14</v>
      </c>
      <c r="D180" s="1" t="s">
        <v>11</v>
      </c>
      <c r="E180" s="1" t="s">
        <v>12</v>
      </c>
      <c r="F180" s="1">
        <v>76</v>
      </c>
      <c r="G180" s="1">
        <v>93</v>
      </c>
      <c r="H180" s="1">
        <v>91</v>
      </c>
      <c r="I180">
        <f t="shared" si="10"/>
        <v>260</v>
      </c>
      <c r="J180">
        <f t="shared" si="11"/>
        <v>0</v>
      </c>
      <c r="K180">
        <f t="shared" si="12"/>
        <v>63.5</v>
      </c>
      <c r="L180">
        <f t="shared" si="13"/>
        <v>63.5</v>
      </c>
      <c r="M180">
        <f t="shared" si="14"/>
        <v>4032.25</v>
      </c>
    </row>
    <row r="181" spans="1:13" ht="13.2" x14ac:dyDescent="0.25">
      <c r="A181" s="1" t="s">
        <v>8</v>
      </c>
      <c r="B181" s="1" t="s">
        <v>18</v>
      </c>
      <c r="C181" s="1" t="s">
        <v>10</v>
      </c>
      <c r="D181" s="1" t="s">
        <v>23</v>
      </c>
      <c r="E181" s="1" t="s">
        <v>12</v>
      </c>
      <c r="F181" s="1">
        <v>42</v>
      </c>
      <c r="G181" s="1">
        <v>49</v>
      </c>
      <c r="H181" s="1">
        <v>54</v>
      </c>
      <c r="I181">
        <f t="shared" si="10"/>
        <v>145</v>
      </c>
      <c r="J181">
        <f t="shared" si="11"/>
        <v>0</v>
      </c>
      <c r="K181">
        <f t="shared" si="12"/>
        <v>535.5</v>
      </c>
      <c r="L181">
        <f t="shared" si="13"/>
        <v>535.5</v>
      </c>
      <c r="M181">
        <f t="shared" si="14"/>
        <v>286760.25</v>
      </c>
    </row>
    <row r="182" spans="1:13" ht="13.2" x14ac:dyDescent="0.25">
      <c r="A182" s="1" t="s">
        <v>8</v>
      </c>
      <c r="B182" s="1" t="s">
        <v>18</v>
      </c>
      <c r="C182" s="1" t="s">
        <v>20</v>
      </c>
      <c r="D182" s="1" t="s">
        <v>11</v>
      </c>
      <c r="E182" s="1" t="s">
        <v>12</v>
      </c>
      <c r="F182" s="1">
        <v>56</v>
      </c>
      <c r="G182" s="1">
        <v>55</v>
      </c>
      <c r="H182" s="1">
        <v>59</v>
      </c>
      <c r="I182">
        <f t="shared" si="10"/>
        <v>170</v>
      </c>
      <c r="J182">
        <f t="shared" si="11"/>
        <v>0</v>
      </c>
      <c r="K182">
        <f t="shared" si="12"/>
        <v>455.5</v>
      </c>
      <c r="L182">
        <f t="shared" si="13"/>
        <v>455.5</v>
      </c>
      <c r="M182">
        <f t="shared" si="14"/>
        <v>207480.25</v>
      </c>
    </row>
    <row r="183" spans="1:13" ht="13.2" x14ac:dyDescent="0.25">
      <c r="A183" s="1" t="s">
        <v>19</v>
      </c>
      <c r="B183" s="1" t="s">
        <v>15</v>
      </c>
      <c r="C183" s="1" t="s">
        <v>22</v>
      </c>
      <c r="D183" s="1" t="s">
        <v>11</v>
      </c>
      <c r="E183" s="1" t="s">
        <v>17</v>
      </c>
      <c r="F183" s="1">
        <v>87</v>
      </c>
      <c r="G183" s="1">
        <v>80</v>
      </c>
      <c r="H183" s="1">
        <v>84</v>
      </c>
      <c r="I183">
        <f t="shared" si="10"/>
        <v>251</v>
      </c>
      <c r="J183">
        <f t="shared" si="11"/>
        <v>1</v>
      </c>
      <c r="K183">
        <f t="shared" si="12"/>
        <v>92</v>
      </c>
      <c r="L183">
        <f t="shared" si="13"/>
        <v>91</v>
      </c>
      <c r="M183">
        <f t="shared" si="14"/>
        <v>8281</v>
      </c>
    </row>
    <row r="184" spans="1:13" ht="13.2" x14ac:dyDescent="0.25">
      <c r="A184" s="1" t="s">
        <v>19</v>
      </c>
      <c r="B184" s="1" t="s">
        <v>21</v>
      </c>
      <c r="C184" s="1" t="s">
        <v>16</v>
      </c>
      <c r="D184" s="1" t="s">
        <v>23</v>
      </c>
      <c r="E184" s="1" t="s">
        <v>12</v>
      </c>
      <c r="F184" s="1">
        <v>72</v>
      </c>
      <c r="G184" s="1">
        <v>69</v>
      </c>
      <c r="H184" s="1">
        <v>64</v>
      </c>
      <c r="I184">
        <f t="shared" si="10"/>
        <v>205</v>
      </c>
      <c r="J184">
        <f t="shared" si="11"/>
        <v>0</v>
      </c>
      <c r="K184">
        <f t="shared" si="12"/>
        <v>277</v>
      </c>
      <c r="L184">
        <f t="shared" si="13"/>
        <v>277</v>
      </c>
      <c r="M184">
        <f t="shared" si="14"/>
        <v>76729</v>
      </c>
    </row>
    <row r="185" spans="1:13" ht="13.2" x14ac:dyDescent="0.25">
      <c r="A185" s="1" t="s">
        <v>19</v>
      </c>
      <c r="B185" s="1" t="s">
        <v>18</v>
      </c>
      <c r="C185" s="1" t="s">
        <v>14</v>
      </c>
      <c r="D185" s="1" t="s">
        <v>11</v>
      </c>
      <c r="E185" s="1" t="s">
        <v>12</v>
      </c>
      <c r="F185" s="1">
        <v>81</v>
      </c>
      <c r="G185" s="1">
        <v>87</v>
      </c>
      <c r="H185" s="1">
        <v>72</v>
      </c>
      <c r="I185">
        <f t="shared" si="10"/>
        <v>240</v>
      </c>
      <c r="J185">
        <f t="shared" si="11"/>
        <v>0</v>
      </c>
      <c r="K185">
        <f t="shared" si="12"/>
        <v>129.5</v>
      </c>
      <c r="L185">
        <f t="shared" si="13"/>
        <v>129.5</v>
      </c>
      <c r="M185">
        <f t="shared" si="14"/>
        <v>16770.25</v>
      </c>
    </row>
    <row r="186" spans="1:13" ht="13.2" x14ac:dyDescent="0.25">
      <c r="A186" s="1" t="s">
        <v>19</v>
      </c>
      <c r="B186" s="1" t="s">
        <v>13</v>
      </c>
      <c r="C186" s="1" t="s">
        <v>20</v>
      </c>
      <c r="D186" s="1" t="s">
        <v>23</v>
      </c>
      <c r="E186" s="1" t="s">
        <v>17</v>
      </c>
      <c r="F186" s="1">
        <v>91</v>
      </c>
      <c r="G186" s="1">
        <v>91</v>
      </c>
      <c r="H186" s="1">
        <v>97</v>
      </c>
      <c r="I186">
        <f t="shared" si="10"/>
        <v>279</v>
      </c>
      <c r="J186">
        <f t="shared" si="11"/>
        <v>1</v>
      </c>
      <c r="K186">
        <f t="shared" si="12"/>
        <v>27.5</v>
      </c>
      <c r="L186">
        <f t="shared" si="13"/>
        <v>26.5</v>
      </c>
      <c r="M186">
        <f t="shared" si="14"/>
        <v>702.25</v>
      </c>
    </row>
    <row r="187" spans="1:13" ht="13.2" x14ac:dyDescent="0.25">
      <c r="A187" s="1" t="s">
        <v>19</v>
      </c>
      <c r="B187" s="1" t="s">
        <v>13</v>
      </c>
      <c r="C187" s="1" t="s">
        <v>14</v>
      </c>
      <c r="D187" s="1" t="s">
        <v>11</v>
      </c>
      <c r="E187" s="1" t="s">
        <v>12</v>
      </c>
      <c r="F187" s="1">
        <v>83</v>
      </c>
      <c r="G187" s="1">
        <v>76</v>
      </c>
      <c r="H187" s="1">
        <v>79</v>
      </c>
      <c r="I187">
        <f t="shared" si="10"/>
        <v>238</v>
      </c>
      <c r="J187">
        <f t="shared" si="11"/>
        <v>0</v>
      </c>
      <c r="K187">
        <f t="shared" si="12"/>
        <v>140.5</v>
      </c>
      <c r="L187">
        <f t="shared" si="13"/>
        <v>140.5</v>
      </c>
      <c r="M187">
        <f t="shared" si="14"/>
        <v>19740.25</v>
      </c>
    </row>
    <row r="188" spans="1:13" ht="13.2" x14ac:dyDescent="0.25">
      <c r="A188" s="1" t="s">
        <v>19</v>
      </c>
      <c r="B188" s="1" t="s">
        <v>21</v>
      </c>
      <c r="C188" s="1" t="s">
        <v>16</v>
      </c>
      <c r="D188" s="1" t="s">
        <v>23</v>
      </c>
      <c r="E188" s="1" t="s">
        <v>12</v>
      </c>
      <c r="F188" s="1">
        <v>79</v>
      </c>
      <c r="G188" s="1">
        <v>71</v>
      </c>
      <c r="H188" s="1">
        <v>72</v>
      </c>
      <c r="I188">
        <f t="shared" si="10"/>
        <v>222</v>
      </c>
      <c r="J188">
        <f t="shared" si="11"/>
        <v>0</v>
      </c>
      <c r="K188">
        <f t="shared" si="12"/>
        <v>206</v>
      </c>
      <c r="L188">
        <f t="shared" si="13"/>
        <v>206</v>
      </c>
      <c r="M188">
        <f t="shared" si="14"/>
        <v>42436</v>
      </c>
    </row>
    <row r="189" spans="1:13" ht="13.2" x14ac:dyDescent="0.25">
      <c r="A189" s="1" t="s">
        <v>8</v>
      </c>
      <c r="B189" s="1" t="s">
        <v>9</v>
      </c>
      <c r="C189" s="1" t="s">
        <v>14</v>
      </c>
      <c r="D189" s="1" t="s">
        <v>11</v>
      </c>
      <c r="E189" s="1" t="s">
        <v>12</v>
      </c>
      <c r="F189" s="1">
        <v>58</v>
      </c>
      <c r="G189" s="1">
        <v>59</v>
      </c>
      <c r="H189" s="1">
        <v>57</v>
      </c>
      <c r="I189">
        <f t="shared" si="10"/>
        <v>174</v>
      </c>
      <c r="J189">
        <f t="shared" si="11"/>
        <v>0</v>
      </c>
      <c r="K189">
        <f t="shared" si="12"/>
        <v>434</v>
      </c>
      <c r="L189">
        <f t="shared" si="13"/>
        <v>434</v>
      </c>
      <c r="M189">
        <f t="shared" si="14"/>
        <v>188356</v>
      </c>
    </row>
    <row r="190" spans="1:13" ht="13.2" x14ac:dyDescent="0.25">
      <c r="A190" s="1" t="s">
        <v>19</v>
      </c>
      <c r="B190" s="1" t="s">
        <v>9</v>
      </c>
      <c r="C190" s="1" t="s">
        <v>14</v>
      </c>
      <c r="D190" s="1" t="s">
        <v>23</v>
      </c>
      <c r="E190" s="1" t="s">
        <v>17</v>
      </c>
      <c r="F190" s="1">
        <v>82</v>
      </c>
      <c r="G190" s="1">
        <v>83</v>
      </c>
      <c r="H190" s="1">
        <v>84</v>
      </c>
      <c r="I190">
        <f t="shared" si="10"/>
        <v>249</v>
      </c>
      <c r="J190">
        <f t="shared" si="11"/>
        <v>1</v>
      </c>
      <c r="K190">
        <f t="shared" si="12"/>
        <v>98</v>
      </c>
      <c r="L190">
        <f t="shared" si="13"/>
        <v>97</v>
      </c>
      <c r="M190">
        <f t="shared" si="14"/>
        <v>9409</v>
      </c>
    </row>
    <row r="191" spans="1:13" ht="13.2" x14ac:dyDescent="0.25">
      <c r="A191" s="1" t="s">
        <v>8</v>
      </c>
      <c r="B191" s="1" t="s">
        <v>18</v>
      </c>
      <c r="C191" s="1" t="s">
        <v>14</v>
      </c>
      <c r="D191" s="1" t="s">
        <v>23</v>
      </c>
      <c r="E191" s="1" t="s">
        <v>12</v>
      </c>
      <c r="F191" s="1">
        <v>57</v>
      </c>
      <c r="G191" s="1">
        <v>70</v>
      </c>
      <c r="H191" s="1">
        <v>68</v>
      </c>
      <c r="I191">
        <f t="shared" si="10"/>
        <v>195</v>
      </c>
      <c r="J191">
        <f t="shared" si="11"/>
        <v>0</v>
      </c>
      <c r="K191">
        <f t="shared" si="12"/>
        <v>331.5</v>
      </c>
      <c r="L191">
        <f t="shared" si="13"/>
        <v>331.5</v>
      </c>
      <c r="M191">
        <f t="shared" si="14"/>
        <v>109892.25</v>
      </c>
    </row>
    <row r="192" spans="1:13" ht="13.2" x14ac:dyDescent="0.25">
      <c r="A192" s="1" t="s">
        <v>19</v>
      </c>
      <c r="B192" s="1" t="s">
        <v>13</v>
      </c>
      <c r="C192" s="1" t="s">
        <v>22</v>
      </c>
      <c r="D192" s="1" t="s">
        <v>11</v>
      </c>
      <c r="E192" s="1" t="s">
        <v>17</v>
      </c>
      <c r="F192" s="1">
        <v>60</v>
      </c>
      <c r="G192" s="1">
        <v>53</v>
      </c>
      <c r="H192" s="1">
        <v>52</v>
      </c>
      <c r="I192">
        <f t="shared" si="10"/>
        <v>165</v>
      </c>
      <c r="J192">
        <f t="shared" si="11"/>
        <v>1</v>
      </c>
      <c r="K192">
        <f t="shared" si="12"/>
        <v>476</v>
      </c>
      <c r="L192">
        <f t="shared" si="13"/>
        <v>475</v>
      </c>
      <c r="M192">
        <f t="shared" si="14"/>
        <v>225625</v>
      </c>
    </row>
    <row r="193" spans="1:13" ht="13.2" x14ac:dyDescent="0.25">
      <c r="A193" s="1" t="s">
        <v>8</v>
      </c>
      <c r="B193" s="1" t="s">
        <v>13</v>
      </c>
      <c r="C193" s="1" t="s">
        <v>10</v>
      </c>
      <c r="D193" s="1" t="s">
        <v>11</v>
      </c>
      <c r="E193" s="1" t="s">
        <v>12</v>
      </c>
      <c r="F193" s="1">
        <v>56</v>
      </c>
      <c r="G193" s="1">
        <v>62</v>
      </c>
      <c r="H193" s="1">
        <v>64</v>
      </c>
      <c r="I193">
        <f t="shared" si="10"/>
        <v>182</v>
      </c>
      <c r="J193">
        <f t="shared" si="11"/>
        <v>0</v>
      </c>
      <c r="K193">
        <f t="shared" si="12"/>
        <v>399.5</v>
      </c>
      <c r="L193">
        <f t="shared" si="13"/>
        <v>399.5</v>
      </c>
      <c r="M193">
        <f t="shared" si="14"/>
        <v>159600.25</v>
      </c>
    </row>
    <row r="194" spans="1:13" ht="13.2" x14ac:dyDescent="0.25">
      <c r="A194" s="1" t="s">
        <v>8</v>
      </c>
      <c r="B194" s="1" t="s">
        <v>18</v>
      </c>
      <c r="C194" s="1" t="s">
        <v>16</v>
      </c>
      <c r="D194" s="1" t="s">
        <v>11</v>
      </c>
      <c r="E194" s="1" t="s">
        <v>17</v>
      </c>
      <c r="F194" s="1">
        <v>68</v>
      </c>
      <c r="G194" s="1">
        <v>88</v>
      </c>
      <c r="H194" s="1">
        <v>87</v>
      </c>
      <c r="I194">
        <f t="shared" si="10"/>
        <v>243</v>
      </c>
      <c r="J194">
        <f t="shared" si="11"/>
        <v>1</v>
      </c>
      <c r="K194">
        <f t="shared" si="12"/>
        <v>119.5</v>
      </c>
      <c r="L194">
        <f t="shared" si="13"/>
        <v>118.5</v>
      </c>
      <c r="M194">
        <f t="shared" si="14"/>
        <v>14042.25</v>
      </c>
    </row>
    <row r="195" spans="1:13" ht="13.2" x14ac:dyDescent="0.25">
      <c r="A195" s="1" t="s">
        <v>8</v>
      </c>
      <c r="B195" s="1" t="s">
        <v>18</v>
      </c>
      <c r="C195" s="1" t="s">
        <v>10</v>
      </c>
      <c r="D195" s="1" t="s">
        <v>23</v>
      </c>
      <c r="E195" s="1" t="s">
        <v>12</v>
      </c>
      <c r="F195" s="1">
        <v>28</v>
      </c>
      <c r="G195" s="1">
        <v>47</v>
      </c>
      <c r="H195" s="1">
        <v>44</v>
      </c>
      <c r="I195">
        <f t="shared" ref="I195:I258" si="15">SUM(F195:H195)</f>
        <v>119</v>
      </c>
      <c r="J195">
        <f t="shared" ref="J195:J258" si="16">IF(E195="completed", 1, IF(E195="none", 0, ""))</f>
        <v>0</v>
      </c>
      <c r="K195">
        <f t="shared" ref="K195:K258" si="17">_xlfn.RANK.AVG(I195, I$2:I$601, 0)</f>
        <v>583</v>
      </c>
      <c r="L195">
        <f t="shared" ref="L195:L258" si="18">K195-J195</f>
        <v>583</v>
      </c>
      <c r="M195">
        <f t="shared" ref="M195:M258" si="19">L195^2</f>
        <v>339889</v>
      </c>
    </row>
    <row r="196" spans="1:13" ht="13.2" x14ac:dyDescent="0.25">
      <c r="A196" s="1" t="s">
        <v>8</v>
      </c>
      <c r="B196" s="1" t="s">
        <v>21</v>
      </c>
      <c r="C196" s="1" t="s">
        <v>22</v>
      </c>
      <c r="D196" s="1" t="s">
        <v>23</v>
      </c>
      <c r="E196" s="1" t="s">
        <v>12</v>
      </c>
      <c r="F196" s="1">
        <v>75</v>
      </c>
      <c r="G196" s="1">
        <v>89</v>
      </c>
      <c r="H196" s="1">
        <v>82</v>
      </c>
      <c r="I196">
        <f t="shared" si="15"/>
        <v>246</v>
      </c>
      <c r="J196">
        <f t="shared" si="16"/>
        <v>0</v>
      </c>
      <c r="K196">
        <f t="shared" si="17"/>
        <v>109.5</v>
      </c>
      <c r="L196">
        <f t="shared" si="18"/>
        <v>109.5</v>
      </c>
      <c r="M196">
        <f t="shared" si="19"/>
        <v>11990.25</v>
      </c>
    </row>
    <row r="197" spans="1:13" ht="13.2" x14ac:dyDescent="0.25">
      <c r="A197" s="1" t="s">
        <v>8</v>
      </c>
      <c r="B197" s="1" t="s">
        <v>21</v>
      </c>
      <c r="C197" s="1" t="s">
        <v>22</v>
      </c>
      <c r="D197" s="1" t="s">
        <v>11</v>
      </c>
      <c r="E197" s="1" t="s">
        <v>12</v>
      </c>
      <c r="F197" s="1">
        <v>60</v>
      </c>
      <c r="G197" s="1">
        <v>69</v>
      </c>
      <c r="H197" s="1">
        <v>67</v>
      </c>
      <c r="I197">
        <f t="shared" si="15"/>
        <v>196</v>
      </c>
      <c r="J197">
        <f t="shared" si="16"/>
        <v>0</v>
      </c>
      <c r="K197">
        <f t="shared" si="17"/>
        <v>323.5</v>
      </c>
      <c r="L197">
        <f t="shared" si="18"/>
        <v>323.5</v>
      </c>
      <c r="M197">
        <f t="shared" si="19"/>
        <v>104652.25</v>
      </c>
    </row>
    <row r="198" spans="1:13" ht="13.2" x14ac:dyDescent="0.25">
      <c r="A198" s="1" t="s">
        <v>19</v>
      </c>
      <c r="B198" s="1" t="s">
        <v>21</v>
      </c>
      <c r="C198" s="1" t="s">
        <v>14</v>
      </c>
      <c r="D198" s="1" t="s">
        <v>23</v>
      </c>
      <c r="E198" s="1" t="s">
        <v>12</v>
      </c>
      <c r="F198" s="1">
        <v>70</v>
      </c>
      <c r="G198" s="1">
        <v>62</v>
      </c>
      <c r="H198" s="1">
        <v>60</v>
      </c>
      <c r="I198">
        <f t="shared" si="15"/>
        <v>192</v>
      </c>
      <c r="J198">
        <f t="shared" si="16"/>
        <v>0</v>
      </c>
      <c r="K198">
        <f t="shared" si="17"/>
        <v>349</v>
      </c>
      <c r="L198">
        <f t="shared" si="18"/>
        <v>349</v>
      </c>
      <c r="M198">
        <f t="shared" si="19"/>
        <v>121801</v>
      </c>
    </row>
    <row r="199" spans="1:13" ht="13.2" x14ac:dyDescent="0.25">
      <c r="A199" s="1" t="s">
        <v>19</v>
      </c>
      <c r="B199" s="1" t="s">
        <v>18</v>
      </c>
      <c r="C199" s="1" t="s">
        <v>16</v>
      </c>
      <c r="D199" s="1" t="s">
        <v>11</v>
      </c>
      <c r="E199" s="1" t="s">
        <v>12</v>
      </c>
      <c r="F199" s="1">
        <v>79</v>
      </c>
      <c r="G199" s="1">
        <v>69</v>
      </c>
      <c r="H199" s="1">
        <v>72</v>
      </c>
      <c r="I199">
        <f t="shared" si="15"/>
        <v>220</v>
      </c>
      <c r="J199">
        <f t="shared" si="16"/>
        <v>0</v>
      </c>
      <c r="K199">
        <f t="shared" si="17"/>
        <v>213.5</v>
      </c>
      <c r="L199">
        <f t="shared" si="18"/>
        <v>213.5</v>
      </c>
      <c r="M199">
        <f t="shared" si="19"/>
        <v>45582.25</v>
      </c>
    </row>
    <row r="200" spans="1:13" ht="13.2" x14ac:dyDescent="0.25">
      <c r="A200" s="1" t="s">
        <v>19</v>
      </c>
      <c r="B200" s="1" t="s">
        <v>21</v>
      </c>
      <c r="C200" s="1" t="s">
        <v>20</v>
      </c>
      <c r="D200" s="1" t="s">
        <v>11</v>
      </c>
      <c r="E200" s="1" t="s">
        <v>12</v>
      </c>
      <c r="F200" s="1">
        <v>83</v>
      </c>
      <c r="G200" s="1">
        <v>78</v>
      </c>
      <c r="H200" s="1">
        <v>74</v>
      </c>
      <c r="I200">
        <f t="shared" si="15"/>
        <v>235</v>
      </c>
      <c r="J200">
        <f t="shared" si="16"/>
        <v>0</v>
      </c>
      <c r="K200">
        <f t="shared" si="17"/>
        <v>154</v>
      </c>
      <c r="L200">
        <f t="shared" si="18"/>
        <v>154</v>
      </c>
      <c r="M200">
        <f t="shared" si="19"/>
        <v>23716</v>
      </c>
    </row>
    <row r="201" spans="1:13" ht="13.2" x14ac:dyDescent="0.25">
      <c r="A201" s="1" t="s">
        <v>8</v>
      </c>
      <c r="B201" s="1" t="s">
        <v>9</v>
      </c>
      <c r="C201" s="1" t="s">
        <v>14</v>
      </c>
      <c r="D201" s="1" t="s">
        <v>11</v>
      </c>
      <c r="E201" s="1" t="s">
        <v>12</v>
      </c>
      <c r="F201" s="1">
        <v>70</v>
      </c>
      <c r="G201" s="1">
        <v>81</v>
      </c>
      <c r="H201" s="1">
        <v>75</v>
      </c>
      <c r="I201">
        <f t="shared" si="15"/>
        <v>226</v>
      </c>
      <c r="J201">
        <f t="shared" si="16"/>
        <v>0</v>
      </c>
      <c r="K201">
        <f t="shared" si="17"/>
        <v>186.5</v>
      </c>
      <c r="L201">
        <f t="shared" si="18"/>
        <v>186.5</v>
      </c>
      <c r="M201">
        <f t="shared" si="19"/>
        <v>34782.25</v>
      </c>
    </row>
    <row r="202" spans="1:13" ht="13.2" x14ac:dyDescent="0.25">
      <c r="A202" s="1" t="s">
        <v>19</v>
      </c>
      <c r="B202" s="1" t="s">
        <v>13</v>
      </c>
      <c r="C202" s="1" t="s">
        <v>10</v>
      </c>
      <c r="D202" s="1" t="s">
        <v>11</v>
      </c>
      <c r="E202" s="1" t="s">
        <v>12</v>
      </c>
      <c r="F202" s="1">
        <v>57</v>
      </c>
      <c r="G202" s="1">
        <v>47</v>
      </c>
      <c r="H202" s="1">
        <v>41</v>
      </c>
      <c r="I202">
        <f t="shared" si="15"/>
        <v>145</v>
      </c>
      <c r="J202">
        <f t="shared" si="16"/>
        <v>0</v>
      </c>
      <c r="K202">
        <f t="shared" si="17"/>
        <v>535.5</v>
      </c>
      <c r="L202">
        <f t="shared" si="18"/>
        <v>535.5</v>
      </c>
      <c r="M202">
        <f t="shared" si="19"/>
        <v>286760.25</v>
      </c>
    </row>
    <row r="203" spans="1:13" ht="13.2" x14ac:dyDescent="0.25">
      <c r="A203" s="1" t="s">
        <v>8</v>
      </c>
      <c r="B203" s="1" t="s">
        <v>9</v>
      </c>
      <c r="C203" s="1" t="s">
        <v>16</v>
      </c>
      <c r="D203" s="1" t="s">
        <v>11</v>
      </c>
      <c r="E203" s="1" t="s">
        <v>12</v>
      </c>
      <c r="F203" s="1">
        <v>65</v>
      </c>
      <c r="G203" s="1">
        <v>71</v>
      </c>
      <c r="H203" s="1">
        <v>67</v>
      </c>
      <c r="I203">
        <f t="shared" si="15"/>
        <v>203</v>
      </c>
      <c r="J203">
        <f t="shared" si="16"/>
        <v>0</v>
      </c>
      <c r="K203">
        <f t="shared" si="17"/>
        <v>286.5</v>
      </c>
      <c r="L203">
        <f t="shared" si="18"/>
        <v>286.5</v>
      </c>
      <c r="M203">
        <f t="shared" si="19"/>
        <v>82082.25</v>
      </c>
    </row>
    <row r="204" spans="1:13" ht="13.2" x14ac:dyDescent="0.25">
      <c r="A204" s="1" t="s">
        <v>19</v>
      </c>
      <c r="B204" s="1" t="s">
        <v>18</v>
      </c>
      <c r="C204" s="1" t="s">
        <v>22</v>
      </c>
      <c r="D204" s="1" t="s">
        <v>11</v>
      </c>
      <c r="E204" s="1" t="s">
        <v>12</v>
      </c>
      <c r="F204" s="1">
        <v>87</v>
      </c>
      <c r="G204" s="1">
        <v>73</v>
      </c>
      <c r="H204" s="1">
        <v>73</v>
      </c>
      <c r="I204">
        <f t="shared" si="15"/>
        <v>233</v>
      </c>
      <c r="J204">
        <f t="shared" si="16"/>
        <v>0</v>
      </c>
      <c r="K204">
        <f t="shared" si="17"/>
        <v>163</v>
      </c>
      <c r="L204">
        <f t="shared" si="18"/>
        <v>163</v>
      </c>
      <c r="M204">
        <f t="shared" si="19"/>
        <v>26569</v>
      </c>
    </row>
    <row r="205" spans="1:13" ht="13.2" x14ac:dyDescent="0.25">
      <c r="A205" s="1" t="s">
        <v>8</v>
      </c>
      <c r="B205" s="1" t="s">
        <v>9</v>
      </c>
      <c r="C205" s="1" t="s">
        <v>16</v>
      </c>
      <c r="D205" s="1" t="s">
        <v>23</v>
      </c>
      <c r="E205" s="1" t="s">
        <v>12</v>
      </c>
      <c r="F205" s="1">
        <v>76</v>
      </c>
      <c r="G205" s="1">
        <v>86</v>
      </c>
      <c r="H205" s="1">
        <v>82</v>
      </c>
      <c r="I205">
        <f t="shared" si="15"/>
        <v>244</v>
      </c>
      <c r="J205">
        <f t="shared" si="16"/>
        <v>0</v>
      </c>
      <c r="K205">
        <f t="shared" si="17"/>
        <v>115.5</v>
      </c>
      <c r="L205">
        <f t="shared" si="18"/>
        <v>115.5</v>
      </c>
      <c r="M205">
        <f t="shared" si="19"/>
        <v>13340.25</v>
      </c>
    </row>
    <row r="206" spans="1:13" ht="13.2" x14ac:dyDescent="0.25">
      <c r="A206" s="1" t="s">
        <v>8</v>
      </c>
      <c r="B206" s="1" t="s">
        <v>9</v>
      </c>
      <c r="C206" s="1" t="s">
        <v>24</v>
      </c>
      <c r="D206" s="1" t="s">
        <v>11</v>
      </c>
      <c r="E206" s="1" t="s">
        <v>17</v>
      </c>
      <c r="F206" s="1">
        <v>100</v>
      </c>
      <c r="G206" s="1">
        <v>100</v>
      </c>
      <c r="H206" s="1">
        <v>100</v>
      </c>
      <c r="I206">
        <f t="shared" si="15"/>
        <v>300</v>
      </c>
      <c r="J206">
        <f t="shared" si="16"/>
        <v>1</v>
      </c>
      <c r="K206">
        <f t="shared" si="17"/>
        <v>1</v>
      </c>
      <c r="L206">
        <f t="shared" si="18"/>
        <v>0</v>
      </c>
      <c r="M206">
        <f t="shared" si="19"/>
        <v>0</v>
      </c>
    </row>
    <row r="207" spans="1:13" ht="13.2" x14ac:dyDescent="0.25">
      <c r="A207" s="1" t="s">
        <v>19</v>
      </c>
      <c r="B207" s="1" t="s">
        <v>13</v>
      </c>
      <c r="C207" s="1" t="s">
        <v>14</v>
      </c>
      <c r="D207" s="1" t="s">
        <v>23</v>
      </c>
      <c r="E207" s="1" t="s">
        <v>17</v>
      </c>
      <c r="F207" s="1">
        <v>81</v>
      </c>
      <c r="G207" s="1">
        <v>86</v>
      </c>
      <c r="H207" s="1">
        <v>82</v>
      </c>
      <c r="I207">
        <f t="shared" si="15"/>
        <v>249</v>
      </c>
      <c r="J207">
        <f t="shared" si="16"/>
        <v>1</v>
      </c>
      <c r="K207">
        <f t="shared" si="17"/>
        <v>98</v>
      </c>
      <c r="L207">
        <f t="shared" si="18"/>
        <v>97</v>
      </c>
      <c r="M207">
        <f t="shared" si="19"/>
        <v>9409</v>
      </c>
    </row>
    <row r="208" spans="1:13" ht="13.2" x14ac:dyDescent="0.25">
      <c r="A208" s="1" t="s">
        <v>19</v>
      </c>
      <c r="B208" s="1" t="s">
        <v>15</v>
      </c>
      <c r="C208" s="1" t="s">
        <v>16</v>
      </c>
      <c r="D208" s="1" t="s">
        <v>11</v>
      </c>
      <c r="E208" s="1" t="s">
        <v>17</v>
      </c>
      <c r="F208" s="1">
        <v>82</v>
      </c>
      <c r="G208" s="1">
        <v>75</v>
      </c>
      <c r="H208" s="1">
        <v>79</v>
      </c>
      <c r="I208">
        <f t="shared" si="15"/>
        <v>236</v>
      </c>
      <c r="J208">
        <f t="shared" si="16"/>
        <v>1</v>
      </c>
      <c r="K208">
        <f t="shared" si="17"/>
        <v>148.5</v>
      </c>
      <c r="L208">
        <f t="shared" si="18"/>
        <v>147.5</v>
      </c>
      <c r="M208">
        <f t="shared" si="19"/>
        <v>21756.25</v>
      </c>
    </row>
    <row r="209" spans="1:13" ht="13.2" x14ac:dyDescent="0.25">
      <c r="A209" s="1" t="s">
        <v>8</v>
      </c>
      <c r="B209" s="1" t="s">
        <v>18</v>
      </c>
      <c r="C209" s="1" t="s">
        <v>10</v>
      </c>
      <c r="D209" s="1" t="s">
        <v>23</v>
      </c>
      <c r="E209" s="1" t="s">
        <v>12</v>
      </c>
      <c r="F209" s="1">
        <v>36</v>
      </c>
      <c r="G209" s="1">
        <v>52</v>
      </c>
      <c r="H209" s="1">
        <v>43</v>
      </c>
      <c r="I209">
        <f t="shared" si="15"/>
        <v>131</v>
      </c>
      <c r="J209">
        <f t="shared" si="16"/>
        <v>0</v>
      </c>
      <c r="K209">
        <f t="shared" si="17"/>
        <v>573</v>
      </c>
      <c r="L209">
        <f t="shared" si="18"/>
        <v>573</v>
      </c>
      <c r="M209">
        <f t="shared" si="19"/>
        <v>328329</v>
      </c>
    </row>
    <row r="210" spans="1:13" ht="13.2" x14ac:dyDescent="0.25">
      <c r="A210" s="1" t="s">
        <v>19</v>
      </c>
      <c r="B210" s="1" t="s">
        <v>13</v>
      </c>
      <c r="C210" s="1" t="s">
        <v>10</v>
      </c>
      <c r="D210" s="1" t="s">
        <v>11</v>
      </c>
      <c r="E210" s="1" t="s">
        <v>17</v>
      </c>
      <c r="F210" s="1">
        <v>43</v>
      </c>
      <c r="G210" s="1">
        <v>48</v>
      </c>
      <c r="H210" s="1">
        <v>48</v>
      </c>
      <c r="I210">
        <f t="shared" si="15"/>
        <v>139</v>
      </c>
      <c r="J210">
        <f t="shared" si="16"/>
        <v>1</v>
      </c>
      <c r="K210">
        <f t="shared" si="17"/>
        <v>552.5</v>
      </c>
      <c r="L210">
        <f t="shared" si="18"/>
        <v>551.5</v>
      </c>
      <c r="M210">
        <f t="shared" si="19"/>
        <v>304152.25</v>
      </c>
    </row>
    <row r="211" spans="1:13" ht="13.2" x14ac:dyDescent="0.25">
      <c r="A211" s="1" t="s">
        <v>8</v>
      </c>
      <c r="B211" s="1" t="s">
        <v>13</v>
      </c>
      <c r="C211" s="1" t="s">
        <v>10</v>
      </c>
      <c r="D211" s="1" t="s">
        <v>11</v>
      </c>
      <c r="E211" s="1" t="s">
        <v>17</v>
      </c>
      <c r="F211" s="1">
        <v>75</v>
      </c>
      <c r="G211" s="1">
        <v>71</v>
      </c>
      <c r="H211" s="1">
        <v>77</v>
      </c>
      <c r="I211">
        <f t="shared" si="15"/>
        <v>223</v>
      </c>
      <c r="J211">
        <f t="shared" si="16"/>
        <v>1</v>
      </c>
      <c r="K211">
        <f t="shared" si="17"/>
        <v>200</v>
      </c>
      <c r="L211">
        <f t="shared" si="18"/>
        <v>199</v>
      </c>
      <c r="M211">
        <f t="shared" si="19"/>
        <v>39601</v>
      </c>
    </row>
    <row r="212" spans="1:13" ht="13.2" x14ac:dyDescent="0.25">
      <c r="A212" s="1" t="s">
        <v>8</v>
      </c>
      <c r="B212" s="1" t="s">
        <v>18</v>
      </c>
      <c r="C212" s="1" t="s">
        <v>16</v>
      </c>
      <c r="D212" s="1" t="s">
        <v>11</v>
      </c>
      <c r="E212" s="1" t="s">
        <v>12</v>
      </c>
      <c r="F212" s="1">
        <v>73</v>
      </c>
      <c r="G212" s="1">
        <v>74</v>
      </c>
      <c r="H212" s="1">
        <v>79</v>
      </c>
      <c r="I212">
        <f t="shared" si="15"/>
        <v>226</v>
      </c>
      <c r="J212">
        <f t="shared" si="16"/>
        <v>0</v>
      </c>
      <c r="K212">
        <f t="shared" si="17"/>
        <v>186.5</v>
      </c>
      <c r="L212">
        <f t="shared" si="18"/>
        <v>186.5</v>
      </c>
      <c r="M212">
        <f t="shared" si="19"/>
        <v>34782.25</v>
      </c>
    </row>
    <row r="213" spans="1:13" ht="13.2" x14ac:dyDescent="0.25">
      <c r="A213" s="1" t="s">
        <v>19</v>
      </c>
      <c r="B213" s="1" t="s">
        <v>18</v>
      </c>
      <c r="C213" s="1" t="s">
        <v>22</v>
      </c>
      <c r="D213" s="1" t="s">
        <v>11</v>
      </c>
      <c r="E213" s="1" t="s">
        <v>12</v>
      </c>
      <c r="F213" s="1">
        <v>86</v>
      </c>
      <c r="G213" s="1">
        <v>71</v>
      </c>
      <c r="H213" s="1">
        <v>76</v>
      </c>
      <c r="I213">
        <f t="shared" si="15"/>
        <v>233</v>
      </c>
      <c r="J213">
        <f t="shared" si="16"/>
        <v>0</v>
      </c>
      <c r="K213">
        <f t="shared" si="17"/>
        <v>163</v>
      </c>
      <c r="L213">
        <f t="shared" si="18"/>
        <v>163</v>
      </c>
      <c r="M213">
        <f t="shared" si="19"/>
        <v>26569</v>
      </c>
    </row>
    <row r="214" spans="1:13" ht="13.2" x14ac:dyDescent="0.25">
      <c r="A214" s="1" t="s">
        <v>19</v>
      </c>
      <c r="B214" s="1" t="s">
        <v>9</v>
      </c>
      <c r="C214" s="1" t="s">
        <v>20</v>
      </c>
      <c r="D214" s="1" t="s">
        <v>11</v>
      </c>
      <c r="E214" s="1" t="s">
        <v>12</v>
      </c>
      <c r="F214" s="1">
        <v>70</v>
      </c>
      <c r="G214" s="1">
        <v>68</v>
      </c>
      <c r="H214" s="1">
        <v>61</v>
      </c>
      <c r="I214">
        <f t="shared" si="15"/>
        <v>199</v>
      </c>
      <c r="J214">
        <f t="shared" si="16"/>
        <v>0</v>
      </c>
      <c r="K214">
        <f t="shared" si="17"/>
        <v>307.5</v>
      </c>
      <c r="L214">
        <f t="shared" si="18"/>
        <v>307.5</v>
      </c>
      <c r="M214">
        <f t="shared" si="19"/>
        <v>94556.25</v>
      </c>
    </row>
    <row r="215" spans="1:13" ht="13.2" x14ac:dyDescent="0.25">
      <c r="A215" s="1" t="s">
        <v>19</v>
      </c>
      <c r="B215" s="1" t="s">
        <v>18</v>
      </c>
      <c r="C215" s="1" t="s">
        <v>24</v>
      </c>
      <c r="D215" s="1" t="s">
        <v>11</v>
      </c>
      <c r="E215" s="1" t="s">
        <v>12</v>
      </c>
      <c r="F215" s="1">
        <v>64</v>
      </c>
      <c r="G215" s="1">
        <v>62</v>
      </c>
      <c r="H215" s="1">
        <v>64</v>
      </c>
      <c r="I215">
        <f t="shared" si="15"/>
        <v>190</v>
      </c>
      <c r="J215">
        <f t="shared" si="16"/>
        <v>0</v>
      </c>
      <c r="K215">
        <f t="shared" si="17"/>
        <v>359.5</v>
      </c>
      <c r="L215">
        <f t="shared" si="18"/>
        <v>359.5</v>
      </c>
      <c r="M215">
        <f t="shared" si="19"/>
        <v>129240.25</v>
      </c>
    </row>
    <row r="216" spans="1:13" ht="13.2" x14ac:dyDescent="0.25">
      <c r="A216" s="1" t="s">
        <v>19</v>
      </c>
      <c r="B216" s="1" t="s">
        <v>18</v>
      </c>
      <c r="C216" s="1" t="s">
        <v>22</v>
      </c>
      <c r="D216" s="1" t="s">
        <v>11</v>
      </c>
      <c r="E216" s="1" t="s">
        <v>17</v>
      </c>
      <c r="F216" s="1">
        <v>80</v>
      </c>
      <c r="G216" s="1">
        <v>85</v>
      </c>
      <c r="H216" s="1">
        <v>88</v>
      </c>
      <c r="I216">
        <f t="shared" si="15"/>
        <v>253</v>
      </c>
      <c r="J216">
        <f t="shared" si="16"/>
        <v>1</v>
      </c>
      <c r="K216">
        <f t="shared" si="17"/>
        <v>84.5</v>
      </c>
      <c r="L216">
        <f t="shared" si="18"/>
        <v>83.5</v>
      </c>
      <c r="M216">
        <f t="shared" si="19"/>
        <v>6972.25</v>
      </c>
    </row>
    <row r="217" spans="1:13" ht="13.2" x14ac:dyDescent="0.25">
      <c r="A217" s="1" t="s">
        <v>8</v>
      </c>
      <c r="B217" s="1" t="s">
        <v>18</v>
      </c>
      <c r="C217" s="1" t="s">
        <v>10</v>
      </c>
      <c r="D217" s="1" t="s">
        <v>23</v>
      </c>
      <c r="E217" s="1" t="s">
        <v>17</v>
      </c>
      <c r="F217" s="1">
        <v>36</v>
      </c>
      <c r="G217" s="1">
        <v>43</v>
      </c>
      <c r="H217" s="1">
        <v>47</v>
      </c>
      <c r="I217">
        <f t="shared" si="15"/>
        <v>126</v>
      </c>
      <c r="J217">
        <f t="shared" si="16"/>
        <v>1</v>
      </c>
      <c r="K217">
        <f t="shared" si="17"/>
        <v>575.5</v>
      </c>
      <c r="L217">
        <f t="shared" si="18"/>
        <v>574.5</v>
      </c>
      <c r="M217">
        <f t="shared" si="19"/>
        <v>330050.25</v>
      </c>
    </row>
    <row r="218" spans="1:13" ht="13.2" x14ac:dyDescent="0.25">
      <c r="A218" s="1" t="s">
        <v>8</v>
      </c>
      <c r="B218" s="1" t="s">
        <v>13</v>
      </c>
      <c r="C218" s="1" t="s">
        <v>14</v>
      </c>
      <c r="D218" s="1" t="s">
        <v>11</v>
      </c>
      <c r="E218" s="1" t="s">
        <v>17</v>
      </c>
      <c r="F218" s="1">
        <v>86</v>
      </c>
      <c r="G218" s="1">
        <v>100</v>
      </c>
      <c r="H218" s="1">
        <v>97</v>
      </c>
      <c r="I218">
        <f t="shared" si="15"/>
        <v>283</v>
      </c>
      <c r="J218">
        <f t="shared" si="16"/>
        <v>1</v>
      </c>
      <c r="K218">
        <f t="shared" si="17"/>
        <v>23.5</v>
      </c>
      <c r="L218">
        <f t="shared" si="18"/>
        <v>22.5</v>
      </c>
      <c r="M218">
        <f t="shared" si="19"/>
        <v>506.25</v>
      </c>
    </row>
    <row r="219" spans="1:13" ht="13.2" x14ac:dyDescent="0.25">
      <c r="A219" s="1" t="s">
        <v>19</v>
      </c>
      <c r="B219" s="1" t="s">
        <v>21</v>
      </c>
      <c r="C219" s="1" t="s">
        <v>16</v>
      </c>
      <c r="D219" s="1" t="s">
        <v>11</v>
      </c>
      <c r="E219" s="1" t="s">
        <v>12</v>
      </c>
      <c r="F219" s="1">
        <v>56</v>
      </c>
      <c r="G219" s="1">
        <v>49</v>
      </c>
      <c r="H219" s="1">
        <v>51</v>
      </c>
      <c r="I219">
        <f t="shared" si="15"/>
        <v>156</v>
      </c>
      <c r="J219">
        <f t="shared" si="16"/>
        <v>0</v>
      </c>
      <c r="K219">
        <f t="shared" si="17"/>
        <v>507</v>
      </c>
      <c r="L219">
        <f t="shared" si="18"/>
        <v>507</v>
      </c>
      <c r="M219">
        <f t="shared" si="19"/>
        <v>257049</v>
      </c>
    </row>
    <row r="220" spans="1:13" ht="13.2" x14ac:dyDescent="0.25">
      <c r="A220" s="1" t="s">
        <v>8</v>
      </c>
      <c r="B220" s="1" t="s">
        <v>13</v>
      </c>
      <c r="C220" s="1" t="s">
        <v>16</v>
      </c>
      <c r="D220" s="1" t="s">
        <v>23</v>
      </c>
      <c r="E220" s="1" t="s">
        <v>12</v>
      </c>
      <c r="F220" s="1">
        <v>77</v>
      </c>
      <c r="G220" s="1">
        <v>85</v>
      </c>
      <c r="H220" s="1">
        <v>91</v>
      </c>
      <c r="I220">
        <f t="shared" si="15"/>
        <v>253</v>
      </c>
      <c r="J220">
        <f t="shared" si="16"/>
        <v>0</v>
      </c>
      <c r="K220">
        <f t="shared" si="17"/>
        <v>84.5</v>
      </c>
      <c r="L220">
        <f t="shared" si="18"/>
        <v>84.5</v>
      </c>
      <c r="M220">
        <f t="shared" si="19"/>
        <v>7140.25</v>
      </c>
    </row>
    <row r="221" spans="1:13" ht="13.2" x14ac:dyDescent="0.25">
      <c r="A221" s="1" t="s">
        <v>8</v>
      </c>
      <c r="B221" s="1" t="s">
        <v>9</v>
      </c>
      <c r="C221" s="1" t="s">
        <v>14</v>
      </c>
      <c r="D221" s="1" t="s">
        <v>23</v>
      </c>
      <c r="E221" s="1" t="s">
        <v>12</v>
      </c>
      <c r="F221" s="1">
        <v>38</v>
      </c>
      <c r="G221" s="1">
        <v>54</v>
      </c>
      <c r="H221" s="1">
        <v>49</v>
      </c>
      <c r="I221">
        <f t="shared" si="15"/>
        <v>141</v>
      </c>
      <c r="J221">
        <f t="shared" si="16"/>
        <v>0</v>
      </c>
      <c r="K221">
        <f t="shared" si="17"/>
        <v>549</v>
      </c>
      <c r="L221">
        <f t="shared" si="18"/>
        <v>549</v>
      </c>
      <c r="M221">
        <f t="shared" si="19"/>
        <v>301401</v>
      </c>
    </row>
    <row r="222" spans="1:13" ht="13.2" x14ac:dyDescent="0.25">
      <c r="A222" s="1" t="s">
        <v>8</v>
      </c>
      <c r="B222" s="1" t="s">
        <v>15</v>
      </c>
      <c r="C222" s="1" t="s">
        <v>14</v>
      </c>
      <c r="D222" s="1" t="s">
        <v>11</v>
      </c>
      <c r="E222" s="1" t="s">
        <v>12</v>
      </c>
      <c r="F222" s="1">
        <v>53</v>
      </c>
      <c r="G222" s="1">
        <v>50</v>
      </c>
      <c r="H222" s="1">
        <v>51</v>
      </c>
      <c r="I222">
        <f t="shared" si="15"/>
        <v>154</v>
      </c>
      <c r="J222">
        <f t="shared" si="16"/>
        <v>0</v>
      </c>
      <c r="K222">
        <f t="shared" si="17"/>
        <v>515.5</v>
      </c>
      <c r="L222">
        <f t="shared" si="18"/>
        <v>515.5</v>
      </c>
      <c r="M222">
        <f t="shared" si="19"/>
        <v>265740.25</v>
      </c>
    </row>
    <row r="223" spans="1:13" ht="13.2" x14ac:dyDescent="0.25">
      <c r="A223" s="1" t="s">
        <v>19</v>
      </c>
      <c r="B223" s="1" t="s">
        <v>21</v>
      </c>
      <c r="C223" s="1" t="s">
        <v>10</v>
      </c>
      <c r="D223" s="1" t="s">
        <v>23</v>
      </c>
      <c r="E223" s="1" t="s">
        <v>12</v>
      </c>
      <c r="F223" s="1">
        <v>53</v>
      </c>
      <c r="G223" s="1">
        <v>56</v>
      </c>
      <c r="H223" s="1">
        <v>48</v>
      </c>
      <c r="I223">
        <f t="shared" si="15"/>
        <v>157</v>
      </c>
      <c r="J223">
        <f t="shared" si="16"/>
        <v>0</v>
      </c>
      <c r="K223">
        <f t="shared" si="17"/>
        <v>502.5</v>
      </c>
      <c r="L223">
        <f t="shared" si="18"/>
        <v>502.5</v>
      </c>
      <c r="M223">
        <f t="shared" si="19"/>
        <v>252506.25</v>
      </c>
    </row>
    <row r="224" spans="1:13" ht="13.2" x14ac:dyDescent="0.25">
      <c r="A224" s="1" t="s">
        <v>19</v>
      </c>
      <c r="B224" s="1" t="s">
        <v>18</v>
      </c>
      <c r="C224" s="1" t="s">
        <v>16</v>
      </c>
      <c r="D224" s="1" t="s">
        <v>11</v>
      </c>
      <c r="E224" s="1" t="s">
        <v>12</v>
      </c>
      <c r="F224" s="1">
        <v>69</v>
      </c>
      <c r="G224" s="1">
        <v>58</v>
      </c>
      <c r="H224" s="1">
        <v>62</v>
      </c>
      <c r="I224">
        <f t="shared" si="15"/>
        <v>189</v>
      </c>
      <c r="J224">
        <f t="shared" si="16"/>
        <v>0</v>
      </c>
      <c r="K224">
        <f t="shared" si="17"/>
        <v>367</v>
      </c>
      <c r="L224">
        <f t="shared" si="18"/>
        <v>367</v>
      </c>
      <c r="M224">
        <f t="shared" si="19"/>
        <v>134689</v>
      </c>
    </row>
    <row r="225" spans="1:13" ht="13.2" x14ac:dyDescent="0.25">
      <c r="A225" s="1" t="s">
        <v>8</v>
      </c>
      <c r="B225" s="1" t="s">
        <v>18</v>
      </c>
      <c r="C225" s="1" t="s">
        <v>22</v>
      </c>
      <c r="D225" s="1" t="s">
        <v>11</v>
      </c>
      <c r="E225" s="1" t="s">
        <v>17</v>
      </c>
      <c r="F225" s="1">
        <v>55</v>
      </c>
      <c r="G225" s="1">
        <v>64</v>
      </c>
      <c r="H225" s="1">
        <v>64</v>
      </c>
      <c r="I225">
        <f t="shared" si="15"/>
        <v>183</v>
      </c>
      <c r="J225">
        <f t="shared" si="16"/>
        <v>1</v>
      </c>
      <c r="K225">
        <f t="shared" si="17"/>
        <v>395.5</v>
      </c>
      <c r="L225">
        <f t="shared" si="18"/>
        <v>394.5</v>
      </c>
      <c r="M225">
        <f t="shared" si="19"/>
        <v>155630.25</v>
      </c>
    </row>
    <row r="226" spans="1:13" ht="13.2" x14ac:dyDescent="0.25">
      <c r="A226" s="1" t="s">
        <v>19</v>
      </c>
      <c r="B226" s="1" t="s">
        <v>18</v>
      </c>
      <c r="C226" s="1" t="s">
        <v>10</v>
      </c>
      <c r="D226" s="1" t="s">
        <v>11</v>
      </c>
      <c r="E226" s="1" t="s">
        <v>12</v>
      </c>
      <c r="F226" s="1">
        <v>53</v>
      </c>
      <c r="G226" s="1">
        <v>50</v>
      </c>
      <c r="H226" s="1">
        <v>41</v>
      </c>
      <c r="I226">
        <f t="shared" si="15"/>
        <v>144</v>
      </c>
      <c r="J226">
        <f t="shared" si="16"/>
        <v>0</v>
      </c>
      <c r="K226">
        <f t="shared" si="17"/>
        <v>540</v>
      </c>
      <c r="L226">
        <f t="shared" si="18"/>
        <v>540</v>
      </c>
      <c r="M226">
        <f t="shared" si="19"/>
        <v>291600</v>
      </c>
    </row>
    <row r="227" spans="1:13" ht="13.2" x14ac:dyDescent="0.25">
      <c r="A227" s="1" t="s">
        <v>19</v>
      </c>
      <c r="B227" s="1" t="s">
        <v>21</v>
      </c>
      <c r="C227" s="1" t="s">
        <v>10</v>
      </c>
      <c r="D227" s="1" t="s">
        <v>11</v>
      </c>
      <c r="E227" s="1" t="s">
        <v>17</v>
      </c>
      <c r="F227" s="1">
        <v>61</v>
      </c>
      <c r="G227" s="1">
        <v>53</v>
      </c>
      <c r="H227" s="1">
        <v>48</v>
      </c>
      <c r="I227">
        <f t="shared" si="15"/>
        <v>162</v>
      </c>
      <c r="J227">
        <f t="shared" si="16"/>
        <v>1</v>
      </c>
      <c r="K227">
        <f t="shared" si="17"/>
        <v>484.5</v>
      </c>
      <c r="L227">
        <f t="shared" si="18"/>
        <v>483.5</v>
      </c>
      <c r="M227">
        <f t="shared" si="19"/>
        <v>233772.25</v>
      </c>
    </row>
    <row r="228" spans="1:13" ht="13.2" x14ac:dyDescent="0.25">
      <c r="A228" s="1" t="s">
        <v>8</v>
      </c>
      <c r="B228" s="1" t="s">
        <v>9</v>
      </c>
      <c r="C228" s="1" t="s">
        <v>16</v>
      </c>
      <c r="D228" s="1" t="s">
        <v>11</v>
      </c>
      <c r="E228" s="1" t="s">
        <v>12</v>
      </c>
      <c r="F228" s="1">
        <v>44</v>
      </c>
      <c r="G228" s="1">
        <v>50</v>
      </c>
      <c r="H228" s="1">
        <v>44</v>
      </c>
      <c r="I228">
        <f t="shared" si="15"/>
        <v>138</v>
      </c>
      <c r="J228">
        <f t="shared" si="16"/>
        <v>0</v>
      </c>
      <c r="K228">
        <f t="shared" si="17"/>
        <v>554.5</v>
      </c>
      <c r="L228">
        <f t="shared" si="18"/>
        <v>554.5</v>
      </c>
      <c r="M228">
        <f t="shared" si="19"/>
        <v>307470.25</v>
      </c>
    </row>
    <row r="229" spans="1:13" ht="13.2" x14ac:dyDescent="0.25">
      <c r="A229" s="1" t="s">
        <v>19</v>
      </c>
      <c r="B229" s="1" t="s">
        <v>21</v>
      </c>
      <c r="C229" s="1" t="s">
        <v>14</v>
      </c>
      <c r="D229" s="1" t="s">
        <v>23</v>
      </c>
      <c r="E229" s="1" t="s">
        <v>12</v>
      </c>
      <c r="F229" s="1">
        <v>49</v>
      </c>
      <c r="G229" s="1">
        <v>59</v>
      </c>
      <c r="H229" s="1">
        <v>46</v>
      </c>
      <c r="I229">
        <f t="shared" si="15"/>
        <v>154</v>
      </c>
      <c r="J229">
        <f t="shared" si="16"/>
        <v>0</v>
      </c>
      <c r="K229">
        <f t="shared" si="17"/>
        <v>515.5</v>
      </c>
      <c r="L229">
        <f t="shared" si="18"/>
        <v>515.5</v>
      </c>
      <c r="M229">
        <f t="shared" si="19"/>
        <v>265740.25</v>
      </c>
    </row>
    <row r="230" spans="1:13" ht="13.2" x14ac:dyDescent="0.25">
      <c r="A230" s="1" t="s">
        <v>19</v>
      </c>
      <c r="B230" s="1" t="s">
        <v>9</v>
      </c>
      <c r="C230" s="1" t="s">
        <v>10</v>
      </c>
      <c r="D230" s="1" t="s">
        <v>11</v>
      </c>
      <c r="E230" s="1" t="s">
        <v>12</v>
      </c>
      <c r="F230" s="1">
        <v>60</v>
      </c>
      <c r="G230" s="1">
        <v>59</v>
      </c>
      <c r="H230" s="1">
        <v>55</v>
      </c>
      <c r="I230">
        <f t="shared" si="15"/>
        <v>174</v>
      </c>
      <c r="J230">
        <f t="shared" si="16"/>
        <v>0</v>
      </c>
      <c r="K230">
        <f t="shared" si="17"/>
        <v>434</v>
      </c>
      <c r="L230">
        <f t="shared" si="18"/>
        <v>434</v>
      </c>
      <c r="M230">
        <f t="shared" si="19"/>
        <v>188356</v>
      </c>
    </row>
    <row r="231" spans="1:13" ht="13.2" x14ac:dyDescent="0.25">
      <c r="A231" s="1" t="s">
        <v>8</v>
      </c>
      <c r="B231" s="1" t="s">
        <v>9</v>
      </c>
      <c r="C231" s="1" t="s">
        <v>14</v>
      </c>
      <c r="D231" s="1" t="s">
        <v>11</v>
      </c>
      <c r="E231" s="1" t="s">
        <v>17</v>
      </c>
      <c r="F231" s="1">
        <v>59</v>
      </c>
      <c r="G231" s="1">
        <v>63</v>
      </c>
      <c r="H231" s="1">
        <v>71</v>
      </c>
      <c r="I231">
        <f t="shared" si="15"/>
        <v>193</v>
      </c>
      <c r="J231">
        <f t="shared" si="16"/>
        <v>1</v>
      </c>
      <c r="K231">
        <f t="shared" si="17"/>
        <v>344</v>
      </c>
      <c r="L231">
        <f t="shared" si="18"/>
        <v>343</v>
      </c>
      <c r="M231">
        <f t="shared" si="19"/>
        <v>117649</v>
      </c>
    </row>
    <row r="232" spans="1:13" ht="13.2" x14ac:dyDescent="0.25">
      <c r="A232" s="1" t="s">
        <v>19</v>
      </c>
      <c r="B232" s="1" t="s">
        <v>18</v>
      </c>
      <c r="C232" s="1" t="s">
        <v>16</v>
      </c>
      <c r="D232" s="1" t="s">
        <v>11</v>
      </c>
      <c r="E232" s="1" t="s">
        <v>17</v>
      </c>
      <c r="F232" s="1">
        <v>68</v>
      </c>
      <c r="G232" s="1">
        <v>66</v>
      </c>
      <c r="H232" s="1">
        <v>65</v>
      </c>
      <c r="I232">
        <f t="shared" si="15"/>
        <v>199</v>
      </c>
      <c r="J232">
        <f t="shared" si="16"/>
        <v>1</v>
      </c>
      <c r="K232">
        <f t="shared" si="17"/>
        <v>307.5</v>
      </c>
      <c r="L232">
        <f t="shared" si="18"/>
        <v>306.5</v>
      </c>
      <c r="M232">
        <f t="shared" si="19"/>
        <v>93942.25</v>
      </c>
    </row>
    <row r="233" spans="1:13" ht="13.2" x14ac:dyDescent="0.25">
      <c r="A233" s="1" t="s">
        <v>8</v>
      </c>
      <c r="B233" s="1" t="s">
        <v>21</v>
      </c>
      <c r="C233" s="1" t="s">
        <v>20</v>
      </c>
      <c r="D233" s="1" t="s">
        <v>11</v>
      </c>
      <c r="E233" s="1" t="s">
        <v>17</v>
      </c>
      <c r="F233" s="1">
        <v>93</v>
      </c>
      <c r="G233" s="1">
        <v>94</v>
      </c>
      <c r="H233" s="1">
        <v>97</v>
      </c>
      <c r="I233">
        <f t="shared" si="15"/>
        <v>284</v>
      </c>
      <c r="J233">
        <f t="shared" si="16"/>
        <v>1</v>
      </c>
      <c r="K233">
        <f t="shared" si="17"/>
        <v>22</v>
      </c>
      <c r="L233">
        <f t="shared" si="18"/>
        <v>21</v>
      </c>
      <c r="M233">
        <f t="shared" si="19"/>
        <v>441</v>
      </c>
    </row>
    <row r="234" spans="1:13" ht="13.2" x14ac:dyDescent="0.25">
      <c r="A234" s="1" t="s">
        <v>19</v>
      </c>
      <c r="B234" s="1" t="s">
        <v>13</v>
      </c>
      <c r="C234" s="1" t="s">
        <v>14</v>
      </c>
      <c r="D234" s="1" t="s">
        <v>23</v>
      </c>
      <c r="E234" s="1" t="s">
        <v>12</v>
      </c>
      <c r="F234" s="1">
        <v>61</v>
      </c>
      <c r="G234" s="1">
        <v>67</v>
      </c>
      <c r="H234" s="1">
        <v>60</v>
      </c>
      <c r="I234">
        <f t="shared" si="15"/>
        <v>188</v>
      </c>
      <c r="J234">
        <f t="shared" si="16"/>
        <v>0</v>
      </c>
      <c r="K234">
        <f t="shared" si="17"/>
        <v>373</v>
      </c>
      <c r="L234">
        <f t="shared" si="18"/>
        <v>373</v>
      </c>
      <c r="M234">
        <f t="shared" si="19"/>
        <v>139129</v>
      </c>
    </row>
    <row r="235" spans="1:13" ht="13.2" x14ac:dyDescent="0.25">
      <c r="A235" s="1" t="s">
        <v>8</v>
      </c>
      <c r="B235" s="1" t="s">
        <v>9</v>
      </c>
      <c r="C235" s="1" t="s">
        <v>14</v>
      </c>
      <c r="D235" s="1" t="s">
        <v>11</v>
      </c>
      <c r="E235" s="1" t="s">
        <v>12</v>
      </c>
      <c r="F235" s="1">
        <v>71</v>
      </c>
      <c r="G235" s="1">
        <v>72</v>
      </c>
      <c r="H235" s="1">
        <v>78</v>
      </c>
      <c r="I235">
        <f t="shared" si="15"/>
        <v>221</v>
      </c>
      <c r="J235">
        <f t="shared" si="16"/>
        <v>0</v>
      </c>
      <c r="K235">
        <f t="shared" si="17"/>
        <v>209.5</v>
      </c>
      <c r="L235">
        <f t="shared" si="18"/>
        <v>209.5</v>
      </c>
      <c r="M235">
        <f t="shared" si="19"/>
        <v>43890.25</v>
      </c>
    </row>
    <row r="236" spans="1:13" ht="13.2" x14ac:dyDescent="0.25">
      <c r="A236" s="1" t="s">
        <v>19</v>
      </c>
      <c r="B236" s="1" t="s">
        <v>9</v>
      </c>
      <c r="C236" s="1" t="s">
        <v>22</v>
      </c>
      <c r="D236" s="1" t="s">
        <v>11</v>
      </c>
      <c r="E236" s="1" t="s">
        <v>12</v>
      </c>
      <c r="F236" s="1">
        <v>61</v>
      </c>
      <c r="G236" s="1">
        <v>55</v>
      </c>
      <c r="H236" s="1">
        <v>54</v>
      </c>
      <c r="I236">
        <f t="shared" si="15"/>
        <v>170</v>
      </c>
      <c r="J236">
        <f t="shared" si="16"/>
        <v>0</v>
      </c>
      <c r="K236">
        <f t="shared" si="17"/>
        <v>455.5</v>
      </c>
      <c r="L236">
        <f t="shared" si="18"/>
        <v>455.5</v>
      </c>
      <c r="M236">
        <f t="shared" si="19"/>
        <v>207480.25</v>
      </c>
    </row>
    <row r="237" spans="1:13" ht="13.2" x14ac:dyDescent="0.25">
      <c r="A237" s="1" t="s">
        <v>8</v>
      </c>
      <c r="B237" s="1" t="s">
        <v>18</v>
      </c>
      <c r="C237" s="1" t="s">
        <v>20</v>
      </c>
      <c r="D237" s="1" t="s">
        <v>23</v>
      </c>
      <c r="E237" s="1" t="s">
        <v>12</v>
      </c>
      <c r="F237" s="1">
        <v>45</v>
      </c>
      <c r="G237" s="1">
        <v>55</v>
      </c>
      <c r="H237" s="1">
        <v>58</v>
      </c>
      <c r="I237">
        <f t="shared" si="15"/>
        <v>158</v>
      </c>
      <c r="J237">
        <f t="shared" si="16"/>
        <v>0</v>
      </c>
      <c r="K237">
        <f t="shared" si="17"/>
        <v>499</v>
      </c>
      <c r="L237">
        <f t="shared" si="18"/>
        <v>499</v>
      </c>
      <c r="M237">
        <f t="shared" si="19"/>
        <v>249001</v>
      </c>
    </row>
    <row r="238" spans="1:13" ht="13.2" x14ac:dyDescent="0.25">
      <c r="A238" s="1" t="s">
        <v>8</v>
      </c>
      <c r="B238" s="1" t="s">
        <v>18</v>
      </c>
      <c r="C238" s="1" t="s">
        <v>14</v>
      </c>
      <c r="D238" s="1" t="s">
        <v>23</v>
      </c>
      <c r="E238" s="1" t="s">
        <v>12</v>
      </c>
      <c r="F238" s="1">
        <v>41</v>
      </c>
      <c r="G238" s="1">
        <v>55</v>
      </c>
      <c r="H238" s="1">
        <v>46</v>
      </c>
      <c r="I238">
        <f t="shared" si="15"/>
        <v>142</v>
      </c>
      <c r="J238">
        <f t="shared" si="16"/>
        <v>0</v>
      </c>
      <c r="K238">
        <f t="shared" si="17"/>
        <v>547</v>
      </c>
      <c r="L238">
        <f t="shared" si="18"/>
        <v>547</v>
      </c>
      <c r="M238">
        <f t="shared" si="19"/>
        <v>299209</v>
      </c>
    </row>
    <row r="239" spans="1:13" ht="13.2" x14ac:dyDescent="0.25">
      <c r="A239" s="1" t="s">
        <v>19</v>
      </c>
      <c r="B239" s="1" t="s">
        <v>9</v>
      </c>
      <c r="C239" s="1" t="s">
        <v>22</v>
      </c>
      <c r="D239" s="1" t="s">
        <v>11</v>
      </c>
      <c r="E239" s="1" t="s">
        <v>12</v>
      </c>
      <c r="F239" s="1">
        <v>47</v>
      </c>
      <c r="G239" s="1">
        <v>41</v>
      </c>
      <c r="H239" s="1">
        <v>36</v>
      </c>
      <c r="I239">
        <f t="shared" si="15"/>
        <v>124</v>
      </c>
      <c r="J239">
        <f t="shared" si="16"/>
        <v>0</v>
      </c>
      <c r="K239">
        <f t="shared" si="17"/>
        <v>579</v>
      </c>
      <c r="L239">
        <f t="shared" si="18"/>
        <v>579</v>
      </c>
      <c r="M239">
        <f t="shared" si="19"/>
        <v>335241</v>
      </c>
    </row>
    <row r="240" spans="1:13" ht="13.2" x14ac:dyDescent="0.25">
      <c r="A240" s="1" t="s">
        <v>8</v>
      </c>
      <c r="B240" s="1" t="s">
        <v>13</v>
      </c>
      <c r="C240" s="1" t="s">
        <v>16</v>
      </c>
      <c r="D240" s="1" t="s">
        <v>11</v>
      </c>
      <c r="E240" s="1" t="s">
        <v>12</v>
      </c>
      <c r="F240" s="1">
        <v>54</v>
      </c>
      <c r="G240" s="1">
        <v>53</v>
      </c>
      <c r="H240" s="1">
        <v>51</v>
      </c>
      <c r="I240">
        <f t="shared" si="15"/>
        <v>158</v>
      </c>
      <c r="J240">
        <f t="shared" si="16"/>
        <v>0</v>
      </c>
      <c r="K240">
        <f t="shared" si="17"/>
        <v>499</v>
      </c>
      <c r="L240">
        <f t="shared" si="18"/>
        <v>499</v>
      </c>
      <c r="M240">
        <f t="shared" si="19"/>
        <v>249001</v>
      </c>
    </row>
    <row r="241" spans="1:13" ht="13.2" x14ac:dyDescent="0.25">
      <c r="A241" s="1" t="s">
        <v>19</v>
      </c>
      <c r="B241" s="1" t="s">
        <v>15</v>
      </c>
      <c r="C241" s="1" t="s">
        <v>14</v>
      </c>
      <c r="D241" s="1" t="s">
        <v>11</v>
      </c>
      <c r="E241" s="1" t="s">
        <v>12</v>
      </c>
      <c r="F241" s="1">
        <v>64</v>
      </c>
      <c r="G241" s="1">
        <v>63</v>
      </c>
      <c r="H241" s="1">
        <v>55</v>
      </c>
      <c r="I241">
        <f t="shared" si="15"/>
        <v>182</v>
      </c>
      <c r="J241">
        <f t="shared" si="16"/>
        <v>0</v>
      </c>
      <c r="K241">
        <f t="shared" si="17"/>
        <v>399.5</v>
      </c>
      <c r="L241">
        <f t="shared" si="18"/>
        <v>399.5</v>
      </c>
      <c r="M241">
        <f t="shared" si="19"/>
        <v>159600.25</v>
      </c>
    </row>
    <row r="242" spans="1:13" ht="13.2" x14ac:dyDescent="0.25">
      <c r="A242" s="1" t="s">
        <v>19</v>
      </c>
      <c r="B242" s="1" t="s">
        <v>15</v>
      </c>
      <c r="C242" s="1" t="s">
        <v>22</v>
      </c>
      <c r="D242" s="1" t="s">
        <v>11</v>
      </c>
      <c r="E242" s="1" t="s">
        <v>12</v>
      </c>
      <c r="F242" s="1">
        <v>60</v>
      </c>
      <c r="G242" s="1">
        <v>54</v>
      </c>
      <c r="H242" s="1">
        <v>53</v>
      </c>
      <c r="I242">
        <f t="shared" si="15"/>
        <v>167</v>
      </c>
      <c r="J242">
        <f t="shared" si="16"/>
        <v>0</v>
      </c>
      <c r="K242">
        <f t="shared" si="17"/>
        <v>466</v>
      </c>
      <c r="L242">
        <f t="shared" si="18"/>
        <v>466</v>
      </c>
      <c r="M242">
        <f t="shared" si="19"/>
        <v>217156</v>
      </c>
    </row>
    <row r="243" spans="1:13" ht="13.2" x14ac:dyDescent="0.25">
      <c r="A243" s="1" t="s">
        <v>19</v>
      </c>
      <c r="B243" s="1" t="s">
        <v>13</v>
      </c>
      <c r="C243" s="1" t="s">
        <v>14</v>
      </c>
      <c r="D243" s="1" t="s">
        <v>11</v>
      </c>
      <c r="E243" s="1" t="s">
        <v>12</v>
      </c>
      <c r="F243" s="1">
        <v>72</v>
      </c>
      <c r="G243" s="1">
        <v>70</v>
      </c>
      <c r="H243" s="1">
        <v>63</v>
      </c>
      <c r="I243">
        <f t="shared" si="15"/>
        <v>205</v>
      </c>
      <c r="J243">
        <f t="shared" si="16"/>
        <v>0</v>
      </c>
      <c r="K243">
        <f t="shared" si="17"/>
        <v>277</v>
      </c>
      <c r="L243">
        <f t="shared" si="18"/>
        <v>277</v>
      </c>
      <c r="M243">
        <f t="shared" si="19"/>
        <v>76729</v>
      </c>
    </row>
    <row r="244" spans="1:13" ht="13.2" x14ac:dyDescent="0.25">
      <c r="A244" s="1" t="s">
        <v>8</v>
      </c>
      <c r="B244" s="1" t="s">
        <v>13</v>
      </c>
      <c r="C244" s="1" t="s">
        <v>16</v>
      </c>
      <c r="D244" s="1" t="s">
        <v>11</v>
      </c>
      <c r="E244" s="1" t="s">
        <v>12</v>
      </c>
      <c r="F244" s="1">
        <v>61</v>
      </c>
      <c r="G244" s="1">
        <v>65</v>
      </c>
      <c r="H244" s="1">
        <v>68</v>
      </c>
      <c r="I244">
        <f t="shared" si="15"/>
        <v>194</v>
      </c>
      <c r="J244">
        <f t="shared" si="16"/>
        <v>0</v>
      </c>
      <c r="K244">
        <f t="shared" si="17"/>
        <v>338.5</v>
      </c>
      <c r="L244">
        <f t="shared" si="18"/>
        <v>338.5</v>
      </c>
      <c r="M244">
        <f t="shared" si="19"/>
        <v>114582.25</v>
      </c>
    </row>
    <row r="245" spans="1:13" ht="13.2" x14ac:dyDescent="0.25">
      <c r="A245" s="1" t="s">
        <v>8</v>
      </c>
      <c r="B245" s="1" t="s">
        <v>18</v>
      </c>
      <c r="C245" s="1" t="s">
        <v>14</v>
      </c>
      <c r="D245" s="1" t="s">
        <v>23</v>
      </c>
      <c r="E245" s="1" t="s">
        <v>12</v>
      </c>
      <c r="F245" s="1">
        <v>35</v>
      </c>
      <c r="G245" s="1">
        <v>48</v>
      </c>
      <c r="H245" s="1">
        <v>51</v>
      </c>
      <c r="I245">
        <f t="shared" si="15"/>
        <v>134</v>
      </c>
      <c r="J245">
        <f t="shared" si="16"/>
        <v>0</v>
      </c>
      <c r="K245">
        <f t="shared" si="17"/>
        <v>567</v>
      </c>
      <c r="L245">
        <f t="shared" si="18"/>
        <v>567</v>
      </c>
      <c r="M245">
        <f t="shared" si="19"/>
        <v>321489</v>
      </c>
    </row>
    <row r="246" spans="1:13" ht="13.2" x14ac:dyDescent="0.25">
      <c r="A246" s="1" t="s">
        <v>19</v>
      </c>
      <c r="B246" s="1" t="s">
        <v>15</v>
      </c>
      <c r="C246" s="1" t="s">
        <v>24</v>
      </c>
      <c r="D246" s="1" t="s">
        <v>11</v>
      </c>
      <c r="E246" s="1" t="s">
        <v>12</v>
      </c>
      <c r="F246" s="1">
        <v>82</v>
      </c>
      <c r="G246" s="1">
        <v>84</v>
      </c>
      <c r="H246" s="1">
        <v>83</v>
      </c>
      <c r="I246">
        <f t="shared" si="15"/>
        <v>249</v>
      </c>
      <c r="J246">
        <f t="shared" si="16"/>
        <v>0</v>
      </c>
      <c r="K246">
        <f t="shared" si="17"/>
        <v>98</v>
      </c>
      <c r="L246">
        <f t="shared" si="18"/>
        <v>98</v>
      </c>
      <c r="M246">
        <f t="shared" si="19"/>
        <v>9604</v>
      </c>
    </row>
    <row r="247" spans="1:13" ht="13.2" x14ac:dyDescent="0.25">
      <c r="A247" s="1" t="s">
        <v>8</v>
      </c>
      <c r="B247" s="1" t="s">
        <v>18</v>
      </c>
      <c r="C247" s="1" t="s">
        <v>16</v>
      </c>
      <c r="D247" s="1" t="s">
        <v>11</v>
      </c>
      <c r="E247" s="1" t="s">
        <v>12</v>
      </c>
      <c r="F247" s="1">
        <v>67</v>
      </c>
      <c r="G247" s="1">
        <v>83</v>
      </c>
      <c r="H247" s="1">
        <v>80</v>
      </c>
      <c r="I247">
        <f t="shared" si="15"/>
        <v>230</v>
      </c>
      <c r="J247">
        <f t="shared" si="16"/>
        <v>0</v>
      </c>
      <c r="K247">
        <f t="shared" si="17"/>
        <v>172.5</v>
      </c>
      <c r="L247">
        <f t="shared" si="18"/>
        <v>172.5</v>
      </c>
      <c r="M247">
        <f t="shared" si="19"/>
        <v>29756.25</v>
      </c>
    </row>
    <row r="248" spans="1:13" ht="13.2" x14ac:dyDescent="0.25">
      <c r="A248" s="1" t="s">
        <v>19</v>
      </c>
      <c r="B248" s="1" t="s">
        <v>13</v>
      </c>
      <c r="C248" s="1" t="s">
        <v>22</v>
      </c>
      <c r="D248" s="1" t="s">
        <v>11</v>
      </c>
      <c r="E248" s="1" t="s">
        <v>17</v>
      </c>
      <c r="F248" s="1">
        <v>76</v>
      </c>
      <c r="G248" s="1">
        <v>72</v>
      </c>
      <c r="H248" s="1">
        <v>73</v>
      </c>
      <c r="I248">
        <f t="shared" si="15"/>
        <v>221</v>
      </c>
      <c r="J248">
        <f t="shared" si="16"/>
        <v>1</v>
      </c>
      <c r="K248">
        <f t="shared" si="17"/>
        <v>209.5</v>
      </c>
      <c r="L248">
        <f t="shared" si="18"/>
        <v>208.5</v>
      </c>
      <c r="M248">
        <f t="shared" si="19"/>
        <v>43472.25</v>
      </c>
    </row>
    <row r="249" spans="1:13" ht="13.2" x14ac:dyDescent="0.25">
      <c r="A249" s="1" t="s">
        <v>8</v>
      </c>
      <c r="B249" s="1" t="s">
        <v>18</v>
      </c>
      <c r="C249" s="1" t="s">
        <v>16</v>
      </c>
      <c r="D249" s="1" t="s">
        <v>23</v>
      </c>
      <c r="E249" s="1" t="s">
        <v>12</v>
      </c>
      <c r="F249" s="1">
        <v>46</v>
      </c>
      <c r="G249" s="1">
        <v>62</v>
      </c>
      <c r="H249" s="1">
        <v>63</v>
      </c>
      <c r="I249">
        <f t="shared" si="15"/>
        <v>171</v>
      </c>
      <c r="J249">
        <f t="shared" si="16"/>
        <v>0</v>
      </c>
      <c r="K249">
        <f t="shared" si="17"/>
        <v>450</v>
      </c>
      <c r="L249">
        <f t="shared" si="18"/>
        <v>450</v>
      </c>
      <c r="M249">
        <f t="shared" si="19"/>
        <v>202500</v>
      </c>
    </row>
    <row r="250" spans="1:13" ht="13.2" x14ac:dyDescent="0.25">
      <c r="A250" s="1" t="s">
        <v>19</v>
      </c>
      <c r="B250" s="1" t="s">
        <v>9</v>
      </c>
      <c r="C250" s="1" t="s">
        <v>10</v>
      </c>
      <c r="D250" s="1" t="s">
        <v>23</v>
      </c>
      <c r="E250" s="1" t="s">
        <v>17</v>
      </c>
      <c r="F250" s="1">
        <v>64</v>
      </c>
      <c r="G250" s="1">
        <v>65</v>
      </c>
      <c r="H250" s="1">
        <v>63</v>
      </c>
      <c r="I250">
        <f t="shared" si="15"/>
        <v>192</v>
      </c>
      <c r="J250">
        <f t="shared" si="16"/>
        <v>1</v>
      </c>
      <c r="K250">
        <f t="shared" si="17"/>
        <v>349</v>
      </c>
      <c r="L250">
        <f t="shared" si="18"/>
        <v>348</v>
      </c>
      <c r="M250">
        <f t="shared" si="19"/>
        <v>121104</v>
      </c>
    </row>
    <row r="251" spans="1:13" ht="13.2" x14ac:dyDescent="0.25">
      <c r="A251" s="1" t="s">
        <v>8</v>
      </c>
      <c r="B251" s="1" t="s">
        <v>9</v>
      </c>
      <c r="C251" s="1" t="s">
        <v>20</v>
      </c>
      <c r="D251" s="1" t="s">
        <v>23</v>
      </c>
      <c r="E251" s="1" t="s">
        <v>17</v>
      </c>
      <c r="F251" s="1">
        <v>32</v>
      </c>
      <c r="G251" s="1">
        <v>55</v>
      </c>
      <c r="H251" s="1">
        <v>54</v>
      </c>
      <c r="I251">
        <f t="shared" si="15"/>
        <v>141</v>
      </c>
      <c r="J251">
        <f t="shared" si="16"/>
        <v>1</v>
      </c>
      <c r="K251">
        <f t="shared" si="17"/>
        <v>549</v>
      </c>
      <c r="L251">
        <f t="shared" si="18"/>
        <v>548</v>
      </c>
      <c r="M251">
        <f t="shared" si="19"/>
        <v>300304</v>
      </c>
    </row>
    <row r="252" spans="1:13" ht="13.2" x14ac:dyDescent="0.25">
      <c r="A252" s="1" t="s">
        <v>19</v>
      </c>
      <c r="B252" s="1" t="s">
        <v>13</v>
      </c>
      <c r="C252" s="1" t="s">
        <v>10</v>
      </c>
      <c r="D252" s="1" t="s">
        <v>11</v>
      </c>
      <c r="E252" s="1" t="s">
        <v>12</v>
      </c>
      <c r="F252" s="1">
        <v>56</v>
      </c>
      <c r="G252" s="1">
        <v>50</v>
      </c>
      <c r="H252" s="1">
        <v>50</v>
      </c>
      <c r="I252">
        <f t="shared" si="15"/>
        <v>156</v>
      </c>
      <c r="J252">
        <f t="shared" si="16"/>
        <v>0</v>
      </c>
      <c r="K252">
        <f t="shared" si="17"/>
        <v>507</v>
      </c>
      <c r="L252">
        <f t="shared" si="18"/>
        <v>507</v>
      </c>
      <c r="M252">
        <f t="shared" si="19"/>
        <v>257049</v>
      </c>
    </row>
    <row r="253" spans="1:13" ht="13.2" x14ac:dyDescent="0.25">
      <c r="A253" s="1" t="s">
        <v>19</v>
      </c>
      <c r="B253" s="1" t="s">
        <v>9</v>
      </c>
      <c r="C253" s="1" t="s">
        <v>16</v>
      </c>
      <c r="D253" s="1" t="s">
        <v>11</v>
      </c>
      <c r="E253" s="1" t="s">
        <v>12</v>
      </c>
      <c r="F253" s="1">
        <v>100</v>
      </c>
      <c r="G253" s="1">
        <v>79</v>
      </c>
      <c r="H253" s="1">
        <v>77</v>
      </c>
      <c r="I253">
        <f t="shared" si="15"/>
        <v>256</v>
      </c>
      <c r="J253">
        <f t="shared" si="16"/>
        <v>0</v>
      </c>
      <c r="K253">
        <f t="shared" si="17"/>
        <v>77</v>
      </c>
      <c r="L253">
        <f t="shared" si="18"/>
        <v>77</v>
      </c>
      <c r="M253">
        <f t="shared" si="19"/>
        <v>5929</v>
      </c>
    </row>
    <row r="254" spans="1:13" ht="13.2" x14ac:dyDescent="0.25">
      <c r="A254" s="1" t="s">
        <v>19</v>
      </c>
      <c r="B254" s="1" t="s">
        <v>18</v>
      </c>
      <c r="C254" s="1" t="s">
        <v>20</v>
      </c>
      <c r="D254" s="1" t="s">
        <v>11</v>
      </c>
      <c r="E254" s="1" t="s">
        <v>12</v>
      </c>
      <c r="F254" s="1">
        <v>52</v>
      </c>
      <c r="G254" s="1">
        <v>53</v>
      </c>
      <c r="H254" s="1">
        <v>54</v>
      </c>
      <c r="I254">
        <f t="shared" si="15"/>
        <v>159</v>
      </c>
      <c r="J254">
        <f t="shared" si="16"/>
        <v>0</v>
      </c>
      <c r="K254">
        <f t="shared" si="17"/>
        <v>495.5</v>
      </c>
      <c r="L254">
        <f t="shared" si="18"/>
        <v>495.5</v>
      </c>
      <c r="M254">
        <f t="shared" si="19"/>
        <v>245520.25</v>
      </c>
    </row>
    <row r="255" spans="1:13" ht="13.2" x14ac:dyDescent="0.25">
      <c r="A255" s="1" t="s">
        <v>8</v>
      </c>
      <c r="B255" s="1" t="s">
        <v>21</v>
      </c>
      <c r="C255" s="1" t="s">
        <v>10</v>
      </c>
      <c r="D255" s="1" t="s">
        <v>11</v>
      </c>
      <c r="E255" s="1" t="s">
        <v>12</v>
      </c>
      <c r="F255" s="1">
        <v>98</v>
      </c>
      <c r="G255" s="1">
        <v>92</v>
      </c>
      <c r="H255" s="1">
        <v>93</v>
      </c>
      <c r="I255">
        <f t="shared" si="15"/>
        <v>283</v>
      </c>
      <c r="J255">
        <f t="shared" si="16"/>
        <v>0</v>
      </c>
      <c r="K255">
        <f t="shared" si="17"/>
        <v>23.5</v>
      </c>
      <c r="L255">
        <f t="shared" si="18"/>
        <v>23.5</v>
      </c>
      <c r="M255">
        <f t="shared" si="19"/>
        <v>552.25</v>
      </c>
    </row>
    <row r="256" spans="1:13" ht="13.2" x14ac:dyDescent="0.25">
      <c r="A256" s="1" t="s">
        <v>8</v>
      </c>
      <c r="B256" s="1" t="s">
        <v>13</v>
      </c>
      <c r="C256" s="1" t="s">
        <v>10</v>
      </c>
      <c r="D256" s="1" t="s">
        <v>23</v>
      </c>
      <c r="E256" s="1" t="s">
        <v>12</v>
      </c>
      <c r="F256" s="1">
        <v>56</v>
      </c>
      <c r="G256" s="1">
        <v>65</v>
      </c>
      <c r="H256" s="1">
        <v>61</v>
      </c>
      <c r="I256">
        <f t="shared" si="15"/>
        <v>182</v>
      </c>
      <c r="J256">
        <f t="shared" si="16"/>
        <v>0</v>
      </c>
      <c r="K256">
        <f t="shared" si="17"/>
        <v>399.5</v>
      </c>
      <c r="L256">
        <f t="shared" si="18"/>
        <v>399.5</v>
      </c>
      <c r="M256">
        <f t="shared" si="19"/>
        <v>159600.25</v>
      </c>
    </row>
    <row r="257" spans="1:13" ht="13.2" x14ac:dyDescent="0.25">
      <c r="A257" s="1" t="s">
        <v>19</v>
      </c>
      <c r="B257" s="1" t="s">
        <v>18</v>
      </c>
      <c r="C257" s="1" t="s">
        <v>10</v>
      </c>
      <c r="D257" s="1" t="s">
        <v>23</v>
      </c>
      <c r="E257" s="1" t="s">
        <v>17</v>
      </c>
      <c r="F257" s="1">
        <v>58</v>
      </c>
      <c r="G257" s="1">
        <v>57</v>
      </c>
      <c r="H257" s="1">
        <v>52</v>
      </c>
      <c r="I257">
        <f t="shared" si="15"/>
        <v>167</v>
      </c>
      <c r="J257">
        <f t="shared" si="16"/>
        <v>1</v>
      </c>
      <c r="K257">
        <f t="shared" si="17"/>
        <v>466</v>
      </c>
      <c r="L257">
        <f t="shared" si="18"/>
        <v>465</v>
      </c>
      <c r="M257">
        <f t="shared" si="19"/>
        <v>216225</v>
      </c>
    </row>
    <row r="258" spans="1:13" ht="13.2" x14ac:dyDescent="0.25">
      <c r="A258" s="1" t="s">
        <v>8</v>
      </c>
      <c r="B258" s="1" t="s">
        <v>18</v>
      </c>
      <c r="C258" s="1" t="s">
        <v>22</v>
      </c>
      <c r="D258" s="1" t="s">
        <v>23</v>
      </c>
      <c r="E258" s="1" t="s">
        <v>12</v>
      </c>
      <c r="F258" s="1">
        <v>57</v>
      </c>
      <c r="G258" s="1">
        <v>68</v>
      </c>
      <c r="H258" s="1">
        <v>64</v>
      </c>
      <c r="I258">
        <f t="shared" si="15"/>
        <v>189</v>
      </c>
      <c r="J258">
        <f t="shared" si="16"/>
        <v>0</v>
      </c>
      <c r="K258">
        <f t="shared" si="17"/>
        <v>367</v>
      </c>
      <c r="L258">
        <f t="shared" si="18"/>
        <v>367</v>
      </c>
      <c r="M258">
        <f t="shared" si="19"/>
        <v>134689</v>
      </c>
    </row>
    <row r="259" spans="1:13" ht="13.2" x14ac:dyDescent="0.25">
      <c r="A259" s="1" t="s">
        <v>8</v>
      </c>
      <c r="B259" s="1" t="s">
        <v>13</v>
      </c>
      <c r="C259" s="1" t="s">
        <v>10</v>
      </c>
      <c r="D259" s="1" t="s">
        <v>11</v>
      </c>
      <c r="E259" s="1" t="s">
        <v>12</v>
      </c>
      <c r="F259" s="1">
        <v>68</v>
      </c>
      <c r="G259" s="1">
        <v>68</v>
      </c>
      <c r="H259" s="1">
        <v>65</v>
      </c>
      <c r="I259">
        <f t="shared" ref="I259:I322" si="20">SUM(F259:H259)</f>
        <v>201</v>
      </c>
      <c r="J259">
        <f t="shared" ref="J259:J322" si="21">IF(E259="completed", 1, IF(E259="none", 0, ""))</f>
        <v>0</v>
      </c>
      <c r="K259">
        <f t="shared" ref="K259:K322" si="22">_xlfn.RANK.AVG(I259, I$2:I$601, 0)</f>
        <v>295.5</v>
      </c>
      <c r="L259">
        <f t="shared" ref="L259:L322" si="23">K259-J259</f>
        <v>295.5</v>
      </c>
      <c r="M259">
        <f t="shared" ref="M259:M322" si="24">L259^2</f>
        <v>87320.25</v>
      </c>
    </row>
    <row r="260" spans="1:13" ht="13.2" x14ac:dyDescent="0.25">
      <c r="A260" s="1" t="s">
        <v>8</v>
      </c>
      <c r="B260" s="1" t="s">
        <v>21</v>
      </c>
      <c r="C260" s="1" t="s">
        <v>22</v>
      </c>
      <c r="D260" s="1" t="s">
        <v>11</v>
      </c>
      <c r="E260" s="1" t="s">
        <v>17</v>
      </c>
      <c r="F260" s="1">
        <v>61</v>
      </c>
      <c r="G260" s="1">
        <v>74</v>
      </c>
      <c r="H260" s="1">
        <v>75</v>
      </c>
      <c r="I260">
        <f t="shared" si="20"/>
        <v>210</v>
      </c>
      <c r="J260">
        <f t="shared" si="21"/>
        <v>1</v>
      </c>
      <c r="K260">
        <f t="shared" si="22"/>
        <v>251</v>
      </c>
      <c r="L260">
        <f t="shared" si="23"/>
        <v>250</v>
      </c>
      <c r="M260">
        <f t="shared" si="24"/>
        <v>62500</v>
      </c>
    </row>
    <row r="261" spans="1:13" ht="13.2" x14ac:dyDescent="0.25">
      <c r="A261" s="1" t="s">
        <v>8</v>
      </c>
      <c r="B261" s="1" t="s">
        <v>21</v>
      </c>
      <c r="C261" s="1" t="s">
        <v>16</v>
      </c>
      <c r="D261" s="1" t="s">
        <v>23</v>
      </c>
      <c r="E261" s="1" t="s">
        <v>17</v>
      </c>
      <c r="F261" s="1">
        <v>80</v>
      </c>
      <c r="G261" s="1">
        <v>91</v>
      </c>
      <c r="H261" s="1">
        <v>94</v>
      </c>
      <c r="I261">
        <f t="shared" si="20"/>
        <v>265</v>
      </c>
      <c r="J261">
        <f t="shared" si="21"/>
        <v>1</v>
      </c>
      <c r="K261">
        <f t="shared" si="22"/>
        <v>50.5</v>
      </c>
      <c r="L261">
        <f t="shared" si="23"/>
        <v>49.5</v>
      </c>
      <c r="M261">
        <f t="shared" si="24"/>
        <v>2450.25</v>
      </c>
    </row>
    <row r="262" spans="1:13" ht="13.2" x14ac:dyDescent="0.25">
      <c r="A262" s="1" t="s">
        <v>8</v>
      </c>
      <c r="B262" s="1" t="s">
        <v>18</v>
      </c>
      <c r="C262" s="1" t="s">
        <v>10</v>
      </c>
      <c r="D262" s="1" t="s">
        <v>11</v>
      </c>
      <c r="E262" s="1" t="s">
        <v>17</v>
      </c>
      <c r="F262" s="1">
        <v>48</v>
      </c>
      <c r="G262" s="1">
        <v>55</v>
      </c>
      <c r="H262" s="1">
        <v>54</v>
      </c>
      <c r="I262">
        <f t="shared" si="20"/>
        <v>157</v>
      </c>
      <c r="J262">
        <f t="shared" si="21"/>
        <v>1</v>
      </c>
      <c r="K262">
        <f t="shared" si="22"/>
        <v>502.5</v>
      </c>
      <c r="L262">
        <f t="shared" si="23"/>
        <v>501.5</v>
      </c>
      <c r="M262">
        <f t="shared" si="24"/>
        <v>251502.25</v>
      </c>
    </row>
    <row r="263" spans="1:13" ht="13.2" x14ac:dyDescent="0.25">
      <c r="A263" s="1" t="s">
        <v>8</v>
      </c>
      <c r="B263" s="1" t="s">
        <v>21</v>
      </c>
      <c r="C263" s="1" t="s">
        <v>20</v>
      </c>
      <c r="D263" s="1" t="s">
        <v>11</v>
      </c>
      <c r="E263" s="1" t="s">
        <v>12</v>
      </c>
      <c r="F263" s="1">
        <v>86</v>
      </c>
      <c r="G263" s="1">
        <v>93</v>
      </c>
      <c r="H263" s="1">
        <v>98</v>
      </c>
      <c r="I263">
        <f t="shared" si="20"/>
        <v>277</v>
      </c>
      <c r="J263">
        <f t="shared" si="21"/>
        <v>0</v>
      </c>
      <c r="K263">
        <f t="shared" si="22"/>
        <v>32.5</v>
      </c>
      <c r="L263">
        <f t="shared" si="23"/>
        <v>32.5</v>
      </c>
      <c r="M263">
        <f t="shared" si="24"/>
        <v>1056.25</v>
      </c>
    </row>
    <row r="264" spans="1:13" ht="13.2" x14ac:dyDescent="0.25">
      <c r="A264" s="1" t="s">
        <v>19</v>
      </c>
      <c r="B264" s="1" t="s">
        <v>18</v>
      </c>
      <c r="C264" s="1" t="s">
        <v>22</v>
      </c>
      <c r="D264" s="1" t="s">
        <v>23</v>
      </c>
      <c r="E264" s="1" t="s">
        <v>12</v>
      </c>
      <c r="F264" s="1">
        <v>19</v>
      </c>
      <c r="G264" s="1">
        <v>34</v>
      </c>
      <c r="H264" s="1">
        <v>25</v>
      </c>
      <c r="I264">
        <f t="shared" si="20"/>
        <v>78</v>
      </c>
      <c r="J264">
        <f t="shared" si="21"/>
        <v>0</v>
      </c>
      <c r="K264">
        <f t="shared" si="22"/>
        <v>598</v>
      </c>
      <c r="L264">
        <f t="shared" si="23"/>
        <v>598</v>
      </c>
      <c r="M264">
        <f t="shared" si="24"/>
        <v>357604</v>
      </c>
    </row>
    <row r="265" spans="1:13" ht="13.2" x14ac:dyDescent="0.25">
      <c r="A265" s="1" t="s">
        <v>19</v>
      </c>
      <c r="B265" s="1" t="s">
        <v>18</v>
      </c>
      <c r="C265" s="1" t="s">
        <v>14</v>
      </c>
      <c r="D265" s="1" t="s">
        <v>11</v>
      </c>
      <c r="E265" s="1" t="s">
        <v>17</v>
      </c>
      <c r="F265" s="1">
        <v>100</v>
      </c>
      <c r="G265" s="1">
        <v>100</v>
      </c>
      <c r="H265" s="1">
        <v>99</v>
      </c>
      <c r="I265">
        <f t="shared" si="20"/>
        <v>299</v>
      </c>
      <c r="J265">
        <f t="shared" si="21"/>
        <v>1</v>
      </c>
      <c r="K265">
        <f t="shared" si="22"/>
        <v>2.5</v>
      </c>
      <c r="L265">
        <f t="shared" si="23"/>
        <v>1.5</v>
      </c>
      <c r="M265">
        <f t="shared" si="24"/>
        <v>2.25</v>
      </c>
    </row>
    <row r="266" spans="1:13" ht="13.2" x14ac:dyDescent="0.25">
      <c r="A266" s="1" t="s">
        <v>19</v>
      </c>
      <c r="B266" s="1" t="s">
        <v>13</v>
      </c>
      <c r="C266" s="1" t="s">
        <v>14</v>
      </c>
      <c r="D266" s="1" t="s">
        <v>11</v>
      </c>
      <c r="E266" s="1" t="s">
        <v>12</v>
      </c>
      <c r="F266" s="1">
        <v>74</v>
      </c>
      <c r="G266" s="1">
        <v>82</v>
      </c>
      <c r="H266" s="1">
        <v>74</v>
      </c>
      <c r="I266">
        <f t="shared" si="20"/>
        <v>230</v>
      </c>
      <c r="J266">
        <f t="shared" si="21"/>
        <v>0</v>
      </c>
      <c r="K266">
        <f t="shared" si="22"/>
        <v>172.5</v>
      </c>
      <c r="L266">
        <f t="shared" si="23"/>
        <v>172.5</v>
      </c>
      <c r="M266">
        <f t="shared" si="24"/>
        <v>29756.25</v>
      </c>
    </row>
    <row r="267" spans="1:13" ht="13.2" x14ac:dyDescent="0.25">
      <c r="A267" s="1" t="s">
        <v>8</v>
      </c>
      <c r="B267" s="1" t="s">
        <v>9</v>
      </c>
      <c r="C267" s="1" t="s">
        <v>14</v>
      </c>
      <c r="D267" s="1" t="s">
        <v>23</v>
      </c>
      <c r="E267" s="1" t="s">
        <v>17</v>
      </c>
      <c r="F267" s="1">
        <v>50</v>
      </c>
      <c r="G267" s="1">
        <v>72</v>
      </c>
      <c r="H267" s="1">
        <v>71</v>
      </c>
      <c r="I267">
        <f t="shared" si="20"/>
        <v>193</v>
      </c>
      <c r="J267">
        <f t="shared" si="21"/>
        <v>1</v>
      </c>
      <c r="K267">
        <f t="shared" si="22"/>
        <v>344</v>
      </c>
      <c r="L267">
        <f t="shared" si="23"/>
        <v>343</v>
      </c>
      <c r="M267">
        <f t="shared" si="24"/>
        <v>117649</v>
      </c>
    </row>
    <row r="268" spans="1:13" ht="13.2" x14ac:dyDescent="0.25">
      <c r="A268" s="1" t="s">
        <v>19</v>
      </c>
      <c r="B268" s="1" t="s">
        <v>18</v>
      </c>
      <c r="C268" s="1" t="s">
        <v>20</v>
      </c>
      <c r="D268" s="1" t="s">
        <v>23</v>
      </c>
      <c r="E268" s="1" t="s">
        <v>17</v>
      </c>
      <c r="F268" s="1">
        <v>74</v>
      </c>
      <c r="G268" s="1">
        <v>75</v>
      </c>
      <c r="H268" s="1">
        <v>74</v>
      </c>
      <c r="I268">
        <f t="shared" si="20"/>
        <v>223</v>
      </c>
      <c r="J268">
        <f t="shared" si="21"/>
        <v>1</v>
      </c>
      <c r="K268">
        <f t="shared" si="22"/>
        <v>200</v>
      </c>
      <c r="L268">
        <f t="shared" si="23"/>
        <v>199</v>
      </c>
      <c r="M268">
        <f t="shared" si="24"/>
        <v>39601</v>
      </c>
    </row>
    <row r="269" spans="1:13" ht="13.2" x14ac:dyDescent="0.25">
      <c r="A269" s="1" t="s">
        <v>8</v>
      </c>
      <c r="B269" s="1" t="s">
        <v>18</v>
      </c>
      <c r="C269" s="1" t="s">
        <v>22</v>
      </c>
      <c r="D269" s="1" t="s">
        <v>23</v>
      </c>
      <c r="E269" s="1" t="s">
        <v>12</v>
      </c>
      <c r="F269" s="1">
        <v>28</v>
      </c>
      <c r="G269" s="1">
        <v>39</v>
      </c>
      <c r="H269" s="1">
        <v>37</v>
      </c>
      <c r="I269">
        <f t="shared" si="20"/>
        <v>104</v>
      </c>
      <c r="J269">
        <f t="shared" si="21"/>
        <v>0</v>
      </c>
      <c r="K269">
        <f t="shared" si="22"/>
        <v>592.5</v>
      </c>
      <c r="L269">
        <f t="shared" si="23"/>
        <v>592.5</v>
      </c>
      <c r="M269">
        <f t="shared" si="24"/>
        <v>351056.25</v>
      </c>
    </row>
    <row r="270" spans="1:13" ht="13.2" x14ac:dyDescent="0.25">
      <c r="A270" s="1" t="s">
        <v>8</v>
      </c>
      <c r="B270" s="1" t="s">
        <v>9</v>
      </c>
      <c r="C270" s="1" t="s">
        <v>16</v>
      </c>
      <c r="D270" s="1" t="s">
        <v>23</v>
      </c>
      <c r="E270" s="1" t="s">
        <v>12</v>
      </c>
      <c r="F270" s="1">
        <v>54</v>
      </c>
      <c r="G270" s="1">
        <v>68</v>
      </c>
      <c r="H270" s="1">
        <v>60</v>
      </c>
      <c r="I270">
        <f t="shared" si="20"/>
        <v>182</v>
      </c>
      <c r="J270">
        <f t="shared" si="21"/>
        <v>0</v>
      </c>
      <c r="K270">
        <f t="shared" si="22"/>
        <v>399.5</v>
      </c>
      <c r="L270">
        <f t="shared" si="23"/>
        <v>399.5</v>
      </c>
      <c r="M270">
        <f t="shared" si="24"/>
        <v>159600.25</v>
      </c>
    </row>
    <row r="271" spans="1:13" ht="13.2" x14ac:dyDescent="0.25">
      <c r="A271" s="1" t="s">
        <v>19</v>
      </c>
      <c r="B271" s="1" t="s">
        <v>9</v>
      </c>
      <c r="C271" s="1" t="s">
        <v>22</v>
      </c>
      <c r="D271" s="1" t="s">
        <v>11</v>
      </c>
      <c r="E271" s="1" t="s">
        <v>17</v>
      </c>
      <c r="F271" s="1">
        <v>83</v>
      </c>
      <c r="G271" s="1">
        <v>83</v>
      </c>
      <c r="H271" s="1">
        <v>74</v>
      </c>
      <c r="I271">
        <f t="shared" si="20"/>
        <v>240</v>
      </c>
      <c r="J271">
        <f t="shared" si="21"/>
        <v>1</v>
      </c>
      <c r="K271">
        <f t="shared" si="22"/>
        <v>129.5</v>
      </c>
      <c r="L271">
        <f t="shared" si="23"/>
        <v>128.5</v>
      </c>
      <c r="M271">
        <f t="shared" si="24"/>
        <v>16512.25</v>
      </c>
    </row>
    <row r="272" spans="1:13" ht="13.2" x14ac:dyDescent="0.25">
      <c r="A272" s="1" t="s">
        <v>8</v>
      </c>
      <c r="B272" s="1" t="s">
        <v>13</v>
      </c>
      <c r="C272" s="1" t="s">
        <v>24</v>
      </c>
      <c r="D272" s="1" t="s">
        <v>11</v>
      </c>
      <c r="E272" s="1" t="s">
        <v>12</v>
      </c>
      <c r="F272" s="1">
        <v>89</v>
      </c>
      <c r="G272" s="1">
        <v>97</v>
      </c>
      <c r="H272" s="1">
        <v>99</v>
      </c>
      <c r="I272">
        <f t="shared" si="20"/>
        <v>285</v>
      </c>
      <c r="J272">
        <f t="shared" si="21"/>
        <v>0</v>
      </c>
      <c r="K272">
        <f t="shared" si="22"/>
        <v>21</v>
      </c>
      <c r="L272">
        <f t="shared" si="23"/>
        <v>21</v>
      </c>
      <c r="M272">
        <f t="shared" si="24"/>
        <v>441</v>
      </c>
    </row>
    <row r="273" spans="1:13" ht="13.2" x14ac:dyDescent="0.25">
      <c r="A273" s="1" t="s">
        <v>8</v>
      </c>
      <c r="B273" s="1" t="s">
        <v>13</v>
      </c>
      <c r="C273" s="1" t="s">
        <v>14</v>
      </c>
      <c r="D273" s="1" t="s">
        <v>23</v>
      </c>
      <c r="E273" s="1" t="s">
        <v>12</v>
      </c>
      <c r="F273" s="1">
        <v>50</v>
      </c>
      <c r="G273" s="1">
        <v>61</v>
      </c>
      <c r="H273" s="1">
        <v>63</v>
      </c>
      <c r="I273">
        <f t="shared" si="20"/>
        <v>174</v>
      </c>
      <c r="J273">
        <f t="shared" si="21"/>
        <v>0</v>
      </c>
      <c r="K273">
        <f t="shared" si="22"/>
        <v>434</v>
      </c>
      <c r="L273">
        <f t="shared" si="23"/>
        <v>434</v>
      </c>
      <c r="M273">
        <f t="shared" si="24"/>
        <v>188356</v>
      </c>
    </row>
    <row r="274" spans="1:13" ht="13.2" x14ac:dyDescent="0.25">
      <c r="A274" s="1" t="s">
        <v>19</v>
      </c>
      <c r="B274" s="1" t="s">
        <v>13</v>
      </c>
      <c r="C274" s="1" t="s">
        <v>10</v>
      </c>
      <c r="D274" s="1" t="s">
        <v>23</v>
      </c>
      <c r="E274" s="1" t="s">
        <v>17</v>
      </c>
      <c r="F274" s="1">
        <v>82</v>
      </c>
      <c r="G274" s="1">
        <v>86</v>
      </c>
      <c r="H274" s="1">
        <v>89</v>
      </c>
      <c r="I274">
        <f t="shared" si="20"/>
        <v>257</v>
      </c>
      <c r="J274">
        <f t="shared" si="21"/>
        <v>1</v>
      </c>
      <c r="K274">
        <f t="shared" si="22"/>
        <v>74.5</v>
      </c>
      <c r="L274">
        <f t="shared" si="23"/>
        <v>73.5</v>
      </c>
      <c r="M274">
        <f t="shared" si="24"/>
        <v>5402.25</v>
      </c>
    </row>
    <row r="275" spans="1:13" ht="13.2" x14ac:dyDescent="0.25">
      <c r="A275" s="1" t="s">
        <v>8</v>
      </c>
      <c r="B275" s="1" t="s">
        <v>9</v>
      </c>
      <c r="C275" s="1" t="s">
        <v>22</v>
      </c>
      <c r="D275" s="1" t="s">
        <v>11</v>
      </c>
      <c r="E275" s="1" t="s">
        <v>17</v>
      </c>
      <c r="F275" s="1">
        <v>53</v>
      </c>
      <c r="G275" s="1">
        <v>69</v>
      </c>
      <c r="H275" s="1">
        <v>67</v>
      </c>
      <c r="I275">
        <f t="shared" si="20"/>
        <v>189</v>
      </c>
      <c r="J275">
        <f t="shared" si="21"/>
        <v>1</v>
      </c>
      <c r="K275">
        <f t="shared" si="22"/>
        <v>367</v>
      </c>
      <c r="L275">
        <f t="shared" si="23"/>
        <v>366</v>
      </c>
      <c r="M275">
        <f t="shared" si="24"/>
        <v>133956</v>
      </c>
    </row>
    <row r="276" spans="1:13" ht="13.2" x14ac:dyDescent="0.25">
      <c r="A276" s="1" t="s">
        <v>19</v>
      </c>
      <c r="B276" s="1" t="s">
        <v>18</v>
      </c>
      <c r="C276" s="1" t="s">
        <v>10</v>
      </c>
      <c r="D276" s="1" t="s">
        <v>11</v>
      </c>
      <c r="E276" s="1" t="s">
        <v>12</v>
      </c>
      <c r="F276" s="1">
        <v>81</v>
      </c>
      <c r="G276" s="1">
        <v>81</v>
      </c>
      <c r="H276" s="1">
        <v>74</v>
      </c>
      <c r="I276">
        <f t="shared" si="20"/>
        <v>236</v>
      </c>
      <c r="J276">
        <f t="shared" si="21"/>
        <v>0</v>
      </c>
      <c r="K276">
        <f t="shared" si="22"/>
        <v>148.5</v>
      </c>
      <c r="L276">
        <f t="shared" si="23"/>
        <v>148.5</v>
      </c>
      <c r="M276">
        <f t="shared" si="24"/>
        <v>22052.25</v>
      </c>
    </row>
    <row r="277" spans="1:13" ht="13.2" x14ac:dyDescent="0.25">
      <c r="A277" s="1" t="s">
        <v>8</v>
      </c>
      <c r="B277" s="1" t="s">
        <v>9</v>
      </c>
      <c r="C277" s="1" t="s">
        <v>20</v>
      </c>
      <c r="D277" s="1" t="s">
        <v>11</v>
      </c>
      <c r="E277" s="1" t="s">
        <v>17</v>
      </c>
      <c r="F277" s="1">
        <v>60</v>
      </c>
      <c r="G277" s="1">
        <v>69</v>
      </c>
      <c r="H277" s="1">
        <v>74</v>
      </c>
      <c r="I277">
        <f t="shared" si="20"/>
        <v>203</v>
      </c>
      <c r="J277">
        <f t="shared" si="21"/>
        <v>1</v>
      </c>
      <c r="K277">
        <f t="shared" si="22"/>
        <v>286.5</v>
      </c>
      <c r="L277">
        <f t="shared" si="23"/>
        <v>285.5</v>
      </c>
      <c r="M277">
        <f t="shared" si="24"/>
        <v>81510.25</v>
      </c>
    </row>
    <row r="278" spans="1:13" ht="13.2" x14ac:dyDescent="0.25">
      <c r="A278" s="1" t="s">
        <v>19</v>
      </c>
      <c r="B278" s="1" t="s">
        <v>18</v>
      </c>
      <c r="C278" s="1" t="s">
        <v>20</v>
      </c>
      <c r="D278" s="1" t="s">
        <v>23</v>
      </c>
      <c r="E278" s="1" t="s">
        <v>12</v>
      </c>
      <c r="F278" s="1">
        <v>75</v>
      </c>
      <c r="G278" s="1">
        <v>59</v>
      </c>
      <c r="H278" s="1">
        <v>68</v>
      </c>
      <c r="I278">
        <f t="shared" si="20"/>
        <v>202</v>
      </c>
      <c r="J278">
        <f t="shared" si="21"/>
        <v>0</v>
      </c>
      <c r="K278">
        <f t="shared" si="22"/>
        <v>292</v>
      </c>
      <c r="L278">
        <f t="shared" si="23"/>
        <v>292</v>
      </c>
      <c r="M278">
        <f t="shared" si="24"/>
        <v>85264</v>
      </c>
    </row>
    <row r="279" spans="1:13" ht="13.2" x14ac:dyDescent="0.25">
      <c r="A279" s="1" t="s">
        <v>8</v>
      </c>
      <c r="B279" s="1" t="s">
        <v>18</v>
      </c>
      <c r="C279" s="1" t="s">
        <v>24</v>
      </c>
      <c r="D279" s="1" t="s">
        <v>11</v>
      </c>
      <c r="E279" s="1" t="s">
        <v>12</v>
      </c>
      <c r="F279" s="1">
        <v>77</v>
      </c>
      <c r="G279" s="1">
        <v>80</v>
      </c>
      <c r="H279" s="1">
        <v>83</v>
      </c>
      <c r="I279">
        <f t="shared" si="20"/>
        <v>240</v>
      </c>
      <c r="J279">
        <f t="shared" si="21"/>
        <v>0</v>
      </c>
      <c r="K279">
        <f t="shared" si="22"/>
        <v>129.5</v>
      </c>
      <c r="L279">
        <f t="shared" si="23"/>
        <v>129.5</v>
      </c>
      <c r="M279">
        <f t="shared" si="24"/>
        <v>16770.25</v>
      </c>
    </row>
    <row r="280" spans="1:13" ht="13.2" x14ac:dyDescent="0.25">
      <c r="A280" s="1" t="s">
        <v>8</v>
      </c>
      <c r="B280" s="1" t="s">
        <v>13</v>
      </c>
      <c r="C280" s="1" t="s">
        <v>10</v>
      </c>
      <c r="D280" s="1" t="s">
        <v>11</v>
      </c>
      <c r="E280" s="1" t="s">
        <v>17</v>
      </c>
      <c r="F280" s="1">
        <v>78</v>
      </c>
      <c r="G280" s="1">
        <v>90</v>
      </c>
      <c r="H280" s="1">
        <v>93</v>
      </c>
      <c r="I280">
        <f t="shared" si="20"/>
        <v>261</v>
      </c>
      <c r="J280">
        <f t="shared" si="21"/>
        <v>1</v>
      </c>
      <c r="K280">
        <f t="shared" si="22"/>
        <v>60.5</v>
      </c>
      <c r="L280">
        <f t="shared" si="23"/>
        <v>59.5</v>
      </c>
      <c r="M280">
        <f t="shared" si="24"/>
        <v>3540.25</v>
      </c>
    </row>
    <row r="281" spans="1:13" ht="13.2" x14ac:dyDescent="0.25">
      <c r="A281" s="1" t="s">
        <v>19</v>
      </c>
      <c r="B281" s="1" t="s">
        <v>13</v>
      </c>
      <c r="C281" s="1" t="s">
        <v>14</v>
      </c>
      <c r="D281" s="1" t="s">
        <v>11</v>
      </c>
      <c r="E281" s="1" t="s">
        <v>12</v>
      </c>
      <c r="F281" s="1">
        <v>68</v>
      </c>
      <c r="G281" s="1">
        <v>56</v>
      </c>
      <c r="H281" s="1">
        <v>52</v>
      </c>
      <c r="I281">
        <f t="shared" si="20"/>
        <v>176</v>
      </c>
      <c r="J281">
        <f t="shared" si="21"/>
        <v>0</v>
      </c>
      <c r="K281">
        <f t="shared" si="22"/>
        <v>422.5</v>
      </c>
      <c r="L281">
        <f t="shared" si="23"/>
        <v>422.5</v>
      </c>
      <c r="M281">
        <f t="shared" si="24"/>
        <v>178506.25</v>
      </c>
    </row>
    <row r="282" spans="1:13" ht="13.2" x14ac:dyDescent="0.25">
      <c r="A282" s="1" t="s">
        <v>8</v>
      </c>
      <c r="B282" s="1" t="s">
        <v>15</v>
      </c>
      <c r="C282" s="1" t="s">
        <v>10</v>
      </c>
      <c r="D282" s="1" t="s">
        <v>11</v>
      </c>
      <c r="E282" s="1" t="s">
        <v>17</v>
      </c>
      <c r="F282" s="1">
        <v>37</v>
      </c>
      <c r="G282" s="1">
        <v>55</v>
      </c>
      <c r="H282" s="1">
        <v>55</v>
      </c>
      <c r="I282">
        <f t="shared" si="20"/>
        <v>147</v>
      </c>
      <c r="J282">
        <f t="shared" si="21"/>
        <v>1</v>
      </c>
      <c r="K282">
        <f t="shared" si="22"/>
        <v>530</v>
      </c>
      <c r="L282">
        <f t="shared" si="23"/>
        <v>529</v>
      </c>
      <c r="M282">
        <f t="shared" si="24"/>
        <v>279841</v>
      </c>
    </row>
    <row r="283" spans="1:13" ht="13.2" x14ac:dyDescent="0.25">
      <c r="A283" s="1" t="s">
        <v>19</v>
      </c>
      <c r="B283" s="1" t="s">
        <v>18</v>
      </c>
      <c r="C283" s="1" t="s">
        <v>14</v>
      </c>
      <c r="D283" s="1" t="s">
        <v>23</v>
      </c>
      <c r="E283" s="1" t="s">
        <v>12</v>
      </c>
      <c r="F283" s="1">
        <v>75</v>
      </c>
      <c r="G283" s="1">
        <v>73</v>
      </c>
      <c r="H283" s="1">
        <v>70</v>
      </c>
      <c r="I283">
        <f t="shared" si="20"/>
        <v>218</v>
      </c>
      <c r="J283">
        <f t="shared" si="21"/>
        <v>0</v>
      </c>
      <c r="K283">
        <f t="shared" si="22"/>
        <v>223</v>
      </c>
      <c r="L283">
        <f t="shared" si="23"/>
        <v>223</v>
      </c>
      <c r="M283">
        <f t="shared" si="24"/>
        <v>49729</v>
      </c>
    </row>
    <row r="284" spans="1:13" ht="13.2" x14ac:dyDescent="0.25">
      <c r="A284" s="1" t="s">
        <v>8</v>
      </c>
      <c r="B284" s="1" t="s">
        <v>18</v>
      </c>
      <c r="C284" s="1" t="s">
        <v>16</v>
      </c>
      <c r="D284" s="1" t="s">
        <v>23</v>
      </c>
      <c r="E284" s="1" t="s">
        <v>17</v>
      </c>
      <c r="F284" s="1">
        <v>86</v>
      </c>
      <c r="G284" s="1">
        <v>97</v>
      </c>
      <c r="H284" s="1">
        <v>95</v>
      </c>
      <c r="I284">
        <f t="shared" si="20"/>
        <v>278</v>
      </c>
      <c r="J284">
        <f t="shared" si="21"/>
        <v>1</v>
      </c>
      <c r="K284">
        <f t="shared" si="22"/>
        <v>30</v>
      </c>
      <c r="L284">
        <f t="shared" si="23"/>
        <v>29</v>
      </c>
      <c r="M284">
        <f t="shared" si="24"/>
        <v>841</v>
      </c>
    </row>
    <row r="285" spans="1:13" ht="13.2" x14ac:dyDescent="0.25">
      <c r="A285" s="1" t="s">
        <v>19</v>
      </c>
      <c r="B285" s="1" t="s">
        <v>13</v>
      </c>
      <c r="C285" s="1" t="s">
        <v>16</v>
      </c>
      <c r="D285" s="1" t="s">
        <v>11</v>
      </c>
      <c r="E285" s="1" t="s">
        <v>17</v>
      </c>
      <c r="F285" s="1">
        <v>80</v>
      </c>
      <c r="G285" s="1">
        <v>79</v>
      </c>
      <c r="H285" s="1">
        <v>82</v>
      </c>
      <c r="I285">
        <f t="shared" si="20"/>
        <v>241</v>
      </c>
      <c r="J285">
        <f t="shared" si="21"/>
        <v>1</v>
      </c>
      <c r="K285">
        <f t="shared" si="22"/>
        <v>125</v>
      </c>
      <c r="L285">
        <f t="shared" si="23"/>
        <v>124</v>
      </c>
      <c r="M285">
        <f t="shared" si="24"/>
        <v>15376</v>
      </c>
    </row>
    <row r="286" spans="1:13" ht="13.2" x14ac:dyDescent="0.25">
      <c r="A286" s="1" t="s">
        <v>8</v>
      </c>
      <c r="B286" s="1" t="s">
        <v>13</v>
      </c>
      <c r="C286" s="1" t="s">
        <v>10</v>
      </c>
      <c r="D286" s="1" t="s">
        <v>23</v>
      </c>
      <c r="E286" s="1" t="s">
        <v>17</v>
      </c>
      <c r="F286" s="1">
        <v>57</v>
      </c>
      <c r="G286" s="1">
        <v>71</v>
      </c>
      <c r="H286" s="1">
        <v>71</v>
      </c>
      <c r="I286">
        <f t="shared" si="20"/>
        <v>199</v>
      </c>
      <c r="J286">
        <f t="shared" si="21"/>
        <v>1</v>
      </c>
      <c r="K286">
        <f t="shared" si="22"/>
        <v>307.5</v>
      </c>
      <c r="L286">
        <f t="shared" si="23"/>
        <v>306.5</v>
      </c>
      <c r="M286">
        <f t="shared" si="24"/>
        <v>93942.25</v>
      </c>
    </row>
    <row r="287" spans="1:13" ht="13.2" x14ac:dyDescent="0.25">
      <c r="A287" s="1" t="s">
        <v>8</v>
      </c>
      <c r="B287" s="1" t="s">
        <v>18</v>
      </c>
      <c r="C287" s="1" t="s">
        <v>20</v>
      </c>
      <c r="D287" s="1" t="s">
        <v>11</v>
      </c>
      <c r="E287" s="1" t="s">
        <v>17</v>
      </c>
      <c r="F287" s="1">
        <v>53</v>
      </c>
      <c r="G287" s="1">
        <v>62</v>
      </c>
      <c r="H287" s="1">
        <v>65</v>
      </c>
      <c r="I287">
        <f t="shared" si="20"/>
        <v>180</v>
      </c>
      <c r="J287">
        <f t="shared" si="21"/>
        <v>1</v>
      </c>
      <c r="K287">
        <f t="shared" si="22"/>
        <v>410</v>
      </c>
      <c r="L287">
        <f t="shared" si="23"/>
        <v>409</v>
      </c>
      <c r="M287">
        <f t="shared" si="24"/>
        <v>167281</v>
      </c>
    </row>
    <row r="288" spans="1:13" ht="13.2" x14ac:dyDescent="0.25">
      <c r="A288" s="1" t="s">
        <v>19</v>
      </c>
      <c r="B288" s="1" t="s">
        <v>21</v>
      </c>
      <c r="C288" s="1" t="s">
        <v>14</v>
      </c>
      <c r="D288" s="1" t="s">
        <v>11</v>
      </c>
      <c r="E288" s="1" t="s">
        <v>12</v>
      </c>
      <c r="F288" s="1">
        <v>74</v>
      </c>
      <c r="G288" s="1">
        <v>57</v>
      </c>
      <c r="H288" s="1">
        <v>58</v>
      </c>
      <c r="I288">
        <f t="shared" si="20"/>
        <v>189</v>
      </c>
      <c r="J288">
        <f t="shared" si="21"/>
        <v>0</v>
      </c>
      <c r="K288">
        <f t="shared" si="22"/>
        <v>367</v>
      </c>
      <c r="L288">
        <f t="shared" si="23"/>
        <v>367</v>
      </c>
      <c r="M288">
        <f t="shared" si="24"/>
        <v>134689</v>
      </c>
    </row>
    <row r="289" spans="1:13" ht="13.2" x14ac:dyDescent="0.25">
      <c r="A289" s="1" t="s">
        <v>19</v>
      </c>
      <c r="B289" s="1" t="s">
        <v>18</v>
      </c>
      <c r="C289" s="1" t="s">
        <v>20</v>
      </c>
      <c r="D289" s="1" t="s">
        <v>11</v>
      </c>
      <c r="E289" s="1" t="s">
        <v>12</v>
      </c>
      <c r="F289" s="1">
        <v>55</v>
      </c>
      <c r="G289" s="1">
        <v>56</v>
      </c>
      <c r="H289" s="1">
        <v>63</v>
      </c>
      <c r="I289">
        <f t="shared" si="20"/>
        <v>174</v>
      </c>
      <c r="J289">
        <f t="shared" si="21"/>
        <v>0</v>
      </c>
      <c r="K289">
        <f t="shared" si="22"/>
        <v>434</v>
      </c>
      <c r="L289">
        <f t="shared" si="23"/>
        <v>434</v>
      </c>
      <c r="M289">
        <f t="shared" si="24"/>
        <v>188356</v>
      </c>
    </row>
    <row r="290" spans="1:13" ht="13.2" x14ac:dyDescent="0.25">
      <c r="A290" s="1" t="s">
        <v>8</v>
      </c>
      <c r="B290" s="1" t="s">
        <v>21</v>
      </c>
      <c r="C290" s="1" t="s">
        <v>24</v>
      </c>
      <c r="D290" s="1" t="s">
        <v>23</v>
      </c>
      <c r="E290" s="1" t="s">
        <v>17</v>
      </c>
      <c r="F290" s="1">
        <v>79</v>
      </c>
      <c r="G290" s="1">
        <v>89</v>
      </c>
      <c r="H290" s="1">
        <v>93</v>
      </c>
      <c r="I290">
        <f t="shared" si="20"/>
        <v>261</v>
      </c>
      <c r="J290">
        <f t="shared" si="21"/>
        <v>1</v>
      </c>
      <c r="K290">
        <f t="shared" si="22"/>
        <v>60.5</v>
      </c>
      <c r="L290">
        <f t="shared" si="23"/>
        <v>59.5</v>
      </c>
      <c r="M290">
        <f t="shared" si="24"/>
        <v>3540.25</v>
      </c>
    </row>
    <row r="291" spans="1:13" ht="13.2" x14ac:dyDescent="0.25">
      <c r="A291" s="1" t="s">
        <v>19</v>
      </c>
      <c r="B291" s="1" t="s">
        <v>13</v>
      </c>
      <c r="C291" s="1" t="s">
        <v>20</v>
      </c>
      <c r="D291" s="1" t="s">
        <v>11</v>
      </c>
      <c r="E291" s="1" t="s">
        <v>12</v>
      </c>
      <c r="F291" s="1">
        <v>89</v>
      </c>
      <c r="G291" s="1">
        <v>77</v>
      </c>
      <c r="H291" s="1">
        <v>77</v>
      </c>
      <c r="I291">
        <f t="shared" si="20"/>
        <v>243</v>
      </c>
      <c r="J291">
        <f t="shared" si="21"/>
        <v>0</v>
      </c>
      <c r="K291">
        <f t="shared" si="22"/>
        <v>119.5</v>
      </c>
      <c r="L291">
        <f t="shared" si="23"/>
        <v>119.5</v>
      </c>
      <c r="M291">
        <f t="shared" si="24"/>
        <v>14280.25</v>
      </c>
    </row>
    <row r="292" spans="1:13" ht="13.2" x14ac:dyDescent="0.25">
      <c r="A292" s="1" t="s">
        <v>8</v>
      </c>
      <c r="B292" s="1" t="s">
        <v>18</v>
      </c>
      <c r="C292" s="1" t="s">
        <v>22</v>
      </c>
      <c r="D292" s="1" t="s">
        <v>11</v>
      </c>
      <c r="E292" s="1" t="s">
        <v>12</v>
      </c>
      <c r="F292" s="1">
        <v>59</v>
      </c>
      <c r="G292" s="1">
        <v>63</v>
      </c>
      <c r="H292" s="1">
        <v>53</v>
      </c>
      <c r="I292">
        <f t="shared" si="20"/>
        <v>175</v>
      </c>
      <c r="J292">
        <f t="shared" si="21"/>
        <v>0</v>
      </c>
      <c r="K292">
        <f t="shared" si="22"/>
        <v>426.5</v>
      </c>
      <c r="L292">
        <f t="shared" si="23"/>
        <v>426.5</v>
      </c>
      <c r="M292">
        <f t="shared" si="24"/>
        <v>181902.25</v>
      </c>
    </row>
    <row r="293" spans="1:13" ht="13.2" x14ac:dyDescent="0.25">
      <c r="A293" s="1" t="s">
        <v>19</v>
      </c>
      <c r="B293" s="1" t="s">
        <v>18</v>
      </c>
      <c r="C293" s="1" t="s">
        <v>16</v>
      </c>
      <c r="D293" s="1" t="s">
        <v>11</v>
      </c>
      <c r="E293" s="1" t="s">
        <v>12</v>
      </c>
      <c r="F293" s="1">
        <v>82</v>
      </c>
      <c r="G293" s="1">
        <v>62</v>
      </c>
      <c r="H293" s="1">
        <v>61</v>
      </c>
      <c r="I293">
        <f t="shared" si="20"/>
        <v>205</v>
      </c>
      <c r="J293">
        <f t="shared" si="21"/>
        <v>0</v>
      </c>
      <c r="K293">
        <f t="shared" si="22"/>
        <v>277</v>
      </c>
      <c r="L293">
        <f t="shared" si="23"/>
        <v>277</v>
      </c>
      <c r="M293">
        <f t="shared" si="24"/>
        <v>76729</v>
      </c>
    </row>
    <row r="294" spans="1:13" ht="13.2" x14ac:dyDescent="0.25">
      <c r="A294" s="1" t="s">
        <v>8</v>
      </c>
      <c r="B294" s="1" t="s">
        <v>21</v>
      </c>
      <c r="C294" s="1" t="s">
        <v>14</v>
      </c>
      <c r="D294" s="1" t="s">
        <v>11</v>
      </c>
      <c r="E294" s="1" t="s">
        <v>12</v>
      </c>
      <c r="F294" s="1">
        <v>91</v>
      </c>
      <c r="G294" s="1">
        <v>90</v>
      </c>
      <c r="H294" s="1">
        <v>90</v>
      </c>
      <c r="I294">
        <f t="shared" si="20"/>
        <v>271</v>
      </c>
      <c r="J294">
        <f t="shared" si="21"/>
        <v>0</v>
      </c>
      <c r="K294">
        <f t="shared" si="22"/>
        <v>40.5</v>
      </c>
      <c r="L294">
        <f t="shared" si="23"/>
        <v>40.5</v>
      </c>
      <c r="M294">
        <f t="shared" si="24"/>
        <v>1640.25</v>
      </c>
    </row>
    <row r="295" spans="1:13" ht="13.2" x14ac:dyDescent="0.25">
      <c r="A295" s="1" t="s">
        <v>19</v>
      </c>
      <c r="B295" s="1" t="s">
        <v>9</v>
      </c>
      <c r="C295" s="1" t="s">
        <v>16</v>
      </c>
      <c r="D295" s="1" t="s">
        <v>11</v>
      </c>
      <c r="E295" s="1" t="s">
        <v>17</v>
      </c>
      <c r="F295" s="1">
        <v>79</v>
      </c>
      <c r="G295" s="1">
        <v>77</v>
      </c>
      <c r="H295" s="1">
        <v>78</v>
      </c>
      <c r="I295">
        <f t="shared" si="20"/>
        <v>234</v>
      </c>
      <c r="J295">
        <f t="shared" si="21"/>
        <v>1</v>
      </c>
      <c r="K295">
        <f t="shared" si="22"/>
        <v>159</v>
      </c>
      <c r="L295">
        <f t="shared" si="23"/>
        <v>158</v>
      </c>
      <c r="M295">
        <f t="shared" si="24"/>
        <v>24964</v>
      </c>
    </row>
    <row r="296" spans="1:13" ht="13.2" x14ac:dyDescent="0.25">
      <c r="A296" s="1" t="s">
        <v>19</v>
      </c>
      <c r="B296" s="1" t="s">
        <v>9</v>
      </c>
      <c r="C296" s="1" t="s">
        <v>14</v>
      </c>
      <c r="D296" s="1" t="s">
        <v>11</v>
      </c>
      <c r="E296" s="1" t="s">
        <v>17</v>
      </c>
      <c r="F296" s="1">
        <v>52</v>
      </c>
      <c r="G296" s="1">
        <v>49</v>
      </c>
      <c r="H296" s="1">
        <v>51</v>
      </c>
      <c r="I296">
        <f t="shared" si="20"/>
        <v>152</v>
      </c>
      <c r="J296">
        <f t="shared" si="21"/>
        <v>1</v>
      </c>
      <c r="K296">
        <f t="shared" si="22"/>
        <v>522.5</v>
      </c>
      <c r="L296">
        <f t="shared" si="23"/>
        <v>521.5</v>
      </c>
      <c r="M296">
        <f t="shared" si="24"/>
        <v>271962.25</v>
      </c>
    </row>
    <row r="297" spans="1:13" ht="13.2" x14ac:dyDescent="0.25">
      <c r="A297" s="1" t="s">
        <v>19</v>
      </c>
      <c r="B297" s="1" t="s">
        <v>13</v>
      </c>
      <c r="C297" s="1" t="s">
        <v>16</v>
      </c>
      <c r="D297" s="1" t="s">
        <v>23</v>
      </c>
      <c r="E297" s="1" t="s">
        <v>17</v>
      </c>
      <c r="F297" s="1">
        <v>73</v>
      </c>
      <c r="G297" s="1">
        <v>77</v>
      </c>
      <c r="H297" s="1">
        <v>75</v>
      </c>
      <c r="I297">
        <f t="shared" si="20"/>
        <v>225</v>
      </c>
      <c r="J297">
        <f t="shared" si="21"/>
        <v>1</v>
      </c>
      <c r="K297">
        <f t="shared" si="22"/>
        <v>191</v>
      </c>
      <c r="L297">
        <f t="shared" si="23"/>
        <v>190</v>
      </c>
      <c r="M297">
        <f t="shared" si="24"/>
        <v>36100</v>
      </c>
    </row>
    <row r="298" spans="1:13" ht="13.2" x14ac:dyDescent="0.25">
      <c r="A298" s="1" t="s">
        <v>19</v>
      </c>
      <c r="B298" s="1" t="s">
        <v>13</v>
      </c>
      <c r="C298" s="1" t="s">
        <v>16</v>
      </c>
      <c r="D298" s="1" t="s">
        <v>11</v>
      </c>
      <c r="E298" s="1" t="s">
        <v>12</v>
      </c>
      <c r="F298" s="1">
        <v>87</v>
      </c>
      <c r="G298" s="1">
        <v>76</v>
      </c>
      <c r="H298" s="1">
        <v>75</v>
      </c>
      <c r="I298">
        <f t="shared" si="20"/>
        <v>238</v>
      </c>
      <c r="J298">
        <f t="shared" si="21"/>
        <v>0</v>
      </c>
      <c r="K298">
        <f t="shared" si="22"/>
        <v>140.5</v>
      </c>
      <c r="L298">
        <f t="shared" si="23"/>
        <v>140.5</v>
      </c>
      <c r="M298">
        <f t="shared" si="24"/>
        <v>19740.25</v>
      </c>
    </row>
    <row r="299" spans="1:13" ht="13.2" x14ac:dyDescent="0.25">
      <c r="A299" s="1" t="s">
        <v>8</v>
      </c>
      <c r="B299" s="1" t="s">
        <v>13</v>
      </c>
      <c r="C299" s="1" t="s">
        <v>16</v>
      </c>
      <c r="D299" s="1" t="s">
        <v>11</v>
      </c>
      <c r="E299" s="1" t="s">
        <v>12</v>
      </c>
      <c r="F299" s="1">
        <v>55</v>
      </c>
      <c r="G299" s="1">
        <v>69</v>
      </c>
      <c r="H299" s="1">
        <v>70</v>
      </c>
      <c r="I299">
        <f t="shared" si="20"/>
        <v>194</v>
      </c>
      <c r="J299">
        <f t="shared" si="21"/>
        <v>0</v>
      </c>
      <c r="K299">
        <f t="shared" si="22"/>
        <v>338.5</v>
      </c>
      <c r="L299">
        <f t="shared" si="23"/>
        <v>338.5</v>
      </c>
      <c r="M299">
        <f t="shared" si="24"/>
        <v>114582.25</v>
      </c>
    </row>
    <row r="300" spans="1:13" ht="13.2" x14ac:dyDescent="0.25">
      <c r="A300" s="1" t="s">
        <v>19</v>
      </c>
      <c r="B300" s="1" t="s">
        <v>13</v>
      </c>
      <c r="C300" s="1" t="s">
        <v>10</v>
      </c>
      <c r="D300" s="1" t="s">
        <v>23</v>
      </c>
      <c r="E300" s="1" t="s">
        <v>17</v>
      </c>
      <c r="F300" s="1">
        <v>57</v>
      </c>
      <c r="G300" s="1">
        <v>64</v>
      </c>
      <c r="H300" s="1">
        <v>57</v>
      </c>
      <c r="I300">
        <f t="shared" si="20"/>
        <v>178</v>
      </c>
      <c r="J300">
        <f t="shared" si="21"/>
        <v>1</v>
      </c>
      <c r="K300">
        <f t="shared" si="22"/>
        <v>414.5</v>
      </c>
      <c r="L300">
        <f t="shared" si="23"/>
        <v>413.5</v>
      </c>
      <c r="M300">
        <f t="shared" si="24"/>
        <v>170982.25</v>
      </c>
    </row>
    <row r="301" spans="1:13" ht="13.2" x14ac:dyDescent="0.25">
      <c r="A301" s="1" t="s">
        <v>8</v>
      </c>
      <c r="B301" s="1" t="s">
        <v>9</v>
      </c>
      <c r="C301" s="1" t="s">
        <v>16</v>
      </c>
      <c r="D301" s="1" t="s">
        <v>11</v>
      </c>
      <c r="E301" s="1" t="s">
        <v>12</v>
      </c>
      <c r="F301" s="1">
        <v>61</v>
      </c>
      <c r="G301" s="1">
        <v>69</v>
      </c>
      <c r="H301" s="1">
        <v>70</v>
      </c>
      <c r="I301">
        <f t="shared" si="20"/>
        <v>200</v>
      </c>
      <c r="J301">
        <f t="shared" si="21"/>
        <v>0</v>
      </c>
      <c r="K301">
        <f t="shared" si="22"/>
        <v>300.5</v>
      </c>
      <c r="L301">
        <f t="shared" si="23"/>
        <v>300.5</v>
      </c>
      <c r="M301">
        <f t="shared" si="24"/>
        <v>90300.25</v>
      </c>
    </row>
    <row r="302" spans="1:13" ht="13.2" x14ac:dyDescent="0.25">
      <c r="A302" s="1" t="s">
        <v>19</v>
      </c>
      <c r="B302" s="1" t="s">
        <v>18</v>
      </c>
      <c r="C302" s="1" t="s">
        <v>10</v>
      </c>
      <c r="D302" s="1" t="s">
        <v>11</v>
      </c>
      <c r="E302" s="1" t="s">
        <v>17</v>
      </c>
      <c r="F302" s="1">
        <v>81</v>
      </c>
      <c r="G302" s="1">
        <v>83</v>
      </c>
      <c r="H302" s="1">
        <v>75</v>
      </c>
      <c r="I302">
        <f t="shared" si="20"/>
        <v>239</v>
      </c>
      <c r="J302">
        <f t="shared" si="21"/>
        <v>1</v>
      </c>
      <c r="K302">
        <f t="shared" si="22"/>
        <v>135.5</v>
      </c>
      <c r="L302">
        <f t="shared" si="23"/>
        <v>134.5</v>
      </c>
      <c r="M302">
        <f t="shared" si="24"/>
        <v>18090.25</v>
      </c>
    </row>
    <row r="303" spans="1:13" ht="13.2" x14ac:dyDescent="0.25">
      <c r="A303" s="1" t="s">
        <v>19</v>
      </c>
      <c r="B303" s="1" t="s">
        <v>15</v>
      </c>
      <c r="C303" s="1" t="s">
        <v>14</v>
      </c>
      <c r="D303" s="1" t="s">
        <v>11</v>
      </c>
      <c r="E303" s="1" t="s">
        <v>12</v>
      </c>
      <c r="F303" s="1">
        <v>67</v>
      </c>
      <c r="G303" s="1">
        <v>68</v>
      </c>
      <c r="H303" s="1">
        <v>57</v>
      </c>
      <c r="I303">
        <f t="shared" si="20"/>
        <v>192</v>
      </c>
      <c r="J303">
        <f t="shared" si="21"/>
        <v>0</v>
      </c>
      <c r="K303">
        <f t="shared" si="22"/>
        <v>349</v>
      </c>
      <c r="L303">
        <f t="shared" si="23"/>
        <v>349</v>
      </c>
      <c r="M303">
        <f t="shared" si="24"/>
        <v>121801</v>
      </c>
    </row>
    <row r="304" spans="1:13" ht="13.2" x14ac:dyDescent="0.25">
      <c r="A304" s="1" t="s">
        <v>8</v>
      </c>
      <c r="B304" s="1" t="s">
        <v>13</v>
      </c>
      <c r="C304" s="1" t="s">
        <v>16</v>
      </c>
      <c r="D304" s="1" t="s">
        <v>23</v>
      </c>
      <c r="E304" s="1" t="s">
        <v>17</v>
      </c>
      <c r="F304" s="1">
        <v>63</v>
      </c>
      <c r="G304" s="1">
        <v>66</v>
      </c>
      <c r="H304" s="1">
        <v>66</v>
      </c>
      <c r="I304">
        <f t="shared" si="20"/>
        <v>195</v>
      </c>
      <c r="J304">
        <f t="shared" si="21"/>
        <v>1</v>
      </c>
      <c r="K304">
        <f t="shared" si="22"/>
        <v>331.5</v>
      </c>
      <c r="L304">
        <f t="shared" si="23"/>
        <v>330.5</v>
      </c>
      <c r="M304">
        <f t="shared" si="24"/>
        <v>109230.25</v>
      </c>
    </row>
    <row r="305" spans="1:13" ht="13.2" x14ac:dyDescent="0.25">
      <c r="A305" s="1" t="s">
        <v>19</v>
      </c>
      <c r="B305" s="1" t="s">
        <v>18</v>
      </c>
      <c r="C305" s="1" t="s">
        <v>16</v>
      </c>
      <c r="D305" s="1" t="s">
        <v>11</v>
      </c>
      <c r="E305" s="1" t="s">
        <v>17</v>
      </c>
      <c r="F305" s="1">
        <v>72</v>
      </c>
      <c r="G305" s="1">
        <v>83</v>
      </c>
      <c r="H305" s="1">
        <v>82</v>
      </c>
      <c r="I305">
        <f t="shared" si="20"/>
        <v>237</v>
      </c>
      <c r="J305">
        <f t="shared" si="21"/>
        <v>1</v>
      </c>
      <c r="K305">
        <f t="shared" si="22"/>
        <v>144</v>
      </c>
      <c r="L305">
        <f t="shared" si="23"/>
        <v>143</v>
      </c>
      <c r="M305">
        <f t="shared" si="24"/>
        <v>20449</v>
      </c>
    </row>
    <row r="306" spans="1:13" ht="13.2" x14ac:dyDescent="0.25">
      <c r="A306" s="1" t="s">
        <v>19</v>
      </c>
      <c r="B306" s="1" t="s">
        <v>18</v>
      </c>
      <c r="C306" s="1" t="s">
        <v>22</v>
      </c>
      <c r="D306" s="1" t="s">
        <v>11</v>
      </c>
      <c r="E306" s="1" t="s">
        <v>12</v>
      </c>
      <c r="F306" s="1">
        <v>68</v>
      </c>
      <c r="G306" s="1">
        <v>65</v>
      </c>
      <c r="H306" s="1">
        <v>61</v>
      </c>
      <c r="I306">
        <f t="shared" si="20"/>
        <v>194</v>
      </c>
      <c r="J306">
        <f t="shared" si="21"/>
        <v>0</v>
      </c>
      <c r="K306">
        <f t="shared" si="22"/>
        <v>338.5</v>
      </c>
      <c r="L306">
        <f t="shared" si="23"/>
        <v>338.5</v>
      </c>
      <c r="M306">
        <f t="shared" si="24"/>
        <v>114582.25</v>
      </c>
    </row>
    <row r="307" spans="1:13" ht="13.2" x14ac:dyDescent="0.25">
      <c r="A307" s="1" t="s">
        <v>19</v>
      </c>
      <c r="B307" s="1" t="s">
        <v>18</v>
      </c>
      <c r="C307" s="1" t="s">
        <v>10</v>
      </c>
      <c r="D307" s="1" t="s">
        <v>11</v>
      </c>
      <c r="E307" s="1" t="s">
        <v>12</v>
      </c>
      <c r="F307" s="1">
        <v>54</v>
      </c>
      <c r="G307" s="1">
        <v>35</v>
      </c>
      <c r="H307" s="1">
        <v>36</v>
      </c>
      <c r="I307">
        <f t="shared" si="20"/>
        <v>125</v>
      </c>
      <c r="J307">
        <f t="shared" si="21"/>
        <v>0</v>
      </c>
      <c r="K307">
        <f t="shared" si="22"/>
        <v>577</v>
      </c>
      <c r="L307">
        <f t="shared" si="23"/>
        <v>577</v>
      </c>
      <c r="M307">
        <f t="shared" si="24"/>
        <v>332929</v>
      </c>
    </row>
    <row r="308" spans="1:13" ht="13.2" x14ac:dyDescent="0.25">
      <c r="A308" s="1" t="s">
        <v>19</v>
      </c>
      <c r="B308" s="1" t="s">
        <v>18</v>
      </c>
      <c r="C308" s="1" t="s">
        <v>22</v>
      </c>
      <c r="D308" s="1" t="s">
        <v>11</v>
      </c>
      <c r="E308" s="1" t="s">
        <v>17</v>
      </c>
      <c r="F308" s="1">
        <v>75</v>
      </c>
      <c r="G308" s="1">
        <v>71</v>
      </c>
      <c r="H308" s="1">
        <v>69</v>
      </c>
      <c r="I308">
        <f t="shared" si="20"/>
        <v>215</v>
      </c>
      <c r="J308">
        <f t="shared" si="21"/>
        <v>1</v>
      </c>
      <c r="K308">
        <f t="shared" si="22"/>
        <v>235.5</v>
      </c>
      <c r="L308">
        <f t="shared" si="23"/>
        <v>234.5</v>
      </c>
      <c r="M308">
        <f t="shared" si="24"/>
        <v>54990.25</v>
      </c>
    </row>
    <row r="309" spans="1:13" ht="13.2" x14ac:dyDescent="0.25">
      <c r="A309" s="1" t="s">
        <v>19</v>
      </c>
      <c r="B309" s="1" t="s">
        <v>13</v>
      </c>
      <c r="C309" s="1" t="s">
        <v>14</v>
      </c>
      <c r="D309" s="1" t="s">
        <v>11</v>
      </c>
      <c r="E309" s="1" t="s">
        <v>12</v>
      </c>
      <c r="F309" s="1">
        <v>74</v>
      </c>
      <c r="G309" s="1">
        <v>77</v>
      </c>
      <c r="H309" s="1">
        <v>71</v>
      </c>
      <c r="I309">
        <f t="shared" si="20"/>
        <v>222</v>
      </c>
      <c r="J309">
        <f t="shared" si="21"/>
        <v>0</v>
      </c>
      <c r="K309">
        <f t="shared" si="22"/>
        <v>206</v>
      </c>
      <c r="L309">
        <f t="shared" si="23"/>
        <v>206</v>
      </c>
      <c r="M309">
        <f t="shared" si="24"/>
        <v>42436</v>
      </c>
    </row>
    <row r="310" spans="1:13" ht="13.2" x14ac:dyDescent="0.25">
      <c r="A310" s="1" t="s">
        <v>8</v>
      </c>
      <c r="B310" s="1" t="s">
        <v>18</v>
      </c>
      <c r="C310" s="1" t="s">
        <v>14</v>
      </c>
      <c r="D310" s="1" t="s">
        <v>23</v>
      </c>
      <c r="E310" s="1" t="s">
        <v>12</v>
      </c>
      <c r="F310" s="1">
        <v>44</v>
      </c>
      <c r="G310" s="1">
        <v>62</v>
      </c>
      <c r="H310" s="1">
        <v>59</v>
      </c>
      <c r="I310">
        <f t="shared" si="20"/>
        <v>165</v>
      </c>
      <c r="J310">
        <f t="shared" si="21"/>
        <v>0</v>
      </c>
      <c r="K310">
        <f t="shared" si="22"/>
        <v>476</v>
      </c>
      <c r="L310">
        <f t="shared" si="23"/>
        <v>476</v>
      </c>
      <c r="M310">
        <f t="shared" si="24"/>
        <v>226576</v>
      </c>
    </row>
    <row r="311" spans="1:13" ht="13.2" x14ac:dyDescent="0.25">
      <c r="A311" s="1" t="s">
        <v>8</v>
      </c>
      <c r="B311" s="1" t="s">
        <v>18</v>
      </c>
      <c r="C311" s="1" t="s">
        <v>14</v>
      </c>
      <c r="D311" s="1" t="s">
        <v>11</v>
      </c>
      <c r="E311" s="1" t="s">
        <v>12</v>
      </c>
      <c r="F311" s="1">
        <v>58</v>
      </c>
      <c r="G311" s="1">
        <v>82</v>
      </c>
      <c r="H311" s="1">
        <v>74</v>
      </c>
      <c r="I311">
        <f t="shared" si="20"/>
        <v>214</v>
      </c>
      <c r="J311">
        <f t="shared" si="21"/>
        <v>0</v>
      </c>
      <c r="K311">
        <f t="shared" si="22"/>
        <v>238</v>
      </c>
      <c r="L311">
        <f t="shared" si="23"/>
        <v>238</v>
      </c>
      <c r="M311">
        <f t="shared" si="24"/>
        <v>56644</v>
      </c>
    </row>
    <row r="312" spans="1:13" ht="13.2" x14ac:dyDescent="0.25">
      <c r="A312" s="1" t="s">
        <v>19</v>
      </c>
      <c r="B312" s="1" t="s">
        <v>18</v>
      </c>
      <c r="C312" s="1" t="s">
        <v>14</v>
      </c>
      <c r="D312" s="1" t="s">
        <v>23</v>
      </c>
      <c r="E312" s="1" t="s">
        <v>17</v>
      </c>
      <c r="F312" s="1">
        <v>48</v>
      </c>
      <c r="G312" s="1">
        <v>42</v>
      </c>
      <c r="H312" s="1">
        <v>42</v>
      </c>
      <c r="I312">
        <f t="shared" si="20"/>
        <v>132</v>
      </c>
      <c r="J312">
        <f t="shared" si="21"/>
        <v>1</v>
      </c>
      <c r="K312">
        <f t="shared" si="22"/>
        <v>571.5</v>
      </c>
      <c r="L312">
        <f t="shared" si="23"/>
        <v>570.5</v>
      </c>
      <c r="M312">
        <f t="shared" si="24"/>
        <v>325470.25</v>
      </c>
    </row>
    <row r="313" spans="1:13" ht="13.2" x14ac:dyDescent="0.25">
      <c r="A313" s="1" t="s">
        <v>19</v>
      </c>
      <c r="B313" s="1" t="s">
        <v>18</v>
      </c>
      <c r="C313" s="1" t="s">
        <v>10</v>
      </c>
      <c r="D313" s="1" t="s">
        <v>11</v>
      </c>
      <c r="E313" s="1" t="s">
        <v>17</v>
      </c>
      <c r="F313" s="1">
        <v>71</v>
      </c>
      <c r="G313" s="1">
        <v>62</v>
      </c>
      <c r="H313" s="1">
        <v>64</v>
      </c>
      <c r="I313">
        <f t="shared" si="20"/>
        <v>197</v>
      </c>
      <c r="J313">
        <f t="shared" si="21"/>
        <v>1</v>
      </c>
      <c r="K313">
        <f t="shared" si="22"/>
        <v>317.5</v>
      </c>
      <c r="L313">
        <f t="shared" si="23"/>
        <v>316.5</v>
      </c>
      <c r="M313">
        <f t="shared" si="24"/>
        <v>100172.25</v>
      </c>
    </row>
    <row r="314" spans="1:13" ht="13.2" x14ac:dyDescent="0.25">
      <c r="A314" s="1" t="s">
        <v>8</v>
      </c>
      <c r="B314" s="1" t="s">
        <v>15</v>
      </c>
      <c r="C314" s="1" t="s">
        <v>14</v>
      </c>
      <c r="D314" s="1" t="s">
        <v>23</v>
      </c>
      <c r="E314" s="1" t="s">
        <v>12</v>
      </c>
      <c r="F314" s="1">
        <v>45</v>
      </c>
      <c r="G314" s="1">
        <v>44</v>
      </c>
      <c r="H314" s="1">
        <v>47</v>
      </c>
      <c r="I314">
        <f t="shared" si="20"/>
        <v>136</v>
      </c>
      <c r="J314">
        <f t="shared" si="21"/>
        <v>0</v>
      </c>
      <c r="K314">
        <f t="shared" si="22"/>
        <v>561</v>
      </c>
      <c r="L314">
        <f t="shared" si="23"/>
        <v>561</v>
      </c>
      <c r="M314">
        <f t="shared" si="24"/>
        <v>314721</v>
      </c>
    </row>
    <row r="315" spans="1:13" ht="13.2" x14ac:dyDescent="0.25">
      <c r="A315" s="1" t="s">
        <v>8</v>
      </c>
      <c r="B315" s="1" t="s">
        <v>18</v>
      </c>
      <c r="C315" s="1" t="s">
        <v>14</v>
      </c>
      <c r="D315" s="1" t="s">
        <v>23</v>
      </c>
      <c r="E315" s="1" t="s">
        <v>12</v>
      </c>
      <c r="F315" s="1">
        <v>62</v>
      </c>
      <c r="G315" s="1">
        <v>73</v>
      </c>
      <c r="H315" s="1">
        <v>74</v>
      </c>
      <c r="I315">
        <f t="shared" si="20"/>
        <v>209</v>
      </c>
      <c r="J315">
        <f t="shared" si="21"/>
        <v>0</v>
      </c>
      <c r="K315">
        <f t="shared" si="22"/>
        <v>257.5</v>
      </c>
      <c r="L315">
        <f t="shared" si="23"/>
        <v>257.5</v>
      </c>
      <c r="M315">
        <f t="shared" si="24"/>
        <v>66306.25</v>
      </c>
    </row>
    <row r="316" spans="1:13" ht="13.2" x14ac:dyDescent="0.25">
      <c r="A316" s="1" t="s">
        <v>8</v>
      </c>
      <c r="B316" s="1" t="s">
        <v>21</v>
      </c>
      <c r="C316" s="1" t="s">
        <v>22</v>
      </c>
      <c r="D316" s="1" t="s">
        <v>11</v>
      </c>
      <c r="E316" s="1" t="s">
        <v>17</v>
      </c>
      <c r="F316" s="1">
        <v>67</v>
      </c>
      <c r="G316" s="1">
        <v>70</v>
      </c>
      <c r="H316" s="1">
        <v>70</v>
      </c>
      <c r="I316">
        <f t="shared" si="20"/>
        <v>207</v>
      </c>
      <c r="J316">
        <f t="shared" si="21"/>
        <v>1</v>
      </c>
      <c r="K316">
        <f t="shared" si="22"/>
        <v>268</v>
      </c>
      <c r="L316">
        <f t="shared" si="23"/>
        <v>267</v>
      </c>
      <c r="M316">
        <f t="shared" si="24"/>
        <v>71289</v>
      </c>
    </row>
    <row r="317" spans="1:13" ht="13.2" x14ac:dyDescent="0.25">
      <c r="A317" s="1" t="s">
        <v>19</v>
      </c>
      <c r="B317" s="1" t="s">
        <v>15</v>
      </c>
      <c r="C317" s="1" t="s">
        <v>10</v>
      </c>
      <c r="D317" s="1" t="s">
        <v>11</v>
      </c>
      <c r="E317" s="1" t="s">
        <v>17</v>
      </c>
      <c r="F317" s="1">
        <v>65</v>
      </c>
      <c r="G317" s="1">
        <v>66</v>
      </c>
      <c r="H317" s="1">
        <v>64</v>
      </c>
      <c r="I317">
        <f t="shared" si="20"/>
        <v>195</v>
      </c>
      <c r="J317">
        <f t="shared" si="21"/>
        <v>1</v>
      </c>
      <c r="K317">
        <f t="shared" si="22"/>
        <v>331.5</v>
      </c>
      <c r="L317">
        <f t="shared" si="23"/>
        <v>330.5</v>
      </c>
      <c r="M317">
        <f t="shared" si="24"/>
        <v>109230.25</v>
      </c>
    </row>
    <row r="318" spans="1:13" ht="13.2" x14ac:dyDescent="0.25">
      <c r="A318" s="1" t="s">
        <v>8</v>
      </c>
      <c r="B318" s="1" t="s">
        <v>18</v>
      </c>
      <c r="C318" s="1" t="s">
        <v>14</v>
      </c>
      <c r="D318" s="1" t="s">
        <v>11</v>
      </c>
      <c r="E318" s="1" t="s">
        <v>12</v>
      </c>
      <c r="F318" s="1">
        <v>77</v>
      </c>
      <c r="G318" s="1">
        <v>73</v>
      </c>
      <c r="H318" s="1">
        <v>76</v>
      </c>
      <c r="I318">
        <f t="shared" si="20"/>
        <v>226</v>
      </c>
      <c r="J318">
        <f t="shared" si="21"/>
        <v>0</v>
      </c>
      <c r="K318">
        <f t="shared" si="22"/>
        <v>186.5</v>
      </c>
      <c r="L318">
        <f t="shared" si="23"/>
        <v>186.5</v>
      </c>
      <c r="M318">
        <f t="shared" si="24"/>
        <v>34782.25</v>
      </c>
    </row>
    <row r="319" spans="1:13" ht="13.2" x14ac:dyDescent="0.25">
      <c r="A319" s="1" t="s">
        <v>8</v>
      </c>
      <c r="B319" s="1" t="s">
        <v>21</v>
      </c>
      <c r="C319" s="1" t="s">
        <v>20</v>
      </c>
      <c r="D319" s="1" t="s">
        <v>23</v>
      </c>
      <c r="E319" s="1" t="s">
        <v>12</v>
      </c>
      <c r="F319" s="1">
        <v>87</v>
      </c>
      <c r="G319" s="1">
        <v>89</v>
      </c>
      <c r="H319" s="1">
        <v>88</v>
      </c>
      <c r="I319">
        <f t="shared" si="20"/>
        <v>264</v>
      </c>
      <c r="J319">
        <f t="shared" si="21"/>
        <v>0</v>
      </c>
      <c r="K319">
        <f t="shared" si="22"/>
        <v>53.5</v>
      </c>
      <c r="L319">
        <f t="shared" si="23"/>
        <v>53.5</v>
      </c>
      <c r="M319">
        <f t="shared" si="24"/>
        <v>2862.25</v>
      </c>
    </row>
    <row r="320" spans="1:13" ht="13.2" x14ac:dyDescent="0.25">
      <c r="A320" s="1" t="s">
        <v>8</v>
      </c>
      <c r="B320" s="1" t="s">
        <v>9</v>
      </c>
      <c r="C320" s="1" t="s">
        <v>16</v>
      </c>
      <c r="D320" s="1" t="s">
        <v>11</v>
      </c>
      <c r="E320" s="1" t="s">
        <v>12</v>
      </c>
      <c r="F320" s="1">
        <v>74</v>
      </c>
      <c r="G320" s="1">
        <v>80</v>
      </c>
      <c r="H320" s="1">
        <v>80</v>
      </c>
      <c r="I320">
        <f t="shared" si="20"/>
        <v>234</v>
      </c>
      <c r="J320">
        <f t="shared" si="21"/>
        <v>0</v>
      </c>
      <c r="K320">
        <f t="shared" si="22"/>
        <v>159</v>
      </c>
      <c r="L320">
        <f t="shared" si="23"/>
        <v>159</v>
      </c>
      <c r="M320">
        <f t="shared" si="24"/>
        <v>25281</v>
      </c>
    </row>
    <row r="321" spans="1:13" ht="13.2" x14ac:dyDescent="0.25">
      <c r="A321" s="1" t="s">
        <v>19</v>
      </c>
      <c r="B321" s="1" t="s">
        <v>18</v>
      </c>
      <c r="C321" s="1" t="s">
        <v>16</v>
      </c>
      <c r="D321" s="1" t="s">
        <v>23</v>
      </c>
      <c r="E321" s="1" t="s">
        <v>17</v>
      </c>
      <c r="F321" s="1">
        <v>82</v>
      </c>
      <c r="G321" s="1">
        <v>82</v>
      </c>
      <c r="H321" s="1">
        <v>77</v>
      </c>
      <c r="I321">
        <f t="shared" si="20"/>
        <v>241</v>
      </c>
      <c r="J321">
        <f t="shared" si="21"/>
        <v>1</v>
      </c>
      <c r="K321">
        <f t="shared" si="22"/>
        <v>125</v>
      </c>
      <c r="L321">
        <f t="shared" si="23"/>
        <v>124</v>
      </c>
      <c r="M321">
        <f t="shared" si="24"/>
        <v>15376</v>
      </c>
    </row>
    <row r="322" spans="1:13" ht="13.2" x14ac:dyDescent="0.25">
      <c r="A322" s="1" t="s">
        <v>8</v>
      </c>
      <c r="B322" s="1" t="s">
        <v>13</v>
      </c>
      <c r="C322" s="1" t="s">
        <v>14</v>
      </c>
      <c r="D322" s="1" t="s">
        <v>11</v>
      </c>
      <c r="E322" s="1" t="s">
        <v>12</v>
      </c>
      <c r="F322" s="1">
        <v>85</v>
      </c>
      <c r="G322" s="1">
        <v>96</v>
      </c>
      <c r="H322" s="1">
        <v>97</v>
      </c>
      <c r="I322">
        <f t="shared" si="20"/>
        <v>278</v>
      </c>
      <c r="J322">
        <f t="shared" si="21"/>
        <v>0</v>
      </c>
      <c r="K322">
        <f t="shared" si="22"/>
        <v>30</v>
      </c>
      <c r="L322">
        <f t="shared" si="23"/>
        <v>30</v>
      </c>
      <c r="M322">
        <f t="shared" si="24"/>
        <v>900</v>
      </c>
    </row>
    <row r="323" spans="1:13" ht="13.2" x14ac:dyDescent="0.25">
      <c r="A323" s="1" t="s">
        <v>8</v>
      </c>
      <c r="B323" s="1" t="s">
        <v>15</v>
      </c>
      <c r="C323" s="1" t="s">
        <v>14</v>
      </c>
      <c r="D323" s="1" t="s">
        <v>11</v>
      </c>
      <c r="E323" s="1" t="s">
        <v>12</v>
      </c>
      <c r="F323" s="1">
        <v>82</v>
      </c>
      <c r="G323" s="1">
        <v>78</v>
      </c>
      <c r="H323" s="1">
        <v>79</v>
      </c>
      <c r="I323">
        <f t="shared" ref="I323:I386" si="25">SUM(F323:H323)</f>
        <v>239</v>
      </c>
      <c r="J323">
        <f t="shared" ref="J323:J386" si="26">IF(E323="completed", 1, IF(E323="none", 0, ""))</f>
        <v>0</v>
      </c>
      <c r="K323">
        <f t="shared" ref="K323:K386" si="27">_xlfn.RANK.AVG(I323, I$2:I$601, 0)</f>
        <v>135.5</v>
      </c>
      <c r="L323">
        <f t="shared" ref="L323:L386" si="28">K323-J323</f>
        <v>135.5</v>
      </c>
      <c r="M323">
        <f t="shared" ref="M323:M386" si="29">L323^2</f>
        <v>18360.25</v>
      </c>
    </row>
    <row r="324" spans="1:13" ht="13.2" x14ac:dyDescent="0.25">
      <c r="A324" s="1" t="s">
        <v>19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89</v>
      </c>
      <c r="G324" s="1">
        <v>82</v>
      </c>
      <c r="H324" s="1">
        <v>87</v>
      </c>
      <c r="I324">
        <f t="shared" si="25"/>
        <v>258</v>
      </c>
      <c r="J324">
        <f t="shared" si="26"/>
        <v>0</v>
      </c>
      <c r="K324">
        <f t="shared" si="27"/>
        <v>70</v>
      </c>
      <c r="L324">
        <f t="shared" si="28"/>
        <v>70</v>
      </c>
      <c r="M324">
        <f t="shared" si="29"/>
        <v>4900</v>
      </c>
    </row>
    <row r="325" spans="1:13" ht="13.2" x14ac:dyDescent="0.25">
      <c r="A325" s="1" t="s">
        <v>8</v>
      </c>
      <c r="B325" s="1" t="s">
        <v>18</v>
      </c>
      <c r="C325" s="1" t="s">
        <v>10</v>
      </c>
      <c r="D325" s="1" t="s">
        <v>23</v>
      </c>
      <c r="E325" s="1" t="s">
        <v>17</v>
      </c>
      <c r="F325" s="1">
        <v>63</v>
      </c>
      <c r="G325" s="1">
        <v>80</v>
      </c>
      <c r="H325" s="1">
        <v>85</v>
      </c>
      <c r="I325">
        <f t="shared" si="25"/>
        <v>228</v>
      </c>
      <c r="J325">
        <f t="shared" si="26"/>
        <v>1</v>
      </c>
      <c r="K325">
        <f t="shared" si="27"/>
        <v>176.5</v>
      </c>
      <c r="L325">
        <f t="shared" si="28"/>
        <v>175.5</v>
      </c>
      <c r="M325">
        <f t="shared" si="29"/>
        <v>30800.25</v>
      </c>
    </row>
    <row r="326" spans="1:13" ht="13.2" x14ac:dyDescent="0.25">
      <c r="A326" s="1" t="s">
        <v>8</v>
      </c>
      <c r="B326" s="1" t="s">
        <v>9</v>
      </c>
      <c r="C326" s="1" t="s">
        <v>16</v>
      </c>
      <c r="D326" s="1" t="s">
        <v>11</v>
      </c>
      <c r="E326" s="1" t="s">
        <v>17</v>
      </c>
      <c r="F326" s="1">
        <v>93</v>
      </c>
      <c r="G326" s="1">
        <v>100</v>
      </c>
      <c r="H326" s="1">
        <v>100</v>
      </c>
      <c r="I326">
        <f t="shared" si="25"/>
        <v>293</v>
      </c>
      <c r="J326">
        <f t="shared" si="26"/>
        <v>1</v>
      </c>
      <c r="K326">
        <f t="shared" si="27"/>
        <v>8</v>
      </c>
      <c r="L326">
        <f t="shared" si="28"/>
        <v>7</v>
      </c>
      <c r="M326">
        <f t="shared" si="29"/>
        <v>49</v>
      </c>
    </row>
    <row r="327" spans="1:13" ht="13.2" x14ac:dyDescent="0.25">
      <c r="A327" s="1" t="s">
        <v>8</v>
      </c>
      <c r="B327" s="1" t="s">
        <v>9</v>
      </c>
      <c r="C327" s="1" t="s">
        <v>16</v>
      </c>
      <c r="D327" s="1" t="s">
        <v>23</v>
      </c>
      <c r="E327" s="1" t="s">
        <v>12</v>
      </c>
      <c r="F327" s="1">
        <v>34</v>
      </c>
      <c r="G327" s="1">
        <v>38</v>
      </c>
      <c r="H327" s="1">
        <v>44</v>
      </c>
      <c r="I327">
        <f t="shared" si="25"/>
        <v>116</v>
      </c>
      <c r="J327">
        <f t="shared" si="26"/>
        <v>0</v>
      </c>
      <c r="K327">
        <f t="shared" si="27"/>
        <v>585</v>
      </c>
      <c r="L327">
        <f t="shared" si="28"/>
        <v>585</v>
      </c>
      <c r="M327">
        <f t="shared" si="29"/>
        <v>342225</v>
      </c>
    </row>
    <row r="328" spans="1:13" ht="13.2" x14ac:dyDescent="0.25">
      <c r="A328" s="1" t="s">
        <v>19</v>
      </c>
      <c r="B328" s="1" t="s">
        <v>21</v>
      </c>
      <c r="C328" s="1" t="s">
        <v>16</v>
      </c>
      <c r="D328" s="1" t="s">
        <v>11</v>
      </c>
      <c r="E328" s="1" t="s">
        <v>17</v>
      </c>
      <c r="F328" s="1">
        <v>95</v>
      </c>
      <c r="G328" s="1">
        <v>84</v>
      </c>
      <c r="H328" s="1">
        <v>82</v>
      </c>
      <c r="I328">
        <f t="shared" si="25"/>
        <v>261</v>
      </c>
      <c r="J328">
        <f t="shared" si="26"/>
        <v>1</v>
      </c>
      <c r="K328">
        <f t="shared" si="27"/>
        <v>60.5</v>
      </c>
      <c r="L328">
        <f t="shared" si="28"/>
        <v>59.5</v>
      </c>
      <c r="M328">
        <f t="shared" si="29"/>
        <v>3540.25</v>
      </c>
    </row>
    <row r="329" spans="1:13" ht="13.2" x14ac:dyDescent="0.25">
      <c r="A329" s="1" t="s">
        <v>19</v>
      </c>
      <c r="B329" s="1" t="s">
        <v>18</v>
      </c>
      <c r="C329" s="1" t="s">
        <v>22</v>
      </c>
      <c r="D329" s="1" t="s">
        <v>11</v>
      </c>
      <c r="E329" s="1" t="s">
        <v>12</v>
      </c>
      <c r="F329" s="1">
        <v>47</v>
      </c>
      <c r="G329" s="1">
        <v>45</v>
      </c>
      <c r="H329" s="1">
        <v>47</v>
      </c>
      <c r="I329">
        <f t="shared" si="25"/>
        <v>139</v>
      </c>
      <c r="J329">
        <f t="shared" si="26"/>
        <v>0</v>
      </c>
      <c r="K329">
        <f t="shared" si="27"/>
        <v>552.5</v>
      </c>
      <c r="L329">
        <f t="shared" si="28"/>
        <v>552.5</v>
      </c>
      <c r="M329">
        <f t="shared" si="29"/>
        <v>305256.25</v>
      </c>
    </row>
    <row r="330" spans="1:13" ht="13.2" x14ac:dyDescent="0.25">
      <c r="A330" s="1" t="s">
        <v>8</v>
      </c>
      <c r="B330" s="1" t="s">
        <v>18</v>
      </c>
      <c r="C330" s="1" t="s">
        <v>10</v>
      </c>
      <c r="D330" s="1" t="s">
        <v>11</v>
      </c>
      <c r="E330" s="1" t="s">
        <v>17</v>
      </c>
      <c r="F330" s="1">
        <v>80</v>
      </c>
      <c r="G330" s="1">
        <v>92</v>
      </c>
      <c r="H330" s="1">
        <v>86</v>
      </c>
      <c r="I330">
        <f t="shared" si="25"/>
        <v>258</v>
      </c>
      <c r="J330">
        <f t="shared" si="26"/>
        <v>1</v>
      </c>
      <c r="K330">
        <f t="shared" si="27"/>
        <v>70</v>
      </c>
      <c r="L330">
        <f t="shared" si="28"/>
        <v>69</v>
      </c>
      <c r="M330">
        <f t="shared" si="29"/>
        <v>4761</v>
      </c>
    </row>
    <row r="331" spans="1:13" ht="13.2" x14ac:dyDescent="0.25">
      <c r="A331" s="1" t="s">
        <v>8</v>
      </c>
      <c r="B331" s="1" t="s">
        <v>13</v>
      </c>
      <c r="C331" s="1" t="s">
        <v>14</v>
      </c>
      <c r="D331" s="1" t="s">
        <v>23</v>
      </c>
      <c r="E331" s="1" t="s">
        <v>12</v>
      </c>
      <c r="F331" s="1">
        <v>48</v>
      </c>
      <c r="G331" s="1">
        <v>57</v>
      </c>
      <c r="H331" s="1">
        <v>55</v>
      </c>
      <c r="I331">
        <f t="shared" si="25"/>
        <v>160</v>
      </c>
      <c r="J331">
        <f t="shared" si="26"/>
        <v>0</v>
      </c>
      <c r="K331">
        <f t="shared" si="27"/>
        <v>490.5</v>
      </c>
      <c r="L331">
        <f t="shared" si="28"/>
        <v>490.5</v>
      </c>
      <c r="M331">
        <f t="shared" si="29"/>
        <v>240590.25</v>
      </c>
    </row>
    <row r="332" spans="1:13" ht="13.2" x14ac:dyDescent="0.25">
      <c r="A332" s="1" t="s">
        <v>8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57</v>
      </c>
      <c r="G332" s="1">
        <v>65</v>
      </c>
      <c r="H332" s="1">
        <v>69</v>
      </c>
      <c r="I332">
        <f t="shared" si="25"/>
        <v>191</v>
      </c>
      <c r="J332">
        <f t="shared" si="26"/>
        <v>0</v>
      </c>
      <c r="K332">
        <f t="shared" si="27"/>
        <v>353.5</v>
      </c>
      <c r="L332">
        <f t="shared" si="28"/>
        <v>353.5</v>
      </c>
      <c r="M332">
        <f t="shared" si="29"/>
        <v>124962.25</v>
      </c>
    </row>
    <row r="333" spans="1:13" ht="13.2" x14ac:dyDescent="0.25">
      <c r="A333" s="1" t="s">
        <v>8</v>
      </c>
      <c r="B333" s="1" t="s">
        <v>18</v>
      </c>
      <c r="C333" s="1" t="s">
        <v>10</v>
      </c>
      <c r="D333" s="1" t="s">
        <v>23</v>
      </c>
      <c r="E333" s="1" t="s">
        <v>17</v>
      </c>
      <c r="F333" s="1">
        <v>39</v>
      </c>
      <c r="G333" s="1">
        <v>51</v>
      </c>
      <c r="H333" s="1">
        <v>53</v>
      </c>
      <c r="I333">
        <f t="shared" si="25"/>
        <v>143</v>
      </c>
      <c r="J333">
        <f t="shared" si="26"/>
        <v>1</v>
      </c>
      <c r="K333">
        <f t="shared" si="27"/>
        <v>544.5</v>
      </c>
      <c r="L333">
        <f t="shared" si="28"/>
        <v>543.5</v>
      </c>
      <c r="M333">
        <f t="shared" si="29"/>
        <v>295392.25</v>
      </c>
    </row>
    <row r="334" spans="1:13" ht="13.2" x14ac:dyDescent="0.25">
      <c r="A334" s="1" t="s">
        <v>19</v>
      </c>
      <c r="B334" s="1" t="s">
        <v>21</v>
      </c>
      <c r="C334" s="1" t="s">
        <v>22</v>
      </c>
      <c r="D334" s="1" t="s">
        <v>11</v>
      </c>
      <c r="E334" s="1" t="s">
        <v>17</v>
      </c>
      <c r="F334" s="1">
        <v>76</v>
      </c>
      <c r="G334" s="1">
        <v>66</v>
      </c>
      <c r="H334" s="1">
        <v>66</v>
      </c>
      <c r="I334">
        <f t="shared" si="25"/>
        <v>208</v>
      </c>
      <c r="J334">
        <f t="shared" si="26"/>
        <v>1</v>
      </c>
      <c r="K334">
        <f t="shared" si="27"/>
        <v>264</v>
      </c>
      <c r="L334">
        <f t="shared" si="28"/>
        <v>263</v>
      </c>
      <c r="M334">
        <f t="shared" si="29"/>
        <v>69169</v>
      </c>
    </row>
    <row r="335" spans="1:13" ht="13.2" x14ac:dyDescent="0.25">
      <c r="A335" s="1" t="s">
        <v>8</v>
      </c>
      <c r="B335" s="1" t="s">
        <v>18</v>
      </c>
      <c r="C335" s="1" t="s">
        <v>24</v>
      </c>
      <c r="D335" s="1" t="s">
        <v>11</v>
      </c>
      <c r="E335" s="1" t="s">
        <v>12</v>
      </c>
      <c r="F335" s="1">
        <v>84</v>
      </c>
      <c r="G335" s="1">
        <v>94</v>
      </c>
      <c r="H335" s="1">
        <v>91</v>
      </c>
      <c r="I335">
        <f t="shared" si="25"/>
        <v>269</v>
      </c>
      <c r="J335">
        <f t="shared" si="26"/>
        <v>0</v>
      </c>
      <c r="K335">
        <f t="shared" si="27"/>
        <v>44.5</v>
      </c>
      <c r="L335">
        <f t="shared" si="28"/>
        <v>44.5</v>
      </c>
      <c r="M335">
        <f t="shared" si="29"/>
        <v>1980.25</v>
      </c>
    </row>
    <row r="336" spans="1:13" ht="13.2" x14ac:dyDescent="0.25">
      <c r="A336" s="1" t="s">
        <v>8</v>
      </c>
      <c r="B336" s="1" t="s">
        <v>18</v>
      </c>
      <c r="C336" s="1" t="s">
        <v>14</v>
      </c>
      <c r="D336" s="1" t="s">
        <v>23</v>
      </c>
      <c r="E336" s="1" t="s">
        <v>12</v>
      </c>
      <c r="F336" s="1">
        <v>47</v>
      </c>
      <c r="G336" s="1">
        <v>64</v>
      </c>
      <c r="H336" s="1">
        <v>64</v>
      </c>
      <c r="I336">
        <f t="shared" si="25"/>
        <v>175</v>
      </c>
      <c r="J336">
        <f t="shared" si="26"/>
        <v>0</v>
      </c>
      <c r="K336">
        <f t="shared" si="27"/>
        <v>426.5</v>
      </c>
      <c r="L336">
        <f t="shared" si="28"/>
        <v>426.5</v>
      </c>
      <c r="M336">
        <f t="shared" si="29"/>
        <v>181902.25</v>
      </c>
    </row>
    <row r="337" spans="1:13" ht="13.2" x14ac:dyDescent="0.25">
      <c r="A337" s="1" t="s">
        <v>19</v>
      </c>
      <c r="B337" s="1" t="s">
        <v>18</v>
      </c>
      <c r="C337" s="1" t="s">
        <v>16</v>
      </c>
      <c r="D337" s="1" t="s">
        <v>11</v>
      </c>
      <c r="E337" s="1" t="s">
        <v>12</v>
      </c>
      <c r="F337" s="1">
        <v>98</v>
      </c>
      <c r="G337" s="1">
        <v>90</v>
      </c>
      <c r="H337" s="1">
        <v>85</v>
      </c>
      <c r="I337">
        <f t="shared" si="25"/>
        <v>273</v>
      </c>
      <c r="J337">
        <f t="shared" si="26"/>
        <v>0</v>
      </c>
      <c r="K337">
        <f t="shared" si="27"/>
        <v>37</v>
      </c>
      <c r="L337">
        <f t="shared" si="28"/>
        <v>37</v>
      </c>
      <c r="M337">
        <f t="shared" si="29"/>
        <v>1369</v>
      </c>
    </row>
    <row r="338" spans="1:13" ht="13.2" x14ac:dyDescent="0.25">
      <c r="A338" s="1" t="s">
        <v>8</v>
      </c>
      <c r="B338" s="1" t="s">
        <v>13</v>
      </c>
      <c r="C338" s="1" t="s">
        <v>16</v>
      </c>
      <c r="D338" s="1" t="s">
        <v>11</v>
      </c>
      <c r="E338" s="1" t="s">
        <v>12</v>
      </c>
      <c r="F338" s="1">
        <v>77</v>
      </c>
      <c r="G338" s="1">
        <v>79</v>
      </c>
      <c r="H338" s="1">
        <v>79</v>
      </c>
      <c r="I338">
        <f t="shared" si="25"/>
        <v>235</v>
      </c>
      <c r="J338">
        <f t="shared" si="26"/>
        <v>0</v>
      </c>
      <c r="K338">
        <f t="shared" si="27"/>
        <v>154</v>
      </c>
      <c r="L338">
        <f t="shared" si="28"/>
        <v>154</v>
      </c>
      <c r="M338">
        <f t="shared" si="29"/>
        <v>23716</v>
      </c>
    </row>
    <row r="339" spans="1:13" ht="13.2" x14ac:dyDescent="0.25">
      <c r="A339" s="1" t="s">
        <v>19</v>
      </c>
      <c r="B339" s="1" t="s">
        <v>18</v>
      </c>
      <c r="C339" s="1" t="s">
        <v>16</v>
      </c>
      <c r="D339" s="1" t="s">
        <v>11</v>
      </c>
      <c r="E339" s="1" t="s">
        <v>12</v>
      </c>
      <c r="F339" s="1">
        <v>63</v>
      </c>
      <c r="G339" s="1">
        <v>67</v>
      </c>
      <c r="H339" s="1">
        <v>57</v>
      </c>
      <c r="I339">
        <f t="shared" si="25"/>
        <v>187</v>
      </c>
      <c r="J339">
        <f t="shared" si="26"/>
        <v>0</v>
      </c>
      <c r="K339">
        <f t="shared" si="27"/>
        <v>380</v>
      </c>
      <c r="L339">
        <f t="shared" si="28"/>
        <v>380</v>
      </c>
      <c r="M339">
        <f t="shared" si="29"/>
        <v>144400</v>
      </c>
    </row>
    <row r="340" spans="1:13" ht="13.2" x14ac:dyDescent="0.25">
      <c r="A340" s="1" t="s">
        <v>8</v>
      </c>
      <c r="B340" s="1" t="s">
        <v>18</v>
      </c>
      <c r="C340" s="1" t="s">
        <v>14</v>
      </c>
      <c r="D340" s="1" t="s">
        <v>11</v>
      </c>
      <c r="E340" s="1" t="s">
        <v>17</v>
      </c>
      <c r="F340" s="1">
        <v>69</v>
      </c>
      <c r="G340" s="1">
        <v>83</v>
      </c>
      <c r="H340" s="1">
        <v>83</v>
      </c>
      <c r="I340">
        <f t="shared" si="25"/>
        <v>235</v>
      </c>
      <c r="J340">
        <f t="shared" si="26"/>
        <v>1</v>
      </c>
      <c r="K340">
        <f t="shared" si="27"/>
        <v>154</v>
      </c>
      <c r="L340">
        <f t="shared" si="28"/>
        <v>153</v>
      </c>
      <c r="M340">
        <f t="shared" si="29"/>
        <v>23409</v>
      </c>
    </row>
    <row r="341" spans="1:13" ht="13.2" x14ac:dyDescent="0.25">
      <c r="A341" s="1" t="s">
        <v>19</v>
      </c>
      <c r="B341" s="1" t="s">
        <v>9</v>
      </c>
      <c r="C341" s="1" t="s">
        <v>24</v>
      </c>
      <c r="D341" s="1" t="s">
        <v>23</v>
      </c>
      <c r="E341" s="1" t="s">
        <v>12</v>
      </c>
      <c r="F341" s="1">
        <v>59</v>
      </c>
      <c r="G341" s="1">
        <v>61</v>
      </c>
      <c r="H341" s="1">
        <v>58</v>
      </c>
      <c r="I341">
        <f t="shared" si="25"/>
        <v>178</v>
      </c>
      <c r="J341">
        <f t="shared" si="26"/>
        <v>0</v>
      </c>
      <c r="K341">
        <f t="shared" si="27"/>
        <v>414.5</v>
      </c>
      <c r="L341">
        <f t="shared" si="28"/>
        <v>414.5</v>
      </c>
      <c r="M341">
        <f t="shared" si="29"/>
        <v>171810.25</v>
      </c>
    </row>
    <row r="342" spans="1:13" ht="13.2" x14ac:dyDescent="0.25">
      <c r="A342" s="1" t="s">
        <v>8</v>
      </c>
      <c r="B342" s="1" t="s">
        <v>18</v>
      </c>
      <c r="C342" s="1" t="s">
        <v>14</v>
      </c>
      <c r="D342" s="1" t="s">
        <v>11</v>
      </c>
      <c r="E342" s="1" t="s">
        <v>12</v>
      </c>
      <c r="F342" s="1">
        <v>74</v>
      </c>
      <c r="G342" s="1">
        <v>90</v>
      </c>
      <c r="H342" s="1">
        <v>85</v>
      </c>
      <c r="I342">
        <f t="shared" si="25"/>
        <v>249</v>
      </c>
      <c r="J342">
        <f t="shared" si="26"/>
        <v>0</v>
      </c>
      <c r="K342">
        <f t="shared" si="27"/>
        <v>98</v>
      </c>
      <c r="L342">
        <f t="shared" si="28"/>
        <v>98</v>
      </c>
      <c r="M342">
        <f t="shared" si="29"/>
        <v>9604</v>
      </c>
    </row>
    <row r="343" spans="1:13" ht="13.2" x14ac:dyDescent="0.25">
      <c r="A343" s="1" t="s">
        <v>19</v>
      </c>
      <c r="B343" s="1" t="s">
        <v>15</v>
      </c>
      <c r="C343" s="1" t="s">
        <v>22</v>
      </c>
      <c r="D343" s="1" t="s">
        <v>23</v>
      </c>
      <c r="E343" s="1" t="s">
        <v>12</v>
      </c>
      <c r="F343" s="1">
        <v>45</v>
      </c>
      <c r="G343" s="1">
        <v>47</v>
      </c>
      <c r="H343" s="1">
        <v>44</v>
      </c>
      <c r="I343">
        <f t="shared" si="25"/>
        <v>136</v>
      </c>
      <c r="J343">
        <f t="shared" si="26"/>
        <v>0</v>
      </c>
      <c r="K343">
        <f t="shared" si="27"/>
        <v>561</v>
      </c>
      <c r="L343">
        <f t="shared" si="28"/>
        <v>561</v>
      </c>
      <c r="M343">
        <f t="shared" si="29"/>
        <v>314721</v>
      </c>
    </row>
    <row r="344" spans="1:13" ht="13.2" x14ac:dyDescent="0.25">
      <c r="A344" s="1" t="s">
        <v>19</v>
      </c>
      <c r="B344" s="1" t="s">
        <v>13</v>
      </c>
      <c r="C344" s="1" t="s">
        <v>14</v>
      </c>
      <c r="D344" s="1" t="s">
        <v>23</v>
      </c>
      <c r="E344" s="1" t="s">
        <v>12</v>
      </c>
      <c r="F344" s="1">
        <v>54</v>
      </c>
      <c r="G344" s="1">
        <v>56</v>
      </c>
      <c r="H344" s="1">
        <v>56</v>
      </c>
      <c r="I344">
        <f t="shared" si="25"/>
        <v>166</v>
      </c>
      <c r="J344">
        <f t="shared" si="26"/>
        <v>0</v>
      </c>
      <c r="K344">
        <f t="shared" si="27"/>
        <v>471</v>
      </c>
      <c r="L344">
        <f t="shared" si="28"/>
        <v>471</v>
      </c>
      <c r="M344">
        <f t="shared" si="29"/>
        <v>221841</v>
      </c>
    </row>
    <row r="345" spans="1:13" ht="13.2" x14ac:dyDescent="0.25">
      <c r="A345" s="1" t="s">
        <v>8</v>
      </c>
      <c r="B345" s="1" t="s">
        <v>18</v>
      </c>
      <c r="C345" s="1" t="s">
        <v>22</v>
      </c>
      <c r="D345" s="1" t="s">
        <v>11</v>
      </c>
      <c r="E345" s="1" t="s">
        <v>17</v>
      </c>
      <c r="F345" s="1">
        <v>62</v>
      </c>
      <c r="G345" s="1">
        <v>69</v>
      </c>
      <c r="H345" s="1">
        <v>72</v>
      </c>
      <c r="I345">
        <f t="shared" si="25"/>
        <v>203</v>
      </c>
      <c r="J345">
        <f t="shared" si="26"/>
        <v>1</v>
      </c>
      <c r="K345">
        <f t="shared" si="27"/>
        <v>286.5</v>
      </c>
      <c r="L345">
        <f t="shared" si="28"/>
        <v>285.5</v>
      </c>
      <c r="M345">
        <f t="shared" si="29"/>
        <v>81510.25</v>
      </c>
    </row>
    <row r="346" spans="1:13" ht="13.2" x14ac:dyDescent="0.25">
      <c r="A346" s="1" t="s">
        <v>8</v>
      </c>
      <c r="B346" s="1" t="s">
        <v>9</v>
      </c>
      <c r="C346" s="1" t="s">
        <v>20</v>
      </c>
      <c r="D346" s="1" t="s">
        <v>11</v>
      </c>
      <c r="E346" s="1" t="s">
        <v>12</v>
      </c>
      <c r="F346" s="1">
        <v>60</v>
      </c>
      <c r="G346" s="1">
        <v>50</v>
      </c>
      <c r="H346" s="1">
        <v>56</v>
      </c>
      <c r="I346">
        <f t="shared" si="25"/>
        <v>166</v>
      </c>
      <c r="J346">
        <f t="shared" si="26"/>
        <v>0</v>
      </c>
      <c r="K346">
        <f t="shared" si="27"/>
        <v>471</v>
      </c>
      <c r="L346">
        <f t="shared" si="28"/>
        <v>471</v>
      </c>
      <c r="M346">
        <f t="shared" si="29"/>
        <v>221841</v>
      </c>
    </row>
    <row r="347" spans="1:13" ht="13.2" x14ac:dyDescent="0.25">
      <c r="A347" s="1" t="s">
        <v>8</v>
      </c>
      <c r="B347" s="1" t="s">
        <v>13</v>
      </c>
      <c r="C347" s="1" t="s">
        <v>24</v>
      </c>
      <c r="D347" s="1" t="s">
        <v>11</v>
      </c>
      <c r="E347" s="1" t="s">
        <v>12</v>
      </c>
      <c r="F347" s="1">
        <v>63</v>
      </c>
      <c r="G347" s="1">
        <v>80</v>
      </c>
      <c r="H347" s="1">
        <v>80</v>
      </c>
      <c r="I347">
        <f t="shared" si="25"/>
        <v>223</v>
      </c>
      <c r="J347">
        <f t="shared" si="26"/>
        <v>0</v>
      </c>
      <c r="K347">
        <f t="shared" si="27"/>
        <v>200</v>
      </c>
      <c r="L347">
        <f t="shared" si="28"/>
        <v>200</v>
      </c>
      <c r="M347">
        <f t="shared" si="29"/>
        <v>40000</v>
      </c>
    </row>
    <row r="348" spans="1:13" ht="13.2" x14ac:dyDescent="0.25">
      <c r="A348" s="1" t="s">
        <v>19</v>
      </c>
      <c r="B348" s="1" t="s">
        <v>18</v>
      </c>
      <c r="C348" s="1" t="s">
        <v>22</v>
      </c>
      <c r="D348" s="1" t="s">
        <v>23</v>
      </c>
      <c r="E348" s="1" t="s">
        <v>17</v>
      </c>
      <c r="F348" s="1">
        <v>44</v>
      </c>
      <c r="G348" s="1">
        <v>39</v>
      </c>
      <c r="H348" s="1">
        <v>41</v>
      </c>
      <c r="I348">
        <f t="shared" si="25"/>
        <v>124</v>
      </c>
      <c r="J348">
        <f t="shared" si="26"/>
        <v>1</v>
      </c>
      <c r="K348">
        <f t="shared" si="27"/>
        <v>579</v>
      </c>
      <c r="L348">
        <f t="shared" si="28"/>
        <v>578</v>
      </c>
      <c r="M348">
        <f t="shared" si="29"/>
        <v>334084</v>
      </c>
    </row>
    <row r="349" spans="1:13" ht="13.2" x14ac:dyDescent="0.25">
      <c r="A349" s="1" t="s">
        <v>8</v>
      </c>
      <c r="B349" s="1" t="s">
        <v>18</v>
      </c>
      <c r="C349" s="1" t="s">
        <v>14</v>
      </c>
      <c r="D349" s="1" t="s">
        <v>11</v>
      </c>
      <c r="E349" s="1" t="s">
        <v>17</v>
      </c>
      <c r="F349" s="1">
        <v>96</v>
      </c>
      <c r="G349" s="1">
        <v>100</v>
      </c>
      <c r="H349" s="1">
        <v>100</v>
      </c>
      <c r="I349">
        <f t="shared" si="25"/>
        <v>296</v>
      </c>
      <c r="J349">
        <f t="shared" si="26"/>
        <v>1</v>
      </c>
      <c r="K349">
        <f t="shared" si="27"/>
        <v>4</v>
      </c>
      <c r="L349">
        <f t="shared" si="28"/>
        <v>3</v>
      </c>
      <c r="M349">
        <f t="shared" si="29"/>
        <v>9</v>
      </c>
    </row>
    <row r="350" spans="1:13" ht="13.2" x14ac:dyDescent="0.25">
      <c r="A350" s="1" t="s">
        <v>8</v>
      </c>
      <c r="B350" s="1" t="s">
        <v>21</v>
      </c>
      <c r="C350" s="1" t="s">
        <v>10</v>
      </c>
      <c r="D350" s="1" t="s">
        <v>23</v>
      </c>
      <c r="E350" s="1" t="s">
        <v>17</v>
      </c>
      <c r="F350" s="1">
        <v>73</v>
      </c>
      <c r="G350" s="1">
        <v>82</v>
      </c>
      <c r="H350" s="1">
        <v>89</v>
      </c>
      <c r="I350">
        <f t="shared" si="25"/>
        <v>244</v>
      </c>
      <c r="J350">
        <f t="shared" si="26"/>
        <v>1</v>
      </c>
      <c r="K350">
        <f t="shared" si="27"/>
        <v>115.5</v>
      </c>
      <c r="L350">
        <f t="shared" si="28"/>
        <v>114.5</v>
      </c>
      <c r="M350">
        <f t="shared" si="29"/>
        <v>13110.25</v>
      </c>
    </row>
    <row r="351" spans="1:13" ht="13.2" x14ac:dyDescent="0.25">
      <c r="A351" s="1" t="s">
        <v>8</v>
      </c>
      <c r="B351" s="1" t="s">
        <v>13</v>
      </c>
      <c r="C351" s="1" t="s">
        <v>20</v>
      </c>
      <c r="D351" s="1" t="s">
        <v>23</v>
      </c>
      <c r="E351" s="1" t="s">
        <v>12</v>
      </c>
      <c r="F351" s="1">
        <v>65</v>
      </c>
      <c r="G351" s="1">
        <v>87</v>
      </c>
      <c r="H351" s="1">
        <v>84</v>
      </c>
      <c r="I351">
        <f t="shared" si="25"/>
        <v>236</v>
      </c>
      <c r="J351">
        <f t="shared" si="26"/>
        <v>0</v>
      </c>
      <c r="K351">
        <f t="shared" si="27"/>
        <v>148.5</v>
      </c>
      <c r="L351">
        <f t="shared" si="28"/>
        <v>148.5</v>
      </c>
      <c r="M351">
        <f t="shared" si="29"/>
        <v>22052.25</v>
      </c>
    </row>
    <row r="352" spans="1:13" ht="13.2" x14ac:dyDescent="0.25">
      <c r="A352" s="1" t="s">
        <v>19</v>
      </c>
      <c r="B352" s="1" t="s">
        <v>9</v>
      </c>
      <c r="C352" s="1" t="s">
        <v>20</v>
      </c>
      <c r="D352" s="1" t="s">
        <v>23</v>
      </c>
      <c r="E352" s="1" t="s">
        <v>12</v>
      </c>
      <c r="F352" s="1">
        <v>56</v>
      </c>
      <c r="G352" s="1">
        <v>62</v>
      </c>
      <c r="H352" s="1">
        <v>58</v>
      </c>
      <c r="I352">
        <f t="shared" si="25"/>
        <v>176</v>
      </c>
      <c r="J352">
        <f t="shared" si="26"/>
        <v>0</v>
      </c>
      <c r="K352">
        <f t="shared" si="27"/>
        <v>422.5</v>
      </c>
      <c r="L352">
        <f t="shared" si="28"/>
        <v>422.5</v>
      </c>
      <c r="M352">
        <f t="shared" si="29"/>
        <v>178506.25</v>
      </c>
    </row>
    <row r="353" spans="1:13" ht="13.2" x14ac:dyDescent="0.25">
      <c r="A353" s="1" t="s">
        <v>19</v>
      </c>
      <c r="B353" s="1" t="s">
        <v>9</v>
      </c>
      <c r="C353" s="1" t="s">
        <v>24</v>
      </c>
      <c r="D353" s="1" t="s">
        <v>11</v>
      </c>
      <c r="E353" s="1" t="s">
        <v>17</v>
      </c>
      <c r="F353" s="1">
        <v>92</v>
      </c>
      <c r="G353" s="1">
        <v>81</v>
      </c>
      <c r="H353" s="1">
        <v>91</v>
      </c>
      <c r="I353">
        <f t="shared" si="25"/>
        <v>264</v>
      </c>
      <c r="J353">
        <f t="shared" si="26"/>
        <v>1</v>
      </c>
      <c r="K353">
        <f t="shared" si="27"/>
        <v>53.5</v>
      </c>
      <c r="L353">
        <f t="shared" si="28"/>
        <v>52.5</v>
      </c>
      <c r="M353">
        <f t="shared" si="29"/>
        <v>2756.25</v>
      </c>
    </row>
    <row r="354" spans="1:13" ht="13.2" x14ac:dyDescent="0.25">
      <c r="A354" s="1" t="s">
        <v>8</v>
      </c>
      <c r="B354" s="1" t="s">
        <v>18</v>
      </c>
      <c r="C354" s="1" t="s">
        <v>16</v>
      </c>
      <c r="D354" s="1" t="s">
        <v>23</v>
      </c>
      <c r="E354" s="1" t="s">
        <v>17</v>
      </c>
      <c r="F354" s="1">
        <v>50</v>
      </c>
      <c r="G354" s="1">
        <v>68</v>
      </c>
      <c r="H354" s="1">
        <v>74</v>
      </c>
      <c r="I354">
        <f t="shared" si="25"/>
        <v>192</v>
      </c>
      <c r="J354">
        <f t="shared" si="26"/>
        <v>1</v>
      </c>
      <c r="K354">
        <f t="shared" si="27"/>
        <v>349</v>
      </c>
      <c r="L354">
        <f t="shared" si="28"/>
        <v>348</v>
      </c>
      <c r="M354">
        <f t="shared" si="29"/>
        <v>121104</v>
      </c>
    </row>
    <row r="355" spans="1:13" ht="13.2" x14ac:dyDescent="0.25">
      <c r="A355" s="1" t="s">
        <v>8</v>
      </c>
      <c r="B355" s="1" t="s">
        <v>13</v>
      </c>
      <c r="C355" s="1" t="s">
        <v>20</v>
      </c>
      <c r="D355" s="1" t="s">
        <v>11</v>
      </c>
      <c r="E355" s="1" t="s">
        <v>17</v>
      </c>
      <c r="F355" s="1">
        <v>75</v>
      </c>
      <c r="G355" s="1">
        <v>76</v>
      </c>
      <c r="H355" s="1">
        <v>83</v>
      </c>
      <c r="I355">
        <f t="shared" si="25"/>
        <v>234</v>
      </c>
      <c r="J355">
        <f t="shared" si="26"/>
        <v>1</v>
      </c>
      <c r="K355">
        <f t="shared" si="27"/>
        <v>159</v>
      </c>
      <c r="L355">
        <f t="shared" si="28"/>
        <v>158</v>
      </c>
      <c r="M355">
        <f t="shared" si="29"/>
        <v>24964</v>
      </c>
    </row>
    <row r="356" spans="1:13" ht="13.2" x14ac:dyDescent="0.25">
      <c r="A356" s="1" t="s">
        <v>8</v>
      </c>
      <c r="B356" s="1" t="s">
        <v>21</v>
      </c>
      <c r="C356" s="1" t="s">
        <v>14</v>
      </c>
      <c r="D356" s="1" t="s">
        <v>11</v>
      </c>
      <c r="E356" s="1" t="s">
        <v>17</v>
      </c>
      <c r="F356" s="1">
        <v>82</v>
      </c>
      <c r="G356" s="1">
        <v>88</v>
      </c>
      <c r="H356" s="1">
        <v>92</v>
      </c>
      <c r="I356">
        <f t="shared" si="25"/>
        <v>262</v>
      </c>
      <c r="J356">
        <f t="shared" si="26"/>
        <v>1</v>
      </c>
      <c r="K356">
        <f t="shared" si="27"/>
        <v>57.5</v>
      </c>
      <c r="L356">
        <f t="shared" si="28"/>
        <v>56.5</v>
      </c>
      <c r="M356">
        <f t="shared" si="29"/>
        <v>3192.25</v>
      </c>
    </row>
    <row r="357" spans="1:13" ht="13.2" x14ac:dyDescent="0.25">
      <c r="A357" s="1" t="s">
        <v>8</v>
      </c>
      <c r="B357" s="1" t="s">
        <v>9</v>
      </c>
      <c r="C357" s="1" t="s">
        <v>22</v>
      </c>
      <c r="D357" s="1" t="s">
        <v>23</v>
      </c>
      <c r="E357" s="1" t="s">
        <v>12</v>
      </c>
      <c r="F357" s="1">
        <v>58</v>
      </c>
      <c r="G357" s="1">
        <v>76</v>
      </c>
      <c r="H357" s="1">
        <v>68</v>
      </c>
      <c r="I357">
        <f t="shared" si="25"/>
        <v>202</v>
      </c>
      <c r="J357">
        <f t="shared" si="26"/>
        <v>0</v>
      </c>
      <c r="K357">
        <f t="shared" si="27"/>
        <v>292</v>
      </c>
      <c r="L357">
        <f t="shared" si="28"/>
        <v>292</v>
      </c>
      <c r="M357">
        <f t="shared" si="29"/>
        <v>85264</v>
      </c>
    </row>
    <row r="358" spans="1:13" ht="13.2" x14ac:dyDescent="0.25">
      <c r="A358" s="1" t="s">
        <v>8</v>
      </c>
      <c r="B358" s="1" t="s">
        <v>18</v>
      </c>
      <c r="C358" s="1" t="s">
        <v>10</v>
      </c>
      <c r="D358" s="1" t="s">
        <v>23</v>
      </c>
      <c r="E358" s="1" t="s">
        <v>17</v>
      </c>
      <c r="F358" s="1">
        <v>42</v>
      </c>
      <c r="G358" s="1">
        <v>53</v>
      </c>
      <c r="H358" s="1">
        <v>62</v>
      </c>
      <c r="I358">
        <f t="shared" si="25"/>
        <v>157</v>
      </c>
      <c r="J358">
        <f t="shared" si="26"/>
        <v>1</v>
      </c>
      <c r="K358">
        <f t="shared" si="27"/>
        <v>502.5</v>
      </c>
      <c r="L358">
        <f t="shared" si="28"/>
        <v>501.5</v>
      </c>
      <c r="M358">
        <f t="shared" si="29"/>
        <v>251502.25</v>
      </c>
    </row>
    <row r="359" spans="1:13" ht="13.2" x14ac:dyDescent="0.25">
      <c r="A359" s="1" t="s">
        <v>19</v>
      </c>
      <c r="B359" s="1" t="s">
        <v>9</v>
      </c>
      <c r="C359" s="1" t="s">
        <v>16</v>
      </c>
      <c r="D359" s="1" t="s">
        <v>11</v>
      </c>
      <c r="E359" s="1" t="s">
        <v>12</v>
      </c>
      <c r="F359" s="1">
        <v>80</v>
      </c>
      <c r="G359" s="1">
        <v>72</v>
      </c>
      <c r="H359" s="1">
        <v>64</v>
      </c>
      <c r="I359">
        <f t="shared" si="25"/>
        <v>216</v>
      </c>
      <c r="J359">
        <f t="shared" si="26"/>
        <v>0</v>
      </c>
      <c r="K359">
        <f t="shared" si="27"/>
        <v>231</v>
      </c>
      <c r="L359">
        <f t="shared" si="28"/>
        <v>231</v>
      </c>
      <c r="M359">
        <f t="shared" si="29"/>
        <v>53361</v>
      </c>
    </row>
    <row r="360" spans="1:13" ht="13.2" x14ac:dyDescent="0.25">
      <c r="A360" s="1" t="s">
        <v>19</v>
      </c>
      <c r="B360" s="1" t="s">
        <v>18</v>
      </c>
      <c r="C360" s="1" t="s">
        <v>20</v>
      </c>
      <c r="D360" s="1" t="s">
        <v>23</v>
      </c>
      <c r="E360" s="1" t="s">
        <v>12</v>
      </c>
      <c r="F360" s="1">
        <v>62</v>
      </c>
      <c r="G360" s="1">
        <v>58</v>
      </c>
      <c r="H360" s="1">
        <v>52</v>
      </c>
      <c r="I360">
        <f t="shared" si="25"/>
        <v>172</v>
      </c>
      <c r="J360">
        <f t="shared" si="26"/>
        <v>0</v>
      </c>
      <c r="K360">
        <f t="shared" si="27"/>
        <v>445</v>
      </c>
      <c r="L360">
        <f t="shared" si="28"/>
        <v>445</v>
      </c>
      <c r="M360">
        <f t="shared" si="29"/>
        <v>198025</v>
      </c>
    </row>
    <row r="361" spans="1:13" ht="13.2" x14ac:dyDescent="0.25">
      <c r="A361" s="1" t="s">
        <v>8</v>
      </c>
      <c r="B361" s="1" t="s">
        <v>15</v>
      </c>
      <c r="C361" s="1" t="s">
        <v>10</v>
      </c>
      <c r="D361" s="1" t="s">
        <v>11</v>
      </c>
      <c r="E361" s="1" t="s">
        <v>12</v>
      </c>
      <c r="F361" s="1">
        <v>76</v>
      </c>
      <c r="G361" s="1">
        <v>78</v>
      </c>
      <c r="H361" s="1">
        <v>77</v>
      </c>
      <c r="I361">
        <f t="shared" si="25"/>
        <v>231</v>
      </c>
      <c r="J361">
        <f t="shared" si="26"/>
        <v>0</v>
      </c>
      <c r="K361">
        <f t="shared" si="27"/>
        <v>168</v>
      </c>
      <c r="L361">
        <f t="shared" si="28"/>
        <v>168</v>
      </c>
      <c r="M361">
        <f t="shared" si="29"/>
        <v>28224</v>
      </c>
    </row>
    <row r="362" spans="1:13" ht="13.2" x14ac:dyDescent="0.25">
      <c r="A362" s="1" t="s">
        <v>19</v>
      </c>
      <c r="B362" s="1" t="s">
        <v>21</v>
      </c>
      <c r="C362" s="1" t="s">
        <v>16</v>
      </c>
      <c r="D362" s="1" t="s">
        <v>11</v>
      </c>
      <c r="E362" s="1" t="s">
        <v>17</v>
      </c>
      <c r="F362" s="1">
        <v>90</v>
      </c>
      <c r="G362" s="1">
        <v>80</v>
      </c>
      <c r="H362" s="1">
        <v>81</v>
      </c>
      <c r="I362">
        <f t="shared" si="25"/>
        <v>251</v>
      </c>
      <c r="J362">
        <f t="shared" si="26"/>
        <v>1</v>
      </c>
      <c r="K362">
        <f t="shared" si="27"/>
        <v>92</v>
      </c>
      <c r="L362">
        <f t="shared" si="28"/>
        <v>91</v>
      </c>
      <c r="M362">
        <f t="shared" si="29"/>
        <v>8281</v>
      </c>
    </row>
    <row r="363" spans="1:13" ht="13.2" x14ac:dyDescent="0.25">
      <c r="A363" s="1" t="s">
        <v>8</v>
      </c>
      <c r="B363" s="1" t="s">
        <v>21</v>
      </c>
      <c r="C363" s="1" t="s">
        <v>10</v>
      </c>
      <c r="D363" s="1" t="s">
        <v>23</v>
      </c>
      <c r="E363" s="1" t="s">
        <v>17</v>
      </c>
      <c r="F363" s="1">
        <v>65</v>
      </c>
      <c r="G363" s="1">
        <v>70</v>
      </c>
      <c r="H363" s="1">
        <v>74</v>
      </c>
      <c r="I363">
        <f t="shared" si="25"/>
        <v>209</v>
      </c>
      <c r="J363">
        <f t="shared" si="26"/>
        <v>1</v>
      </c>
      <c r="K363">
        <f t="shared" si="27"/>
        <v>257.5</v>
      </c>
      <c r="L363">
        <f t="shared" si="28"/>
        <v>256.5</v>
      </c>
      <c r="M363">
        <f t="shared" si="29"/>
        <v>65792.25</v>
      </c>
    </row>
    <row r="364" spans="1:13" ht="13.2" x14ac:dyDescent="0.25">
      <c r="A364" s="1" t="s">
        <v>8</v>
      </c>
      <c r="B364" s="1" t="s">
        <v>9</v>
      </c>
      <c r="C364" s="1" t="s">
        <v>10</v>
      </c>
      <c r="D364" s="1" t="s">
        <v>11</v>
      </c>
      <c r="E364" s="1" t="s">
        <v>12</v>
      </c>
      <c r="F364" s="1">
        <v>43</v>
      </c>
      <c r="G364" s="1">
        <v>51</v>
      </c>
      <c r="H364" s="1">
        <v>42</v>
      </c>
      <c r="I364">
        <f t="shared" si="25"/>
        <v>136</v>
      </c>
      <c r="J364">
        <f t="shared" si="26"/>
        <v>0</v>
      </c>
      <c r="K364">
        <f t="shared" si="27"/>
        <v>561</v>
      </c>
      <c r="L364">
        <f t="shared" si="28"/>
        <v>561</v>
      </c>
      <c r="M364">
        <f t="shared" si="29"/>
        <v>314721</v>
      </c>
    </row>
    <row r="365" spans="1:13" ht="13.2" x14ac:dyDescent="0.25">
      <c r="A365" s="1" t="s">
        <v>19</v>
      </c>
      <c r="B365" s="1" t="s">
        <v>18</v>
      </c>
      <c r="C365" s="1" t="s">
        <v>24</v>
      </c>
      <c r="D365" s="1" t="s">
        <v>11</v>
      </c>
      <c r="E365" s="1" t="s">
        <v>17</v>
      </c>
      <c r="F365" s="1">
        <v>100</v>
      </c>
      <c r="G365" s="1">
        <v>88</v>
      </c>
      <c r="H365" s="1">
        <v>92</v>
      </c>
      <c r="I365">
        <f t="shared" si="25"/>
        <v>280</v>
      </c>
      <c r="J365">
        <f t="shared" si="26"/>
        <v>1</v>
      </c>
      <c r="K365">
        <f t="shared" si="27"/>
        <v>25.5</v>
      </c>
      <c r="L365">
        <f t="shared" si="28"/>
        <v>24.5</v>
      </c>
      <c r="M365">
        <f t="shared" si="29"/>
        <v>600.25</v>
      </c>
    </row>
    <row r="366" spans="1:13" ht="13.2" x14ac:dyDescent="0.25">
      <c r="A366" s="1" t="s">
        <v>19</v>
      </c>
      <c r="B366" s="1" t="s">
        <v>18</v>
      </c>
      <c r="C366" s="1" t="s">
        <v>22</v>
      </c>
      <c r="D366" s="1" t="s">
        <v>11</v>
      </c>
      <c r="E366" s="1" t="s">
        <v>17</v>
      </c>
      <c r="F366" s="1">
        <v>84</v>
      </c>
      <c r="G366" s="1">
        <v>69</v>
      </c>
      <c r="H366" s="1">
        <v>74</v>
      </c>
      <c r="I366">
        <f t="shared" si="25"/>
        <v>227</v>
      </c>
      <c r="J366">
        <f t="shared" si="26"/>
        <v>1</v>
      </c>
      <c r="K366">
        <f t="shared" si="27"/>
        <v>180</v>
      </c>
      <c r="L366">
        <f t="shared" si="28"/>
        <v>179</v>
      </c>
      <c r="M366">
        <f t="shared" si="29"/>
        <v>32041</v>
      </c>
    </row>
    <row r="367" spans="1:13" ht="13.2" x14ac:dyDescent="0.25">
      <c r="A367" s="1" t="s">
        <v>8</v>
      </c>
      <c r="B367" s="1" t="s">
        <v>21</v>
      </c>
      <c r="C367" s="1" t="s">
        <v>16</v>
      </c>
      <c r="D367" s="1" t="s">
        <v>11</v>
      </c>
      <c r="E367" s="1" t="s">
        <v>12</v>
      </c>
      <c r="F367" s="1">
        <v>94</v>
      </c>
      <c r="G367" s="1">
        <v>97</v>
      </c>
      <c r="H367" s="1">
        <v>97</v>
      </c>
      <c r="I367">
        <f t="shared" si="25"/>
        <v>288</v>
      </c>
      <c r="J367">
        <f t="shared" si="26"/>
        <v>0</v>
      </c>
      <c r="K367">
        <f t="shared" si="27"/>
        <v>14</v>
      </c>
      <c r="L367">
        <f t="shared" si="28"/>
        <v>14</v>
      </c>
      <c r="M367">
        <f t="shared" si="29"/>
        <v>196</v>
      </c>
    </row>
    <row r="368" spans="1:13" ht="13.2" x14ac:dyDescent="0.25">
      <c r="A368" s="1" t="s">
        <v>8</v>
      </c>
      <c r="B368" s="1" t="s">
        <v>21</v>
      </c>
      <c r="C368" s="1" t="s">
        <v>16</v>
      </c>
      <c r="D368" s="1" t="s">
        <v>11</v>
      </c>
      <c r="E368" s="1" t="s">
        <v>12</v>
      </c>
      <c r="F368" s="1">
        <v>88</v>
      </c>
      <c r="G368" s="1">
        <v>89</v>
      </c>
      <c r="H368" s="1">
        <v>86</v>
      </c>
      <c r="I368">
        <f t="shared" si="25"/>
        <v>263</v>
      </c>
      <c r="J368">
        <f t="shared" si="26"/>
        <v>0</v>
      </c>
      <c r="K368">
        <f t="shared" si="27"/>
        <v>56</v>
      </c>
      <c r="L368">
        <f t="shared" si="28"/>
        <v>56</v>
      </c>
      <c r="M368">
        <f t="shared" si="29"/>
        <v>3136</v>
      </c>
    </row>
    <row r="369" spans="1:13" ht="13.2" x14ac:dyDescent="0.25">
      <c r="A369" s="1" t="s">
        <v>19</v>
      </c>
      <c r="B369" s="1" t="s">
        <v>18</v>
      </c>
      <c r="C369" s="1" t="s">
        <v>16</v>
      </c>
      <c r="D369" s="1" t="s">
        <v>11</v>
      </c>
      <c r="E369" s="1" t="s">
        <v>12</v>
      </c>
      <c r="F369" s="1">
        <v>61</v>
      </c>
      <c r="G369" s="1">
        <v>54</v>
      </c>
      <c r="H369" s="1">
        <v>58</v>
      </c>
      <c r="I369">
        <f t="shared" si="25"/>
        <v>173</v>
      </c>
      <c r="J369">
        <f t="shared" si="26"/>
        <v>0</v>
      </c>
      <c r="K369">
        <f t="shared" si="27"/>
        <v>440.5</v>
      </c>
      <c r="L369">
        <f t="shared" si="28"/>
        <v>440.5</v>
      </c>
      <c r="M369">
        <f t="shared" si="29"/>
        <v>194040.25</v>
      </c>
    </row>
    <row r="370" spans="1:13" ht="13.2" x14ac:dyDescent="0.25">
      <c r="A370" s="1" t="s">
        <v>19</v>
      </c>
      <c r="B370" s="1" t="s">
        <v>18</v>
      </c>
      <c r="C370" s="1" t="s">
        <v>22</v>
      </c>
      <c r="D370" s="1" t="s">
        <v>11</v>
      </c>
      <c r="E370" s="1" t="s">
        <v>12</v>
      </c>
      <c r="F370" s="1">
        <v>59</v>
      </c>
      <c r="G370" s="1">
        <v>61</v>
      </c>
      <c r="H370" s="1">
        <v>58</v>
      </c>
      <c r="I370">
        <f t="shared" si="25"/>
        <v>178</v>
      </c>
      <c r="J370">
        <f t="shared" si="26"/>
        <v>0</v>
      </c>
      <c r="K370">
        <f t="shared" si="27"/>
        <v>414.5</v>
      </c>
      <c r="L370">
        <f t="shared" si="28"/>
        <v>414.5</v>
      </c>
      <c r="M370">
        <f t="shared" si="29"/>
        <v>171810.25</v>
      </c>
    </row>
    <row r="371" spans="1:13" ht="13.2" x14ac:dyDescent="0.25">
      <c r="A371" s="1" t="s">
        <v>19</v>
      </c>
      <c r="B371" s="1" t="s">
        <v>13</v>
      </c>
      <c r="C371" s="1" t="s">
        <v>10</v>
      </c>
      <c r="D371" s="1" t="s">
        <v>11</v>
      </c>
      <c r="E371" s="1" t="s">
        <v>17</v>
      </c>
      <c r="F371" s="1">
        <v>45</v>
      </c>
      <c r="G371" s="1">
        <v>49</v>
      </c>
      <c r="H371" s="1">
        <v>47</v>
      </c>
      <c r="I371">
        <f t="shared" si="25"/>
        <v>141</v>
      </c>
      <c r="J371">
        <f t="shared" si="26"/>
        <v>1</v>
      </c>
      <c r="K371">
        <f t="shared" si="27"/>
        <v>549</v>
      </c>
      <c r="L371">
        <f t="shared" si="28"/>
        <v>548</v>
      </c>
      <c r="M371">
        <f t="shared" si="29"/>
        <v>300304</v>
      </c>
    </row>
    <row r="372" spans="1:13" ht="13.2" x14ac:dyDescent="0.25">
      <c r="A372" s="1" t="s">
        <v>19</v>
      </c>
      <c r="B372" s="1" t="s">
        <v>18</v>
      </c>
      <c r="C372" s="1" t="s">
        <v>16</v>
      </c>
      <c r="D372" s="1" t="s">
        <v>23</v>
      </c>
      <c r="E372" s="1" t="s">
        <v>12</v>
      </c>
      <c r="F372" s="1">
        <v>28</v>
      </c>
      <c r="G372" s="1">
        <v>32</v>
      </c>
      <c r="H372" s="1">
        <v>27</v>
      </c>
      <c r="I372">
        <f t="shared" si="25"/>
        <v>87</v>
      </c>
      <c r="J372">
        <f t="shared" si="26"/>
        <v>0</v>
      </c>
      <c r="K372">
        <f t="shared" si="27"/>
        <v>596</v>
      </c>
      <c r="L372">
        <f t="shared" si="28"/>
        <v>596</v>
      </c>
      <c r="M372">
        <f t="shared" si="29"/>
        <v>355216</v>
      </c>
    </row>
    <row r="373" spans="1:13" ht="13.2" x14ac:dyDescent="0.25">
      <c r="A373" s="1" t="s">
        <v>19</v>
      </c>
      <c r="B373" s="1" t="s">
        <v>15</v>
      </c>
      <c r="C373" s="1" t="s">
        <v>22</v>
      </c>
      <c r="D373" s="1" t="s">
        <v>23</v>
      </c>
      <c r="E373" s="1" t="s">
        <v>17</v>
      </c>
      <c r="F373" s="1">
        <v>46</v>
      </c>
      <c r="G373" s="1">
        <v>48</v>
      </c>
      <c r="H373" s="1">
        <v>50</v>
      </c>
      <c r="I373">
        <f t="shared" si="25"/>
        <v>144</v>
      </c>
      <c r="J373">
        <f t="shared" si="26"/>
        <v>1</v>
      </c>
      <c r="K373">
        <f t="shared" si="27"/>
        <v>540</v>
      </c>
      <c r="L373">
        <f t="shared" si="28"/>
        <v>539</v>
      </c>
      <c r="M373">
        <f t="shared" si="29"/>
        <v>290521</v>
      </c>
    </row>
    <row r="374" spans="1:13" ht="13.2" x14ac:dyDescent="0.25">
      <c r="A374" s="1" t="s">
        <v>19</v>
      </c>
      <c r="B374" s="1" t="s">
        <v>18</v>
      </c>
      <c r="C374" s="1" t="s">
        <v>16</v>
      </c>
      <c r="D374" s="1" t="s">
        <v>23</v>
      </c>
      <c r="E374" s="1" t="s">
        <v>17</v>
      </c>
      <c r="F374" s="1">
        <v>66</v>
      </c>
      <c r="G374" s="1">
        <v>62</v>
      </c>
      <c r="H374" s="1">
        <v>57</v>
      </c>
      <c r="I374">
        <f t="shared" si="25"/>
        <v>185</v>
      </c>
      <c r="J374">
        <f t="shared" si="26"/>
        <v>1</v>
      </c>
      <c r="K374">
        <f t="shared" si="27"/>
        <v>389.5</v>
      </c>
      <c r="L374">
        <f t="shared" si="28"/>
        <v>388.5</v>
      </c>
      <c r="M374">
        <f t="shared" si="29"/>
        <v>150932.25</v>
      </c>
    </row>
    <row r="375" spans="1:13" ht="13.2" x14ac:dyDescent="0.25">
      <c r="A375" s="1" t="s">
        <v>8</v>
      </c>
      <c r="B375" s="1" t="s">
        <v>18</v>
      </c>
      <c r="C375" s="1" t="s">
        <v>14</v>
      </c>
      <c r="D375" s="1" t="s">
        <v>11</v>
      </c>
      <c r="E375" s="1" t="s">
        <v>12</v>
      </c>
      <c r="F375" s="1">
        <v>34</v>
      </c>
      <c r="G375" s="1">
        <v>43</v>
      </c>
      <c r="H375" s="1">
        <v>44</v>
      </c>
      <c r="I375">
        <f t="shared" si="25"/>
        <v>121</v>
      </c>
      <c r="J375">
        <f t="shared" si="26"/>
        <v>0</v>
      </c>
      <c r="K375">
        <f t="shared" si="27"/>
        <v>581.5</v>
      </c>
      <c r="L375">
        <f t="shared" si="28"/>
        <v>581.5</v>
      </c>
      <c r="M375">
        <f t="shared" si="29"/>
        <v>338142.25</v>
      </c>
    </row>
    <row r="376" spans="1:13" ht="13.2" x14ac:dyDescent="0.25">
      <c r="A376" s="1" t="s">
        <v>19</v>
      </c>
      <c r="B376" s="1" t="s">
        <v>18</v>
      </c>
      <c r="C376" s="1" t="s">
        <v>16</v>
      </c>
      <c r="D376" s="1" t="s">
        <v>11</v>
      </c>
      <c r="E376" s="1" t="s">
        <v>17</v>
      </c>
      <c r="F376" s="1">
        <v>94</v>
      </c>
      <c r="G376" s="1">
        <v>92</v>
      </c>
      <c r="H376" s="1">
        <v>87</v>
      </c>
      <c r="I376">
        <f t="shared" si="25"/>
        <v>273</v>
      </c>
      <c r="J376">
        <f t="shared" si="26"/>
        <v>1</v>
      </c>
      <c r="K376">
        <f t="shared" si="27"/>
        <v>37</v>
      </c>
      <c r="L376">
        <f t="shared" si="28"/>
        <v>36</v>
      </c>
      <c r="M376">
        <f t="shared" si="29"/>
        <v>1296</v>
      </c>
    </row>
    <row r="377" spans="1:13" ht="13.2" x14ac:dyDescent="0.25">
      <c r="A377" s="1" t="s">
        <v>8</v>
      </c>
      <c r="B377" s="1" t="s">
        <v>18</v>
      </c>
      <c r="C377" s="1" t="s">
        <v>14</v>
      </c>
      <c r="D377" s="1" t="s">
        <v>11</v>
      </c>
      <c r="E377" s="1" t="s">
        <v>12</v>
      </c>
      <c r="F377" s="1">
        <v>55</v>
      </c>
      <c r="G377" s="1">
        <v>65</v>
      </c>
      <c r="H377" s="1">
        <v>68</v>
      </c>
      <c r="I377">
        <f t="shared" si="25"/>
        <v>188</v>
      </c>
      <c r="J377">
        <f t="shared" si="26"/>
        <v>0</v>
      </c>
      <c r="K377">
        <f t="shared" si="27"/>
        <v>373</v>
      </c>
      <c r="L377">
        <f t="shared" si="28"/>
        <v>373</v>
      </c>
      <c r="M377">
        <f t="shared" si="29"/>
        <v>139129</v>
      </c>
    </row>
    <row r="378" spans="1:13" ht="13.2" x14ac:dyDescent="0.25">
      <c r="A378" s="1" t="s">
        <v>19</v>
      </c>
      <c r="B378" s="1" t="s">
        <v>18</v>
      </c>
      <c r="C378" s="1" t="s">
        <v>14</v>
      </c>
      <c r="D378" s="1" t="s">
        <v>11</v>
      </c>
      <c r="E378" s="1" t="s">
        <v>12</v>
      </c>
      <c r="F378" s="1">
        <v>90</v>
      </c>
      <c r="G378" s="1">
        <v>86</v>
      </c>
      <c r="H378" s="1">
        <v>81</v>
      </c>
      <c r="I378">
        <f t="shared" si="25"/>
        <v>257</v>
      </c>
      <c r="J378">
        <f t="shared" si="26"/>
        <v>0</v>
      </c>
      <c r="K378">
        <f t="shared" si="27"/>
        <v>74.5</v>
      </c>
      <c r="L378">
        <f t="shared" si="28"/>
        <v>74.5</v>
      </c>
      <c r="M378">
        <f t="shared" si="29"/>
        <v>5550.25</v>
      </c>
    </row>
    <row r="379" spans="1:13" ht="13.2" x14ac:dyDescent="0.25">
      <c r="A379" s="1" t="s">
        <v>19</v>
      </c>
      <c r="B379" s="1" t="s">
        <v>21</v>
      </c>
      <c r="C379" s="1" t="s">
        <v>22</v>
      </c>
      <c r="D379" s="1" t="s">
        <v>11</v>
      </c>
      <c r="E379" s="1" t="s">
        <v>17</v>
      </c>
      <c r="F379" s="1">
        <v>80</v>
      </c>
      <c r="G379" s="1">
        <v>79</v>
      </c>
      <c r="H379" s="1">
        <v>79</v>
      </c>
      <c r="I379">
        <f t="shared" si="25"/>
        <v>238</v>
      </c>
      <c r="J379">
        <f t="shared" si="26"/>
        <v>1</v>
      </c>
      <c r="K379">
        <f t="shared" si="27"/>
        <v>140.5</v>
      </c>
      <c r="L379">
        <f t="shared" si="28"/>
        <v>139.5</v>
      </c>
      <c r="M379">
        <f t="shared" si="29"/>
        <v>19460.25</v>
      </c>
    </row>
    <row r="380" spans="1:13" ht="13.2" x14ac:dyDescent="0.25">
      <c r="A380" s="1" t="s">
        <v>19</v>
      </c>
      <c r="B380" s="1" t="s">
        <v>18</v>
      </c>
      <c r="C380" s="1" t="s">
        <v>22</v>
      </c>
      <c r="D380" s="1" t="s">
        <v>11</v>
      </c>
      <c r="E380" s="1" t="s">
        <v>12</v>
      </c>
      <c r="F380" s="1">
        <v>78</v>
      </c>
      <c r="G380" s="1">
        <v>70</v>
      </c>
      <c r="H380" s="1">
        <v>71</v>
      </c>
      <c r="I380">
        <f t="shared" si="25"/>
        <v>219</v>
      </c>
      <c r="J380">
        <f t="shared" si="26"/>
        <v>0</v>
      </c>
      <c r="K380">
        <f t="shared" si="27"/>
        <v>218.5</v>
      </c>
      <c r="L380">
        <f t="shared" si="28"/>
        <v>218.5</v>
      </c>
      <c r="M380">
        <f t="shared" si="29"/>
        <v>47742.25</v>
      </c>
    </row>
    <row r="381" spans="1:13" ht="13.2" x14ac:dyDescent="0.25">
      <c r="A381" s="1" t="s">
        <v>8</v>
      </c>
      <c r="B381" s="1" t="s">
        <v>18</v>
      </c>
      <c r="C381" s="1" t="s">
        <v>22</v>
      </c>
      <c r="D381" s="1" t="s">
        <v>23</v>
      </c>
      <c r="E381" s="1" t="s">
        <v>17</v>
      </c>
      <c r="F381" s="1">
        <v>46</v>
      </c>
      <c r="G381" s="1">
        <v>58</v>
      </c>
      <c r="H381" s="1">
        <v>59</v>
      </c>
      <c r="I381">
        <f t="shared" si="25"/>
        <v>163</v>
      </c>
      <c r="J381">
        <f t="shared" si="26"/>
        <v>1</v>
      </c>
      <c r="K381">
        <f t="shared" si="27"/>
        <v>481</v>
      </c>
      <c r="L381">
        <f t="shared" si="28"/>
        <v>480</v>
      </c>
      <c r="M381">
        <f t="shared" si="29"/>
        <v>230400</v>
      </c>
    </row>
    <row r="382" spans="1:13" ht="13.2" x14ac:dyDescent="0.25">
      <c r="A382" s="1" t="s">
        <v>19</v>
      </c>
      <c r="B382" s="1" t="s">
        <v>13</v>
      </c>
      <c r="C382" s="1" t="s">
        <v>22</v>
      </c>
      <c r="D382" s="1" t="s">
        <v>11</v>
      </c>
      <c r="E382" s="1" t="s">
        <v>17</v>
      </c>
      <c r="F382" s="1">
        <v>75</v>
      </c>
      <c r="G382" s="1">
        <v>74</v>
      </c>
      <c r="H382" s="1">
        <v>77</v>
      </c>
      <c r="I382">
        <f t="shared" si="25"/>
        <v>226</v>
      </c>
      <c r="J382">
        <f t="shared" si="26"/>
        <v>1</v>
      </c>
      <c r="K382">
        <f t="shared" si="27"/>
        <v>186.5</v>
      </c>
      <c r="L382">
        <f t="shared" si="28"/>
        <v>185.5</v>
      </c>
      <c r="M382">
        <f t="shared" si="29"/>
        <v>34410.25</v>
      </c>
    </row>
    <row r="383" spans="1:13" ht="13.2" x14ac:dyDescent="0.25">
      <c r="A383" s="1" t="s">
        <v>8</v>
      </c>
      <c r="B383" s="1" t="s">
        <v>18</v>
      </c>
      <c r="C383" s="1" t="s">
        <v>22</v>
      </c>
      <c r="D383" s="1" t="s">
        <v>11</v>
      </c>
      <c r="E383" s="1" t="s">
        <v>17</v>
      </c>
      <c r="F383" s="1">
        <v>85</v>
      </c>
      <c r="G383" s="1">
        <v>84</v>
      </c>
      <c r="H383" s="1">
        <v>89</v>
      </c>
      <c r="I383">
        <f t="shared" si="25"/>
        <v>258</v>
      </c>
      <c r="J383">
        <f t="shared" si="26"/>
        <v>1</v>
      </c>
      <c r="K383">
        <f t="shared" si="27"/>
        <v>70</v>
      </c>
      <c r="L383">
        <f t="shared" si="28"/>
        <v>69</v>
      </c>
      <c r="M383">
        <f t="shared" si="29"/>
        <v>4761</v>
      </c>
    </row>
    <row r="384" spans="1:13" ht="13.2" x14ac:dyDescent="0.25">
      <c r="A384" s="1" t="s">
        <v>19</v>
      </c>
      <c r="B384" s="1" t="s">
        <v>21</v>
      </c>
      <c r="C384" s="1" t="s">
        <v>10</v>
      </c>
      <c r="D384" s="1" t="s">
        <v>23</v>
      </c>
      <c r="E384" s="1" t="s">
        <v>12</v>
      </c>
      <c r="F384" s="1">
        <v>60</v>
      </c>
      <c r="G384" s="1">
        <v>52</v>
      </c>
      <c r="H384" s="1">
        <v>51</v>
      </c>
      <c r="I384">
        <f t="shared" si="25"/>
        <v>163</v>
      </c>
      <c r="J384">
        <f t="shared" si="26"/>
        <v>0</v>
      </c>
      <c r="K384">
        <f t="shared" si="27"/>
        <v>481</v>
      </c>
      <c r="L384">
        <f t="shared" si="28"/>
        <v>481</v>
      </c>
      <c r="M384">
        <f t="shared" si="29"/>
        <v>231361</v>
      </c>
    </row>
    <row r="385" spans="1:13" ht="13.2" x14ac:dyDescent="0.25">
      <c r="A385" s="1" t="s">
        <v>8</v>
      </c>
      <c r="B385" s="1" t="s">
        <v>9</v>
      </c>
      <c r="C385" s="1" t="s">
        <v>22</v>
      </c>
      <c r="D385" s="1" t="s">
        <v>23</v>
      </c>
      <c r="E385" s="1" t="s">
        <v>12</v>
      </c>
      <c r="F385" s="1">
        <v>67</v>
      </c>
      <c r="G385" s="1">
        <v>79</v>
      </c>
      <c r="H385" s="1">
        <v>78</v>
      </c>
      <c r="I385">
        <f t="shared" si="25"/>
        <v>224</v>
      </c>
      <c r="J385">
        <f t="shared" si="26"/>
        <v>0</v>
      </c>
      <c r="K385">
        <f t="shared" si="27"/>
        <v>194</v>
      </c>
      <c r="L385">
        <f t="shared" si="28"/>
        <v>194</v>
      </c>
      <c r="M385">
        <f t="shared" si="29"/>
        <v>37636</v>
      </c>
    </row>
    <row r="386" spans="1:13" ht="13.2" x14ac:dyDescent="0.25">
      <c r="A386" s="1" t="s">
        <v>19</v>
      </c>
      <c r="B386" s="1" t="s">
        <v>9</v>
      </c>
      <c r="C386" s="1" t="s">
        <v>20</v>
      </c>
      <c r="D386" s="1" t="s">
        <v>11</v>
      </c>
      <c r="E386" s="1" t="s">
        <v>12</v>
      </c>
      <c r="F386" s="1">
        <v>54</v>
      </c>
      <c r="G386" s="1">
        <v>33</v>
      </c>
      <c r="H386" s="1">
        <v>39</v>
      </c>
      <c r="I386">
        <f t="shared" si="25"/>
        <v>126</v>
      </c>
      <c r="J386">
        <f t="shared" si="26"/>
        <v>0</v>
      </c>
      <c r="K386">
        <f t="shared" si="27"/>
        <v>575.5</v>
      </c>
      <c r="L386">
        <f t="shared" si="28"/>
        <v>575.5</v>
      </c>
      <c r="M386">
        <f t="shared" si="29"/>
        <v>331200.25</v>
      </c>
    </row>
    <row r="387" spans="1:13" ht="13.2" x14ac:dyDescent="0.25">
      <c r="A387" s="1" t="s">
        <v>19</v>
      </c>
      <c r="B387" s="1" t="s">
        <v>13</v>
      </c>
      <c r="C387" s="1" t="s">
        <v>22</v>
      </c>
      <c r="D387" s="1" t="s">
        <v>23</v>
      </c>
      <c r="E387" s="1" t="s">
        <v>12</v>
      </c>
      <c r="F387" s="1">
        <v>57</v>
      </c>
      <c r="G387" s="1">
        <v>61</v>
      </c>
      <c r="H387" s="1">
        <v>56</v>
      </c>
      <c r="I387">
        <f t="shared" ref="I387:I447" si="30">SUM(F387:H387)</f>
        <v>174</v>
      </c>
      <c r="J387">
        <f t="shared" ref="J387:J447" si="31">IF(E387="completed", 1, IF(E387="none", 0, ""))</f>
        <v>0</v>
      </c>
      <c r="K387">
        <f t="shared" ref="K387:K450" si="32">_xlfn.RANK.AVG(I387, I$2:I$601, 0)</f>
        <v>434</v>
      </c>
      <c r="L387">
        <f t="shared" ref="L387:L450" si="33">K387-J387</f>
        <v>434</v>
      </c>
      <c r="M387">
        <f t="shared" ref="M387:M450" si="34">L387^2</f>
        <v>188356</v>
      </c>
    </row>
    <row r="388" spans="1:13" ht="13.2" x14ac:dyDescent="0.25">
      <c r="A388" s="1" t="s">
        <v>19</v>
      </c>
      <c r="B388" s="1" t="s">
        <v>9</v>
      </c>
      <c r="C388" s="1" t="s">
        <v>20</v>
      </c>
      <c r="D388" s="1" t="s">
        <v>11</v>
      </c>
      <c r="E388" s="1" t="s">
        <v>12</v>
      </c>
      <c r="F388" s="1">
        <v>77</v>
      </c>
      <c r="G388" s="1">
        <v>77</v>
      </c>
      <c r="H388" s="1">
        <v>76</v>
      </c>
      <c r="I388">
        <f t="shared" si="30"/>
        <v>230</v>
      </c>
      <c r="J388">
        <f t="shared" si="31"/>
        <v>0</v>
      </c>
      <c r="K388">
        <f t="shared" si="32"/>
        <v>172.5</v>
      </c>
      <c r="L388">
        <f t="shared" si="33"/>
        <v>172.5</v>
      </c>
      <c r="M388">
        <f t="shared" si="34"/>
        <v>29756.25</v>
      </c>
    </row>
    <row r="389" spans="1:13" ht="13.2" x14ac:dyDescent="0.25">
      <c r="A389" s="1" t="s">
        <v>19</v>
      </c>
      <c r="B389" s="1" t="s">
        <v>13</v>
      </c>
      <c r="C389" s="1" t="s">
        <v>10</v>
      </c>
      <c r="D389" s="1" t="s">
        <v>11</v>
      </c>
      <c r="E389" s="1" t="s">
        <v>12</v>
      </c>
      <c r="F389" s="1">
        <v>84</v>
      </c>
      <c r="G389" s="1">
        <v>89</v>
      </c>
      <c r="H389" s="1">
        <v>79</v>
      </c>
      <c r="I389">
        <f t="shared" si="30"/>
        <v>252</v>
      </c>
      <c r="J389">
        <f t="shared" si="31"/>
        <v>0</v>
      </c>
      <c r="K389">
        <f t="shared" si="32"/>
        <v>88.5</v>
      </c>
      <c r="L389">
        <f t="shared" si="33"/>
        <v>88.5</v>
      </c>
      <c r="M389">
        <f t="shared" si="34"/>
        <v>7832.25</v>
      </c>
    </row>
    <row r="390" spans="1:13" ht="13.2" x14ac:dyDescent="0.25">
      <c r="A390" s="1" t="s">
        <v>19</v>
      </c>
      <c r="B390" s="1" t="s">
        <v>18</v>
      </c>
      <c r="C390" s="1" t="s">
        <v>22</v>
      </c>
      <c r="D390" s="1" t="s">
        <v>11</v>
      </c>
      <c r="E390" s="1" t="s">
        <v>12</v>
      </c>
      <c r="F390" s="1">
        <v>44</v>
      </c>
      <c r="G390" s="1">
        <v>34</v>
      </c>
      <c r="H390" s="1">
        <v>31</v>
      </c>
      <c r="I390">
        <f t="shared" si="30"/>
        <v>109</v>
      </c>
      <c r="J390">
        <f t="shared" si="31"/>
        <v>0</v>
      </c>
      <c r="K390">
        <f t="shared" si="32"/>
        <v>590</v>
      </c>
      <c r="L390">
        <f t="shared" si="33"/>
        <v>590</v>
      </c>
      <c r="M390">
        <f t="shared" si="34"/>
        <v>348100</v>
      </c>
    </row>
    <row r="391" spans="1:13" ht="13.2" x14ac:dyDescent="0.25">
      <c r="A391" s="1" t="s">
        <v>8</v>
      </c>
      <c r="B391" s="1" t="s">
        <v>15</v>
      </c>
      <c r="C391" s="1" t="s">
        <v>10</v>
      </c>
      <c r="D391" s="1" t="s">
        <v>11</v>
      </c>
      <c r="E391" s="1" t="s">
        <v>17</v>
      </c>
      <c r="F391" s="1">
        <v>61</v>
      </c>
      <c r="G391" s="1">
        <v>76</v>
      </c>
      <c r="H391" s="1">
        <v>76</v>
      </c>
      <c r="I391">
        <f t="shared" si="30"/>
        <v>213</v>
      </c>
      <c r="J391">
        <f t="shared" si="31"/>
        <v>1</v>
      </c>
      <c r="K391">
        <f t="shared" si="32"/>
        <v>241</v>
      </c>
      <c r="L391">
        <f t="shared" si="33"/>
        <v>240</v>
      </c>
      <c r="M391">
        <f t="shared" si="34"/>
        <v>57600</v>
      </c>
    </row>
    <row r="392" spans="1:13" ht="13.2" x14ac:dyDescent="0.25">
      <c r="A392" s="1" t="s">
        <v>8</v>
      </c>
      <c r="B392" s="1" t="s">
        <v>15</v>
      </c>
      <c r="C392" s="1" t="s">
        <v>14</v>
      </c>
      <c r="D392" s="1" t="s">
        <v>23</v>
      </c>
      <c r="E392" s="1" t="s">
        <v>12</v>
      </c>
      <c r="F392" s="1">
        <v>35</v>
      </c>
      <c r="G392" s="1">
        <v>51</v>
      </c>
      <c r="H392" s="1">
        <v>47</v>
      </c>
      <c r="I392">
        <f t="shared" si="30"/>
        <v>133</v>
      </c>
      <c r="J392">
        <f t="shared" si="31"/>
        <v>0</v>
      </c>
      <c r="K392">
        <f t="shared" si="32"/>
        <v>569.5</v>
      </c>
      <c r="L392">
        <f t="shared" si="33"/>
        <v>569.5</v>
      </c>
      <c r="M392">
        <f t="shared" si="34"/>
        <v>324330.25</v>
      </c>
    </row>
    <row r="393" spans="1:13" ht="13.2" x14ac:dyDescent="0.25">
      <c r="A393" s="1" t="s">
        <v>8</v>
      </c>
      <c r="B393" s="1" t="s">
        <v>13</v>
      </c>
      <c r="C393" s="1" t="s">
        <v>10</v>
      </c>
      <c r="D393" s="1" t="s">
        <v>11</v>
      </c>
      <c r="E393" s="1" t="s">
        <v>12</v>
      </c>
      <c r="F393" s="1">
        <v>69</v>
      </c>
      <c r="G393" s="1">
        <v>84</v>
      </c>
      <c r="H393" s="1">
        <v>78</v>
      </c>
      <c r="I393">
        <f t="shared" si="30"/>
        <v>231</v>
      </c>
      <c r="J393">
        <f t="shared" si="31"/>
        <v>0</v>
      </c>
      <c r="K393">
        <f t="shared" si="32"/>
        <v>168</v>
      </c>
      <c r="L393">
        <f t="shared" si="33"/>
        <v>168</v>
      </c>
      <c r="M393">
        <f t="shared" si="34"/>
        <v>28224</v>
      </c>
    </row>
    <row r="394" spans="1:13" ht="13.2" x14ac:dyDescent="0.25">
      <c r="A394" s="1" t="s">
        <v>19</v>
      </c>
      <c r="B394" s="1" t="s">
        <v>9</v>
      </c>
      <c r="C394" s="1" t="s">
        <v>14</v>
      </c>
      <c r="D394" s="1" t="s">
        <v>11</v>
      </c>
      <c r="E394" s="1" t="s">
        <v>17</v>
      </c>
      <c r="F394" s="1">
        <v>77</v>
      </c>
      <c r="G394" s="1">
        <v>65</v>
      </c>
      <c r="H394" s="1">
        <v>71</v>
      </c>
      <c r="I394">
        <f t="shared" si="30"/>
        <v>213</v>
      </c>
      <c r="J394">
        <f t="shared" si="31"/>
        <v>1</v>
      </c>
      <c r="K394">
        <f t="shared" si="32"/>
        <v>241</v>
      </c>
      <c r="L394">
        <f t="shared" si="33"/>
        <v>240</v>
      </c>
      <c r="M394">
        <f t="shared" si="34"/>
        <v>57600</v>
      </c>
    </row>
    <row r="395" spans="1:13" ht="13.2" x14ac:dyDescent="0.25">
      <c r="A395" s="1" t="s">
        <v>8</v>
      </c>
      <c r="B395" s="1" t="s">
        <v>18</v>
      </c>
      <c r="C395" s="1" t="s">
        <v>22</v>
      </c>
      <c r="D395" s="1" t="s">
        <v>23</v>
      </c>
      <c r="E395" s="1" t="s">
        <v>17</v>
      </c>
      <c r="F395" s="1">
        <v>43</v>
      </c>
      <c r="G395" s="1">
        <v>62</v>
      </c>
      <c r="H395" s="1">
        <v>55</v>
      </c>
      <c r="I395">
        <f t="shared" si="30"/>
        <v>160</v>
      </c>
      <c r="J395">
        <f t="shared" si="31"/>
        <v>1</v>
      </c>
      <c r="K395">
        <f t="shared" si="32"/>
        <v>490.5</v>
      </c>
      <c r="L395">
        <f t="shared" si="33"/>
        <v>489.5</v>
      </c>
      <c r="M395">
        <f t="shared" si="34"/>
        <v>239610.25</v>
      </c>
    </row>
    <row r="396" spans="1:13" ht="13.2" x14ac:dyDescent="0.25">
      <c r="A396" s="1" t="s">
        <v>19</v>
      </c>
      <c r="B396" s="1" t="s">
        <v>13</v>
      </c>
      <c r="C396" s="1" t="s">
        <v>16</v>
      </c>
      <c r="D396" s="1" t="s">
        <v>11</v>
      </c>
      <c r="E396" s="1" t="s">
        <v>12</v>
      </c>
      <c r="F396" s="1">
        <v>58</v>
      </c>
      <c r="G396" s="1">
        <v>60</v>
      </c>
      <c r="H396" s="1">
        <v>57</v>
      </c>
      <c r="I396">
        <f t="shared" si="30"/>
        <v>175</v>
      </c>
      <c r="J396">
        <f t="shared" si="31"/>
        <v>0</v>
      </c>
      <c r="K396">
        <f t="shared" si="32"/>
        <v>426.5</v>
      </c>
      <c r="L396">
        <f t="shared" si="33"/>
        <v>426.5</v>
      </c>
      <c r="M396">
        <f t="shared" si="34"/>
        <v>181902.25</v>
      </c>
    </row>
    <row r="397" spans="1:13" ht="13.2" x14ac:dyDescent="0.25">
      <c r="A397" s="1" t="s">
        <v>19</v>
      </c>
      <c r="B397" s="1" t="s">
        <v>9</v>
      </c>
      <c r="C397" s="1" t="s">
        <v>14</v>
      </c>
      <c r="D397" s="1" t="s">
        <v>11</v>
      </c>
      <c r="E397" s="1" t="s">
        <v>17</v>
      </c>
      <c r="F397" s="1">
        <v>65</v>
      </c>
      <c r="G397" s="1">
        <v>67</v>
      </c>
      <c r="H397" s="1">
        <v>68</v>
      </c>
      <c r="I397">
        <f t="shared" si="30"/>
        <v>200</v>
      </c>
      <c r="J397">
        <f t="shared" si="31"/>
        <v>1</v>
      </c>
      <c r="K397">
        <f t="shared" si="32"/>
        <v>300.5</v>
      </c>
      <c r="L397">
        <f t="shared" si="33"/>
        <v>299.5</v>
      </c>
      <c r="M397">
        <f t="shared" si="34"/>
        <v>89700.25</v>
      </c>
    </row>
    <row r="398" spans="1:13" ht="13.2" x14ac:dyDescent="0.25">
      <c r="A398" s="1" t="s">
        <v>8</v>
      </c>
      <c r="B398" s="1" t="s">
        <v>15</v>
      </c>
      <c r="C398" s="1" t="s">
        <v>20</v>
      </c>
      <c r="D398" s="1" t="s">
        <v>23</v>
      </c>
      <c r="E398" s="1" t="s">
        <v>17</v>
      </c>
      <c r="F398" s="1">
        <v>44</v>
      </c>
      <c r="G398" s="1">
        <v>62</v>
      </c>
      <c r="H398" s="1">
        <v>62</v>
      </c>
      <c r="I398">
        <f t="shared" si="30"/>
        <v>168</v>
      </c>
      <c r="J398">
        <f t="shared" si="31"/>
        <v>1</v>
      </c>
      <c r="K398">
        <f t="shared" si="32"/>
        <v>463</v>
      </c>
      <c r="L398">
        <f t="shared" si="33"/>
        <v>462</v>
      </c>
      <c r="M398">
        <f t="shared" si="34"/>
        <v>213444</v>
      </c>
    </row>
    <row r="399" spans="1:13" ht="13.2" x14ac:dyDescent="0.25">
      <c r="A399" s="1" t="s">
        <v>8</v>
      </c>
      <c r="B399" s="1" t="s">
        <v>21</v>
      </c>
      <c r="C399" s="1" t="s">
        <v>10</v>
      </c>
      <c r="D399" s="1" t="s">
        <v>11</v>
      </c>
      <c r="E399" s="1" t="s">
        <v>12</v>
      </c>
      <c r="F399" s="1">
        <v>80</v>
      </c>
      <c r="G399" s="1">
        <v>86</v>
      </c>
      <c r="H399" s="1">
        <v>82</v>
      </c>
      <c r="I399">
        <f t="shared" si="30"/>
        <v>248</v>
      </c>
      <c r="J399">
        <f t="shared" si="31"/>
        <v>0</v>
      </c>
      <c r="K399">
        <f t="shared" si="32"/>
        <v>103</v>
      </c>
      <c r="L399">
        <f t="shared" si="33"/>
        <v>103</v>
      </c>
      <c r="M399">
        <f t="shared" si="34"/>
        <v>10609</v>
      </c>
    </row>
    <row r="400" spans="1:13" ht="13.2" x14ac:dyDescent="0.25">
      <c r="A400" s="1" t="s">
        <v>19</v>
      </c>
      <c r="B400" s="1" t="s">
        <v>18</v>
      </c>
      <c r="C400" s="1" t="s">
        <v>10</v>
      </c>
      <c r="D400" s="1" t="s">
        <v>11</v>
      </c>
      <c r="E400" s="1" t="s">
        <v>12</v>
      </c>
      <c r="F400" s="1">
        <v>70</v>
      </c>
      <c r="G400" s="1">
        <v>67</v>
      </c>
      <c r="H400" s="1">
        <v>65</v>
      </c>
      <c r="I400">
        <f t="shared" si="30"/>
        <v>202</v>
      </c>
      <c r="J400">
        <f t="shared" si="31"/>
        <v>0</v>
      </c>
      <c r="K400">
        <f t="shared" si="32"/>
        <v>292</v>
      </c>
      <c r="L400">
        <f t="shared" si="33"/>
        <v>292</v>
      </c>
      <c r="M400">
        <f t="shared" si="34"/>
        <v>85264</v>
      </c>
    </row>
    <row r="401" spans="1:13" ht="13.2" x14ac:dyDescent="0.25">
      <c r="A401" s="1" t="s">
        <v>19</v>
      </c>
      <c r="B401" s="1" t="s">
        <v>9</v>
      </c>
      <c r="C401" s="1" t="s">
        <v>20</v>
      </c>
      <c r="D401" s="1" t="s">
        <v>23</v>
      </c>
      <c r="E401" s="1" t="s">
        <v>17</v>
      </c>
      <c r="F401" s="1">
        <v>58</v>
      </c>
      <c r="G401" s="1">
        <v>56</v>
      </c>
      <c r="H401" s="1">
        <v>58</v>
      </c>
      <c r="I401">
        <f t="shared" si="30"/>
        <v>172</v>
      </c>
      <c r="J401">
        <f t="shared" si="31"/>
        <v>1</v>
      </c>
      <c r="K401">
        <f t="shared" si="32"/>
        <v>445</v>
      </c>
      <c r="L401">
        <f t="shared" si="33"/>
        <v>444</v>
      </c>
      <c r="M401">
        <f t="shared" si="34"/>
        <v>197136</v>
      </c>
    </row>
    <row r="402" spans="1:13" ht="13.2" x14ac:dyDescent="0.25">
      <c r="A402" s="1" t="s">
        <v>8</v>
      </c>
      <c r="B402" s="1" t="s">
        <v>21</v>
      </c>
      <c r="C402" s="1" t="s">
        <v>20</v>
      </c>
      <c r="D402" s="1" t="s">
        <v>11</v>
      </c>
      <c r="E402" s="1" t="s">
        <v>12</v>
      </c>
      <c r="F402" s="1">
        <v>98</v>
      </c>
      <c r="G402" s="1">
        <v>100</v>
      </c>
      <c r="H402" s="1">
        <v>95</v>
      </c>
      <c r="I402">
        <f t="shared" si="30"/>
        <v>293</v>
      </c>
      <c r="J402">
        <f t="shared" si="31"/>
        <v>0</v>
      </c>
      <c r="K402">
        <f t="shared" si="32"/>
        <v>8</v>
      </c>
      <c r="L402">
        <f t="shared" si="33"/>
        <v>8</v>
      </c>
      <c r="M402">
        <f t="shared" si="34"/>
        <v>64</v>
      </c>
    </row>
    <row r="403" spans="1:13" ht="13.2" x14ac:dyDescent="0.25">
      <c r="A403" s="1" t="s">
        <v>19</v>
      </c>
      <c r="B403" s="1" t="s">
        <v>13</v>
      </c>
      <c r="C403" s="1" t="s">
        <v>14</v>
      </c>
      <c r="D403" s="1" t="s">
        <v>11</v>
      </c>
      <c r="E403" s="1" t="s">
        <v>12</v>
      </c>
      <c r="F403" s="1">
        <v>41</v>
      </c>
      <c r="G403" s="1">
        <v>31</v>
      </c>
      <c r="H403" s="1">
        <v>27</v>
      </c>
      <c r="I403">
        <f t="shared" si="30"/>
        <v>99</v>
      </c>
      <c r="J403">
        <f t="shared" si="31"/>
        <v>0</v>
      </c>
      <c r="K403">
        <f t="shared" si="32"/>
        <v>594</v>
      </c>
      <c r="L403">
        <f t="shared" si="33"/>
        <v>594</v>
      </c>
      <c r="M403">
        <f t="shared" si="34"/>
        <v>352836</v>
      </c>
    </row>
    <row r="404" spans="1:13" ht="13.2" x14ac:dyDescent="0.25">
      <c r="A404" s="1" t="s">
        <v>8</v>
      </c>
      <c r="B404" s="1" t="s">
        <v>18</v>
      </c>
      <c r="C404" s="1" t="s">
        <v>20</v>
      </c>
      <c r="D404" s="1" t="s">
        <v>11</v>
      </c>
      <c r="E404" s="1" t="s">
        <v>12</v>
      </c>
      <c r="F404" s="1">
        <v>69</v>
      </c>
      <c r="G404" s="1">
        <v>68</v>
      </c>
      <c r="H404" s="1">
        <v>67</v>
      </c>
      <c r="I404">
        <f t="shared" si="30"/>
        <v>204</v>
      </c>
      <c r="J404">
        <f t="shared" si="31"/>
        <v>0</v>
      </c>
      <c r="K404">
        <f t="shared" si="32"/>
        <v>281.5</v>
      </c>
      <c r="L404">
        <f t="shared" si="33"/>
        <v>281.5</v>
      </c>
      <c r="M404">
        <f t="shared" si="34"/>
        <v>79242.25</v>
      </c>
    </row>
    <row r="405" spans="1:13" ht="13.2" x14ac:dyDescent="0.25">
      <c r="A405" s="1" t="s">
        <v>8</v>
      </c>
      <c r="B405" s="1" t="s">
        <v>18</v>
      </c>
      <c r="C405" s="1" t="s">
        <v>22</v>
      </c>
      <c r="D405" s="1" t="s">
        <v>23</v>
      </c>
      <c r="E405" s="1" t="s">
        <v>17</v>
      </c>
      <c r="F405" s="1">
        <v>69</v>
      </c>
      <c r="G405" s="1">
        <v>79</v>
      </c>
      <c r="H405" s="1">
        <v>79</v>
      </c>
      <c r="I405">
        <f t="shared" si="30"/>
        <v>227</v>
      </c>
      <c r="J405">
        <f t="shared" si="31"/>
        <v>1</v>
      </c>
      <c r="K405">
        <f t="shared" si="32"/>
        <v>180</v>
      </c>
      <c r="L405">
        <f t="shared" si="33"/>
        <v>179</v>
      </c>
      <c r="M405">
        <f t="shared" si="34"/>
        <v>32041</v>
      </c>
    </row>
    <row r="406" spans="1:13" ht="13.2" x14ac:dyDescent="0.25">
      <c r="A406" s="1" t="s">
        <v>19</v>
      </c>
      <c r="B406" s="1" t="s">
        <v>9</v>
      </c>
      <c r="C406" s="1" t="s">
        <v>16</v>
      </c>
      <c r="D406" s="1" t="s">
        <v>23</v>
      </c>
      <c r="E406" s="1" t="s">
        <v>12</v>
      </c>
      <c r="F406" s="1">
        <v>85</v>
      </c>
      <c r="G406" s="1">
        <v>68</v>
      </c>
      <c r="H406" s="1">
        <v>69</v>
      </c>
      <c r="I406">
        <f t="shared" si="30"/>
        <v>222</v>
      </c>
      <c r="J406">
        <f t="shared" si="31"/>
        <v>0</v>
      </c>
      <c r="K406">
        <f t="shared" si="32"/>
        <v>206</v>
      </c>
      <c r="L406">
        <f t="shared" si="33"/>
        <v>206</v>
      </c>
      <c r="M406">
        <f t="shared" si="34"/>
        <v>42436</v>
      </c>
    </row>
    <row r="407" spans="1:13" ht="13.2" x14ac:dyDescent="0.25">
      <c r="A407" s="1" t="s">
        <v>8</v>
      </c>
      <c r="B407" s="1" t="s">
        <v>18</v>
      </c>
      <c r="C407" s="1" t="s">
        <v>22</v>
      </c>
      <c r="D407" s="1" t="s">
        <v>11</v>
      </c>
      <c r="E407" s="1" t="s">
        <v>12</v>
      </c>
      <c r="F407" s="1">
        <v>79</v>
      </c>
      <c r="G407" s="1">
        <v>97</v>
      </c>
      <c r="H407" s="1">
        <v>90</v>
      </c>
      <c r="I407">
        <f t="shared" si="30"/>
        <v>266</v>
      </c>
      <c r="J407">
        <f t="shared" si="31"/>
        <v>0</v>
      </c>
      <c r="K407">
        <f t="shared" si="32"/>
        <v>48.5</v>
      </c>
      <c r="L407">
        <f t="shared" si="33"/>
        <v>48.5</v>
      </c>
      <c r="M407">
        <f t="shared" si="34"/>
        <v>2352.25</v>
      </c>
    </row>
    <row r="408" spans="1:13" ht="13.2" x14ac:dyDescent="0.25">
      <c r="A408" s="1" t="s">
        <v>8</v>
      </c>
      <c r="B408" s="1" t="s">
        <v>13</v>
      </c>
      <c r="C408" s="1" t="s">
        <v>16</v>
      </c>
      <c r="D408" s="1" t="s">
        <v>11</v>
      </c>
      <c r="E408" s="1" t="s">
        <v>17</v>
      </c>
      <c r="F408" s="1">
        <v>67</v>
      </c>
      <c r="G408" s="1">
        <v>66</v>
      </c>
      <c r="H408" s="1">
        <v>74</v>
      </c>
      <c r="I408">
        <f t="shared" si="30"/>
        <v>207</v>
      </c>
      <c r="J408">
        <f t="shared" si="31"/>
        <v>1</v>
      </c>
      <c r="K408">
        <f t="shared" si="32"/>
        <v>268</v>
      </c>
      <c r="L408">
        <f t="shared" si="33"/>
        <v>267</v>
      </c>
      <c r="M408">
        <f t="shared" si="34"/>
        <v>71289</v>
      </c>
    </row>
    <row r="409" spans="1:13" ht="13.2" x14ac:dyDescent="0.25">
      <c r="A409" s="1" t="s">
        <v>19</v>
      </c>
      <c r="B409" s="1" t="s">
        <v>13</v>
      </c>
      <c r="C409" s="1" t="s">
        <v>10</v>
      </c>
      <c r="D409" s="1" t="s">
        <v>23</v>
      </c>
      <c r="E409" s="1" t="s">
        <v>12</v>
      </c>
      <c r="F409" s="1">
        <v>40</v>
      </c>
      <c r="G409" s="1">
        <v>48</v>
      </c>
      <c r="H409" s="1">
        <v>45</v>
      </c>
      <c r="I409">
        <f t="shared" si="30"/>
        <v>133</v>
      </c>
      <c r="J409">
        <f t="shared" si="31"/>
        <v>0</v>
      </c>
      <c r="K409">
        <f t="shared" si="32"/>
        <v>569.5</v>
      </c>
      <c r="L409">
        <f t="shared" si="33"/>
        <v>569.5</v>
      </c>
      <c r="M409">
        <f t="shared" si="34"/>
        <v>324330.25</v>
      </c>
    </row>
    <row r="410" spans="1:13" ht="13.2" x14ac:dyDescent="0.25">
      <c r="A410" s="1" t="s">
        <v>8</v>
      </c>
      <c r="B410" s="1" t="s">
        <v>13</v>
      </c>
      <c r="C410" s="1" t="s">
        <v>16</v>
      </c>
      <c r="D410" s="1" t="s">
        <v>11</v>
      </c>
      <c r="E410" s="1" t="s">
        <v>12</v>
      </c>
      <c r="F410" s="1">
        <v>45</v>
      </c>
      <c r="G410" s="1">
        <v>53</v>
      </c>
      <c r="H410" s="1">
        <v>56</v>
      </c>
      <c r="I410">
        <f t="shared" si="30"/>
        <v>154</v>
      </c>
      <c r="J410">
        <f t="shared" si="31"/>
        <v>0</v>
      </c>
      <c r="K410">
        <f t="shared" si="32"/>
        <v>515.5</v>
      </c>
      <c r="L410">
        <f t="shared" si="33"/>
        <v>515.5</v>
      </c>
      <c r="M410">
        <f t="shared" si="34"/>
        <v>265740.25</v>
      </c>
    </row>
    <row r="411" spans="1:13" ht="13.2" x14ac:dyDescent="0.25">
      <c r="A411" s="1" t="s">
        <v>19</v>
      </c>
      <c r="B411" s="1" t="s">
        <v>15</v>
      </c>
      <c r="C411" s="1" t="s">
        <v>16</v>
      </c>
      <c r="D411" s="1" t="s">
        <v>11</v>
      </c>
      <c r="E411" s="1" t="s">
        <v>17</v>
      </c>
      <c r="F411" s="1">
        <v>45</v>
      </c>
      <c r="G411" s="1">
        <v>51</v>
      </c>
      <c r="H411" s="1">
        <v>39</v>
      </c>
      <c r="I411">
        <f t="shared" si="30"/>
        <v>135</v>
      </c>
      <c r="J411">
        <f t="shared" si="31"/>
        <v>1</v>
      </c>
      <c r="K411">
        <f t="shared" si="32"/>
        <v>564.5</v>
      </c>
      <c r="L411">
        <f t="shared" si="33"/>
        <v>563.5</v>
      </c>
      <c r="M411">
        <f t="shared" si="34"/>
        <v>317532.25</v>
      </c>
    </row>
    <row r="412" spans="1:13" ht="13.2" x14ac:dyDescent="0.25">
      <c r="A412" s="1" t="s">
        <v>19</v>
      </c>
      <c r="B412" s="1" t="s">
        <v>18</v>
      </c>
      <c r="C412" s="1" t="s">
        <v>16</v>
      </c>
      <c r="D412" s="1" t="s">
        <v>23</v>
      </c>
      <c r="E412" s="1" t="s">
        <v>12</v>
      </c>
      <c r="F412" s="1">
        <v>39</v>
      </c>
      <c r="G412" s="1">
        <v>58</v>
      </c>
      <c r="H412" s="1">
        <v>47</v>
      </c>
      <c r="I412">
        <f t="shared" si="30"/>
        <v>144</v>
      </c>
      <c r="J412">
        <f t="shared" si="31"/>
        <v>0</v>
      </c>
      <c r="K412">
        <f t="shared" si="32"/>
        <v>540</v>
      </c>
      <c r="L412">
        <f t="shared" si="33"/>
        <v>540</v>
      </c>
      <c r="M412">
        <f t="shared" si="34"/>
        <v>291600</v>
      </c>
    </row>
    <row r="413" spans="1:13" ht="13.2" x14ac:dyDescent="0.25">
      <c r="A413" s="1" t="s">
        <v>8</v>
      </c>
      <c r="B413" s="1" t="s">
        <v>13</v>
      </c>
      <c r="C413" s="1" t="s">
        <v>10</v>
      </c>
      <c r="D413" s="1" t="s">
        <v>23</v>
      </c>
      <c r="E413" s="1" t="s">
        <v>12</v>
      </c>
      <c r="F413" s="1">
        <v>55</v>
      </c>
      <c r="G413" s="1">
        <v>65</v>
      </c>
      <c r="H413" s="1">
        <v>58</v>
      </c>
      <c r="I413">
        <f t="shared" si="30"/>
        <v>178</v>
      </c>
      <c r="J413">
        <f t="shared" si="31"/>
        <v>0</v>
      </c>
      <c r="K413">
        <f t="shared" si="32"/>
        <v>414.5</v>
      </c>
      <c r="L413">
        <f t="shared" si="33"/>
        <v>414.5</v>
      </c>
      <c r="M413">
        <f t="shared" si="34"/>
        <v>171810.25</v>
      </c>
    </row>
    <row r="414" spans="1:13" ht="13.2" x14ac:dyDescent="0.25">
      <c r="A414" s="1" t="s">
        <v>8</v>
      </c>
      <c r="B414" s="1" t="s">
        <v>21</v>
      </c>
      <c r="C414" s="1" t="s">
        <v>14</v>
      </c>
      <c r="D414" s="1" t="s">
        <v>11</v>
      </c>
      <c r="E414" s="1" t="s">
        <v>17</v>
      </c>
      <c r="F414" s="1">
        <v>64</v>
      </c>
      <c r="G414" s="1">
        <v>59</v>
      </c>
      <c r="H414" s="1">
        <v>63</v>
      </c>
      <c r="I414">
        <f t="shared" si="30"/>
        <v>186</v>
      </c>
      <c r="J414">
        <f t="shared" si="31"/>
        <v>1</v>
      </c>
      <c r="K414">
        <f t="shared" si="32"/>
        <v>385.5</v>
      </c>
      <c r="L414">
        <f t="shared" si="33"/>
        <v>384.5</v>
      </c>
      <c r="M414">
        <f t="shared" si="34"/>
        <v>147840.25</v>
      </c>
    </row>
    <row r="415" spans="1:13" ht="13.2" x14ac:dyDescent="0.25">
      <c r="A415" s="1" t="s">
        <v>8</v>
      </c>
      <c r="B415" s="1" t="s">
        <v>18</v>
      </c>
      <c r="C415" s="1" t="s">
        <v>10</v>
      </c>
      <c r="D415" s="1" t="s">
        <v>11</v>
      </c>
      <c r="E415" s="1" t="s">
        <v>17</v>
      </c>
      <c r="F415" s="1">
        <v>38</v>
      </c>
      <c r="G415" s="1">
        <v>53</v>
      </c>
      <c r="H415" s="1">
        <v>55</v>
      </c>
      <c r="I415">
        <f t="shared" si="30"/>
        <v>146</v>
      </c>
      <c r="J415">
        <f t="shared" si="31"/>
        <v>1</v>
      </c>
      <c r="K415">
        <f t="shared" si="32"/>
        <v>532</v>
      </c>
      <c r="L415">
        <f t="shared" si="33"/>
        <v>531</v>
      </c>
      <c r="M415">
        <f t="shared" si="34"/>
        <v>281961</v>
      </c>
    </row>
    <row r="416" spans="1:13" ht="13.2" x14ac:dyDescent="0.25">
      <c r="A416" s="1" t="s">
        <v>19</v>
      </c>
      <c r="B416" s="1" t="s">
        <v>13</v>
      </c>
      <c r="C416" s="1" t="s">
        <v>14</v>
      </c>
      <c r="D416" s="1" t="s">
        <v>23</v>
      </c>
      <c r="E416" s="1" t="s">
        <v>12</v>
      </c>
      <c r="F416" s="1">
        <v>59</v>
      </c>
      <c r="G416" s="1">
        <v>51</v>
      </c>
      <c r="H416" s="1">
        <v>53</v>
      </c>
      <c r="I416">
        <f t="shared" si="30"/>
        <v>163</v>
      </c>
      <c r="J416">
        <f t="shared" si="31"/>
        <v>0</v>
      </c>
      <c r="K416">
        <f t="shared" si="32"/>
        <v>481</v>
      </c>
      <c r="L416">
        <f t="shared" si="33"/>
        <v>481</v>
      </c>
      <c r="M416">
        <f t="shared" si="34"/>
        <v>231361</v>
      </c>
    </row>
    <row r="417" spans="1:13" ht="13.2" x14ac:dyDescent="0.25">
      <c r="A417" s="1" t="s">
        <v>19</v>
      </c>
      <c r="B417" s="1" t="s">
        <v>13</v>
      </c>
      <c r="C417" s="1" t="s">
        <v>22</v>
      </c>
      <c r="D417" s="1" t="s">
        <v>11</v>
      </c>
      <c r="E417" s="1" t="s">
        <v>12</v>
      </c>
      <c r="F417" s="1">
        <v>92</v>
      </c>
      <c r="G417" s="1">
        <v>80</v>
      </c>
      <c r="H417" s="1">
        <v>78</v>
      </c>
      <c r="I417">
        <f t="shared" si="30"/>
        <v>250</v>
      </c>
      <c r="J417">
        <f t="shared" si="31"/>
        <v>0</v>
      </c>
      <c r="K417">
        <f t="shared" si="32"/>
        <v>94.5</v>
      </c>
      <c r="L417">
        <f t="shared" si="33"/>
        <v>94.5</v>
      </c>
      <c r="M417">
        <f t="shared" si="34"/>
        <v>8930.25</v>
      </c>
    </row>
    <row r="418" spans="1:13" ht="13.2" x14ac:dyDescent="0.25">
      <c r="A418" s="1" t="s">
        <v>8</v>
      </c>
      <c r="B418" s="1" t="s">
        <v>13</v>
      </c>
      <c r="C418" s="1" t="s">
        <v>20</v>
      </c>
      <c r="D418" s="1" t="s">
        <v>23</v>
      </c>
      <c r="E418" s="1" t="s">
        <v>12</v>
      </c>
      <c r="F418" s="1">
        <v>46</v>
      </c>
      <c r="G418" s="1">
        <v>68</v>
      </c>
      <c r="H418" s="1">
        <v>67</v>
      </c>
      <c r="I418">
        <f t="shared" si="30"/>
        <v>181</v>
      </c>
      <c r="J418">
        <f t="shared" si="31"/>
        <v>0</v>
      </c>
      <c r="K418">
        <f t="shared" si="32"/>
        <v>405.5</v>
      </c>
      <c r="L418">
        <f t="shared" si="33"/>
        <v>405.5</v>
      </c>
      <c r="M418">
        <f t="shared" si="34"/>
        <v>164430.25</v>
      </c>
    </row>
    <row r="419" spans="1:13" ht="13.2" x14ac:dyDescent="0.25">
      <c r="A419" s="1" t="s">
        <v>19</v>
      </c>
      <c r="B419" s="1" t="s">
        <v>13</v>
      </c>
      <c r="C419" s="1" t="s">
        <v>24</v>
      </c>
      <c r="D419" s="1" t="s">
        <v>23</v>
      </c>
      <c r="E419" s="1" t="s">
        <v>17</v>
      </c>
      <c r="F419" s="1">
        <v>78</v>
      </c>
      <c r="G419" s="1">
        <v>81</v>
      </c>
      <c r="H419" s="1">
        <v>77</v>
      </c>
      <c r="I419">
        <f t="shared" si="30"/>
        <v>236</v>
      </c>
      <c r="J419">
        <f t="shared" si="31"/>
        <v>1</v>
      </c>
      <c r="K419">
        <f t="shared" si="32"/>
        <v>148.5</v>
      </c>
      <c r="L419">
        <f t="shared" si="33"/>
        <v>147.5</v>
      </c>
      <c r="M419">
        <f t="shared" si="34"/>
        <v>21756.25</v>
      </c>
    </row>
    <row r="420" spans="1:13" ht="13.2" x14ac:dyDescent="0.25">
      <c r="A420" s="1" t="s">
        <v>19</v>
      </c>
      <c r="B420" s="1" t="s">
        <v>15</v>
      </c>
      <c r="C420" s="1" t="s">
        <v>22</v>
      </c>
      <c r="D420" s="1" t="s">
        <v>11</v>
      </c>
      <c r="E420" s="1" t="s">
        <v>12</v>
      </c>
      <c r="F420" s="1">
        <v>63</v>
      </c>
      <c r="G420" s="1">
        <v>53</v>
      </c>
      <c r="H420" s="1">
        <v>48</v>
      </c>
      <c r="I420">
        <f t="shared" si="30"/>
        <v>164</v>
      </c>
      <c r="J420">
        <f t="shared" si="31"/>
        <v>0</v>
      </c>
      <c r="K420">
        <f t="shared" si="32"/>
        <v>478</v>
      </c>
      <c r="L420">
        <f t="shared" si="33"/>
        <v>478</v>
      </c>
      <c r="M420">
        <f t="shared" si="34"/>
        <v>228484</v>
      </c>
    </row>
    <row r="421" spans="1:13" ht="13.2" x14ac:dyDescent="0.25">
      <c r="A421" s="1" t="s">
        <v>8</v>
      </c>
      <c r="B421" s="1" t="s">
        <v>18</v>
      </c>
      <c r="C421" s="1" t="s">
        <v>24</v>
      </c>
      <c r="D421" s="1" t="s">
        <v>11</v>
      </c>
      <c r="E421" s="1" t="s">
        <v>12</v>
      </c>
      <c r="F421" s="1">
        <v>52</v>
      </c>
      <c r="G421" s="1">
        <v>64</v>
      </c>
      <c r="H421" s="1">
        <v>69</v>
      </c>
      <c r="I421">
        <f t="shared" si="30"/>
        <v>185</v>
      </c>
      <c r="J421">
        <f t="shared" si="31"/>
        <v>0</v>
      </c>
      <c r="K421">
        <f t="shared" si="32"/>
        <v>389.5</v>
      </c>
      <c r="L421">
        <f t="shared" si="33"/>
        <v>389.5</v>
      </c>
      <c r="M421">
        <f t="shared" si="34"/>
        <v>151710.25</v>
      </c>
    </row>
    <row r="422" spans="1:13" ht="13.2" x14ac:dyDescent="0.25">
      <c r="A422" s="1" t="s">
        <v>19</v>
      </c>
      <c r="B422" s="1" t="s">
        <v>15</v>
      </c>
      <c r="C422" s="1" t="s">
        <v>10</v>
      </c>
      <c r="D422" s="1" t="s">
        <v>11</v>
      </c>
      <c r="E422" s="1" t="s">
        <v>17</v>
      </c>
      <c r="F422" s="1">
        <v>55</v>
      </c>
      <c r="G422" s="1">
        <v>51</v>
      </c>
      <c r="H422" s="1">
        <v>46</v>
      </c>
      <c r="I422">
        <f t="shared" si="30"/>
        <v>152</v>
      </c>
      <c r="J422">
        <f t="shared" si="31"/>
        <v>1</v>
      </c>
      <c r="K422">
        <f t="shared" si="32"/>
        <v>522.5</v>
      </c>
      <c r="L422">
        <f t="shared" si="33"/>
        <v>521.5</v>
      </c>
      <c r="M422">
        <f t="shared" si="34"/>
        <v>271962.25</v>
      </c>
    </row>
    <row r="423" spans="1:13" ht="13.2" x14ac:dyDescent="0.25">
      <c r="A423" s="1" t="s">
        <v>8</v>
      </c>
      <c r="B423" s="1" t="s">
        <v>9</v>
      </c>
      <c r="C423" s="1" t="s">
        <v>14</v>
      </c>
      <c r="D423" s="1" t="s">
        <v>23</v>
      </c>
      <c r="E423" s="1" t="s">
        <v>12</v>
      </c>
      <c r="F423" s="1">
        <v>62</v>
      </c>
      <c r="G423" s="1">
        <v>82</v>
      </c>
      <c r="H423" s="1">
        <v>68</v>
      </c>
      <c r="I423">
        <f t="shared" si="30"/>
        <v>212</v>
      </c>
      <c r="J423">
        <f t="shared" si="31"/>
        <v>0</v>
      </c>
      <c r="K423">
        <f t="shared" si="32"/>
        <v>245.5</v>
      </c>
      <c r="L423">
        <f t="shared" si="33"/>
        <v>245.5</v>
      </c>
      <c r="M423">
        <f t="shared" si="34"/>
        <v>60270.25</v>
      </c>
    </row>
    <row r="424" spans="1:13" ht="13.2" x14ac:dyDescent="0.25">
      <c r="A424" s="1" t="s">
        <v>19</v>
      </c>
      <c r="B424" s="1" t="s">
        <v>9</v>
      </c>
      <c r="C424" s="1" t="s">
        <v>10</v>
      </c>
      <c r="D424" s="1" t="s">
        <v>11</v>
      </c>
      <c r="E424" s="1" t="s">
        <v>12</v>
      </c>
      <c r="F424" s="1">
        <v>88</v>
      </c>
      <c r="G424" s="1">
        <v>77</v>
      </c>
      <c r="H424" s="1">
        <v>78</v>
      </c>
      <c r="I424">
        <f t="shared" si="30"/>
        <v>243</v>
      </c>
      <c r="J424">
        <f t="shared" si="31"/>
        <v>0</v>
      </c>
      <c r="K424">
        <f t="shared" si="32"/>
        <v>119.5</v>
      </c>
      <c r="L424">
        <f t="shared" si="33"/>
        <v>119.5</v>
      </c>
      <c r="M424">
        <f t="shared" si="34"/>
        <v>14280.25</v>
      </c>
    </row>
    <row r="425" spans="1:13" ht="13.2" x14ac:dyDescent="0.25">
      <c r="A425" s="1" t="s">
        <v>19</v>
      </c>
      <c r="B425" s="1" t="s">
        <v>13</v>
      </c>
      <c r="C425" s="1" t="s">
        <v>14</v>
      </c>
      <c r="D425" s="1" t="s">
        <v>23</v>
      </c>
      <c r="E425" s="1" t="s">
        <v>17</v>
      </c>
      <c r="F425" s="1">
        <v>93</v>
      </c>
      <c r="G425" s="1">
        <v>87</v>
      </c>
      <c r="H425" s="1">
        <v>87</v>
      </c>
      <c r="I425">
        <f>SUM(F425:H425)</f>
        <v>267</v>
      </c>
      <c r="J425">
        <f>IF(E425="completed", 1, IF(E425="none", 0, ""))</f>
        <v>1</v>
      </c>
      <c r="K425">
        <f t="shared" si="32"/>
        <v>47</v>
      </c>
      <c r="L425">
        <f t="shared" si="33"/>
        <v>46</v>
      </c>
      <c r="M425">
        <f t="shared" si="34"/>
        <v>2116</v>
      </c>
    </row>
    <row r="426" spans="1:13" ht="13.2" x14ac:dyDescent="0.25">
      <c r="A426" s="1" t="s">
        <v>19</v>
      </c>
      <c r="B426" s="1" t="s">
        <v>9</v>
      </c>
      <c r="C426" s="1" t="s">
        <v>20</v>
      </c>
      <c r="D426" s="1" t="s">
        <v>11</v>
      </c>
      <c r="E426" s="1" t="s">
        <v>12</v>
      </c>
      <c r="F426" s="1">
        <v>69</v>
      </c>
      <c r="G426" s="1">
        <v>66</v>
      </c>
      <c r="H426" s="1">
        <v>65</v>
      </c>
      <c r="I426">
        <f t="shared" si="30"/>
        <v>200</v>
      </c>
      <c r="J426">
        <f t="shared" si="31"/>
        <v>0</v>
      </c>
      <c r="K426">
        <f t="shared" si="32"/>
        <v>300.5</v>
      </c>
      <c r="L426">
        <f t="shared" si="33"/>
        <v>300.5</v>
      </c>
      <c r="M426">
        <f t="shared" si="34"/>
        <v>90300.25</v>
      </c>
    </row>
    <row r="427" spans="1:13" ht="13.2" x14ac:dyDescent="0.25">
      <c r="A427" s="1" t="s">
        <v>8</v>
      </c>
      <c r="B427" s="1" t="s">
        <v>15</v>
      </c>
      <c r="C427" s="1" t="s">
        <v>16</v>
      </c>
      <c r="D427" s="1" t="s">
        <v>23</v>
      </c>
      <c r="E427" s="1" t="s">
        <v>17</v>
      </c>
      <c r="F427" s="1">
        <v>66</v>
      </c>
      <c r="G427" s="1">
        <v>77</v>
      </c>
      <c r="H427" s="1">
        <v>79</v>
      </c>
      <c r="I427">
        <f>SUM(F427:H427)</f>
        <v>222</v>
      </c>
      <c r="J427">
        <f>IF(E427="completed", 1, IF(E427="none", 0, ""))</f>
        <v>1</v>
      </c>
      <c r="K427">
        <f t="shared" si="32"/>
        <v>206</v>
      </c>
      <c r="L427">
        <f t="shared" si="33"/>
        <v>205</v>
      </c>
      <c r="M427">
        <f t="shared" si="34"/>
        <v>42025</v>
      </c>
    </row>
    <row r="428" spans="1:13" ht="13.2" x14ac:dyDescent="0.25">
      <c r="A428" s="1" t="s">
        <v>19</v>
      </c>
      <c r="B428" s="1" t="s">
        <v>21</v>
      </c>
      <c r="C428" s="1" t="s">
        <v>22</v>
      </c>
      <c r="D428" s="1" t="s">
        <v>11</v>
      </c>
      <c r="E428" s="1" t="s">
        <v>17</v>
      </c>
      <c r="F428" s="1">
        <v>67</v>
      </c>
      <c r="G428" s="1">
        <v>64</v>
      </c>
      <c r="H428" s="1">
        <v>63</v>
      </c>
      <c r="I428">
        <f>SUM(F428:H428)</f>
        <v>194</v>
      </c>
      <c r="J428">
        <f>IF(E428="completed", 1, IF(E428="none", 0, ""))</f>
        <v>1</v>
      </c>
      <c r="K428">
        <f t="shared" si="32"/>
        <v>338.5</v>
      </c>
      <c r="L428">
        <f t="shared" si="33"/>
        <v>337.5</v>
      </c>
      <c r="M428">
        <f t="shared" si="34"/>
        <v>113906.25</v>
      </c>
    </row>
    <row r="429" spans="1:13" ht="13.2" x14ac:dyDescent="0.25">
      <c r="A429" s="1" t="s">
        <v>8</v>
      </c>
      <c r="B429" s="1" t="s">
        <v>9</v>
      </c>
      <c r="C429" s="1" t="s">
        <v>24</v>
      </c>
      <c r="D429" s="1" t="s">
        <v>23</v>
      </c>
      <c r="E429" s="1" t="s">
        <v>12</v>
      </c>
      <c r="F429" s="1">
        <v>55</v>
      </c>
      <c r="G429" s="1">
        <v>65</v>
      </c>
      <c r="H429" s="1">
        <v>67</v>
      </c>
      <c r="I429">
        <f t="shared" si="30"/>
        <v>187</v>
      </c>
      <c r="J429">
        <f t="shared" si="31"/>
        <v>0</v>
      </c>
      <c r="K429">
        <f t="shared" si="32"/>
        <v>380</v>
      </c>
      <c r="L429">
        <f t="shared" si="33"/>
        <v>380</v>
      </c>
      <c r="M429">
        <f t="shared" si="34"/>
        <v>144400</v>
      </c>
    </row>
    <row r="430" spans="1:13" ht="13.2" x14ac:dyDescent="0.25">
      <c r="A430" s="1" t="s">
        <v>8</v>
      </c>
      <c r="B430" s="1" t="s">
        <v>21</v>
      </c>
      <c r="C430" s="1" t="s">
        <v>10</v>
      </c>
      <c r="D430" s="1" t="s">
        <v>23</v>
      </c>
      <c r="E430" s="1" t="s">
        <v>12</v>
      </c>
      <c r="F430" s="1">
        <v>66</v>
      </c>
      <c r="G430" s="1">
        <v>73</v>
      </c>
      <c r="H430" s="1">
        <v>67</v>
      </c>
      <c r="I430">
        <f t="shared" si="30"/>
        <v>206</v>
      </c>
      <c r="J430">
        <f t="shared" si="31"/>
        <v>0</v>
      </c>
      <c r="K430">
        <f t="shared" si="32"/>
        <v>272.5</v>
      </c>
      <c r="L430">
        <f t="shared" si="33"/>
        <v>272.5</v>
      </c>
      <c r="M430">
        <f t="shared" si="34"/>
        <v>74256.25</v>
      </c>
    </row>
    <row r="431" spans="1:13" ht="13.2" x14ac:dyDescent="0.25">
      <c r="A431" s="1" t="s">
        <v>8</v>
      </c>
      <c r="B431" s="1" t="s">
        <v>21</v>
      </c>
      <c r="C431" s="1" t="s">
        <v>22</v>
      </c>
      <c r="D431" s="1" t="s">
        <v>23</v>
      </c>
      <c r="E431" s="1" t="s">
        <v>12</v>
      </c>
      <c r="F431" s="1">
        <v>61</v>
      </c>
      <c r="G431" s="1">
        <v>71</v>
      </c>
      <c r="H431" s="1">
        <v>70</v>
      </c>
      <c r="I431">
        <f t="shared" si="30"/>
        <v>202</v>
      </c>
      <c r="J431">
        <f t="shared" si="31"/>
        <v>0</v>
      </c>
      <c r="K431">
        <f t="shared" si="32"/>
        <v>292</v>
      </c>
      <c r="L431">
        <f t="shared" si="33"/>
        <v>292</v>
      </c>
      <c r="M431">
        <f t="shared" si="34"/>
        <v>85264</v>
      </c>
    </row>
    <row r="432" spans="1:13" ht="13.2" x14ac:dyDescent="0.25">
      <c r="A432" s="1" t="s">
        <v>8</v>
      </c>
      <c r="B432" s="1" t="s">
        <v>15</v>
      </c>
      <c r="C432" s="1" t="s">
        <v>14</v>
      </c>
      <c r="D432" s="1" t="s">
        <v>11</v>
      </c>
      <c r="E432" s="1" t="s">
        <v>12</v>
      </c>
      <c r="F432" s="1">
        <v>55</v>
      </c>
      <c r="G432" s="1">
        <v>55</v>
      </c>
      <c r="H432" s="1">
        <v>58</v>
      </c>
      <c r="I432">
        <f t="shared" si="30"/>
        <v>168</v>
      </c>
      <c r="J432">
        <f t="shared" si="31"/>
        <v>0</v>
      </c>
      <c r="K432">
        <f t="shared" si="32"/>
        <v>463</v>
      </c>
      <c r="L432">
        <f t="shared" si="33"/>
        <v>463</v>
      </c>
      <c r="M432">
        <f t="shared" si="34"/>
        <v>214369</v>
      </c>
    </row>
    <row r="433" spans="1:13" ht="13.2" x14ac:dyDescent="0.25">
      <c r="A433" s="1" t="s">
        <v>8</v>
      </c>
      <c r="B433" s="1" t="s">
        <v>18</v>
      </c>
      <c r="C433" s="1" t="s">
        <v>14</v>
      </c>
      <c r="D433" s="1" t="s">
        <v>23</v>
      </c>
      <c r="E433" s="1" t="s">
        <v>12</v>
      </c>
      <c r="F433" s="1">
        <v>71</v>
      </c>
      <c r="G433" s="1">
        <v>90</v>
      </c>
      <c r="H433" s="1">
        <v>88</v>
      </c>
      <c r="I433">
        <f t="shared" si="30"/>
        <v>249</v>
      </c>
      <c r="J433">
        <f t="shared" si="31"/>
        <v>0</v>
      </c>
      <c r="K433">
        <f t="shared" si="32"/>
        <v>98</v>
      </c>
      <c r="L433">
        <f t="shared" si="33"/>
        <v>98</v>
      </c>
      <c r="M433">
        <f t="shared" si="34"/>
        <v>9604</v>
      </c>
    </row>
    <row r="434" spans="1:13" ht="13.2" x14ac:dyDescent="0.25">
      <c r="A434" s="1" t="s">
        <v>8</v>
      </c>
      <c r="B434" s="1" t="s">
        <v>13</v>
      </c>
      <c r="C434" s="1" t="s">
        <v>16</v>
      </c>
      <c r="D434" s="1" t="s">
        <v>11</v>
      </c>
      <c r="E434" s="1" t="s">
        <v>12</v>
      </c>
      <c r="F434" s="1">
        <v>49</v>
      </c>
      <c r="G434" s="1">
        <v>55</v>
      </c>
      <c r="H434" s="1">
        <v>56</v>
      </c>
      <c r="I434">
        <f t="shared" si="30"/>
        <v>160</v>
      </c>
      <c r="J434">
        <f t="shared" si="31"/>
        <v>0</v>
      </c>
      <c r="K434">
        <f t="shared" si="32"/>
        <v>490.5</v>
      </c>
      <c r="L434">
        <f t="shared" si="33"/>
        <v>490.5</v>
      </c>
      <c r="M434">
        <f t="shared" si="34"/>
        <v>240590.25</v>
      </c>
    </row>
    <row r="435" spans="1:13" ht="13.2" x14ac:dyDescent="0.25">
      <c r="A435" s="1" t="s">
        <v>8</v>
      </c>
      <c r="B435" s="1" t="s">
        <v>9</v>
      </c>
      <c r="C435" s="1" t="s">
        <v>10</v>
      </c>
      <c r="D435" s="1" t="s">
        <v>11</v>
      </c>
      <c r="E435" s="1" t="s">
        <v>12</v>
      </c>
      <c r="F435" s="1">
        <v>50</v>
      </c>
      <c r="G435" s="1">
        <v>53</v>
      </c>
      <c r="H435" s="1">
        <v>48</v>
      </c>
      <c r="I435">
        <f t="shared" si="30"/>
        <v>151</v>
      </c>
      <c r="J435">
        <f t="shared" si="31"/>
        <v>0</v>
      </c>
      <c r="K435">
        <f t="shared" si="32"/>
        <v>524.5</v>
      </c>
      <c r="L435">
        <f t="shared" si="33"/>
        <v>524.5</v>
      </c>
      <c r="M435">
        <f t="shared" si="34"/>
        <v>275100.25</v>
      </c>
    </row>
    <row r="436" spans="1:13" ht="13.2" x14ac:dyDescent="0.25">
      <c r="A436" s="1" t="s">
        <v>19</v>
      </c>
      <c r="B436" s="1" t="s">
        <v>18</v>
      </c>
      <c r="C436" s="1" t="s">
        <v>22</v>
      </c>
      <c r="D436" s="1" t="s">
        <v>11</v>
      </c>
      <c r="E436" s="1" t="s">
        <v>17</v>
      </c>
      <c r="F436" s="1">
        <v>59</v>
      </c>
      <c r="G436" s="1">
        <v>54</v>
      </c>
      <c r="H436" s="1">
        <v>53</v>
      </c>
      <c r="I436">
        <f>SUM(F436:H436)</f>
        <v>166</v>
      </c>
      <c r="J436">
        <f>IF(E436="completed", 1, IF(E436="none", 0, ""))</f>
        <v>1</v>
      </c>
      <c r="K436">
        <f t="shared" si="32"/>
        <v>471</v>
      </c>
      <c r="L436">
        <f t="shared" si="33"/>
        <v>470</v>
      </c>
      <c r="M436">
        <f t="shared" si="34"/>
        <v>220900</v>
      </c>
    </row>
    <row r="437" spans="1:13" ht="13.2" x14ac:dyDescent="0.25">
      <c r="A437" s="1" t="s">
        <v>8</v>
      </c>
      <c r="B437" s="1" t="s">
        <v>9</v>
      </c>
      <c r="C437" s="1" t="s">
        <v>22</v>
      </c>
      <c r="D437" s="1" t="s">
        <v>23</v>
      </c>
      <c r="E437" s="1" t="s">
        <v>12</v>
      </c>
      <c r="F437" s="1">
        <v>14</v>
      </c>
      <c r="G437" s="1">
        <v>37</v>
      </c>
      <c r="H437" s="1">
        <v>31</v>
      </c>
      <c r="I437">
        <f t="shared" si="30"/>
        <v>82</v>
      </c>
      <c r="J437">
        <f t="shared" si="31"/>
        <v>0</v>
      </c>
      <c r="K437">
        <f t="shared" si="32"/>
        <v>597</v>
      </c>
      <c r="L437">
        <f t="shared" si="33"/>
        <v>597</v>
      </c>
      <c r="M437">
        <f t="shared" si="34"/>
        <v>356409</v>
      </c>
    </row>
    <row r="438" spans="1:13" ht="13.2" x14ac:dyDescent="0.25">
      <c r="A438" s="1" t="s">
        <v>19</v>
      </c>
      <c r="B438" s="1" t="s">
        <v>18</v>
      </c>
      <c r="C438" s="1" t="s">
        <v>22</v>
      </c>
      <c r="D438" s="1" t="s">
        <v>23</v>
      </c>
      <c r="E438" s="1" t="s">
        <v>12</v>
      </c>
      <c r="F438" s="1">
        <v>39</v>
      </c>
      <c r="G438" s="1">
        <v>42</v>
      </c>
      <c r="H438" s="1">
        <v>33</v>
      </c>
      <c r="I438">
        <f t="shared" si="30"/>
        <v>114</v>
      </c>
      <c r="J438">
        <f t="shared" si="31"/>
        <v>0</v>
      </c>
      <c r="K438">
        <f t="shared" si="32"/>
        <v>586.5</v>
      </c>
      <c r="L438">
        <f t="shared" si="33"/>
        <v>586.5</v>
      </c>
      <c r="M438">
        <f t="shared" si="34"/>
        <v>343982.25</v>
      </c>
    </row>
    <row r="439" spans="1:13" ht="13.2" x14ac:dyDescent="0.25">
      <c r="A439" s="1" t="s">
        <v>8</v>
      </c>
      <c r="B439" s="1" t="s">
        <v>9</v>
      </c>
      <c r="C439" s="1" t="s">
        <v>10</v>
      </c>
      <c r="D439" s="1" t="s">
        <v>23</v>
      </c>
      <c r="E439" s="1" t="s">
        <v>17</v>
      </c>
      <c r="F439" s="1">
        <v>51</v>
      </c>
      <c r="G439" s="1">
        <v>68</v>
      </c>
      <c r="H439" s="1">
        <v>70</v>
      </c>
      <c r="I439">
        <f>SUM(F439:H439)</f>
        <v>189</v>
      </c>
      <c r="J439">
        <f>IF(E439="completed", 1, IF(E439="none", 0, ""))</f>
        <v>1</v>
      </c>
      <c r="K439">
        <f t="shared" si="32"/>
        <v>367</v>
      </c>
      <c r="L439">
        <f t="shared" si="33"/>
        <v>366</v>
      </c>
      <c r="M439">
        <f t="shared" si="34"/>
        <v>133956</v>
      </c>
    </row>
    <row r="440" spans="1:13" ht="13.2" x14ac:dyDescent="0.25">
      <c r="A440" s="1" t="s">
        <v>8</v>
      </c>
      <c r="B440" s="1" t="s">
        <v>18</v>
      </c>
      <c r="C440" s="1" t="s">
        <v>16</v>
      </c>
      <c r="D440" s="1" t="s">
        <v>11</v>
      </c>
      <c r="E440" s="1" t="s">
        <v>12</v>
      </c>
      <c r="F440" s="1">
        <v>76</v>
      </c>
      <c r="G440" s="1">
        <v>82</v>
      </c>
      <c r="H440" s="1">
        <v>87</v>
      </c>
      <c r="I440">
        <f t="shared" si="30"/>
        <v>245</v>
      </c>
      <c r="J440">
        <f t="shared" si="31"/>
        <v>0</v>
      </c>
      <c r="K440">
        <f t="shared" si="32"/>
        <v>112</v>
      </c>
      <c r="L440">
        <f t="shared" si="33"/>
        <v>112</v>
      </c>
      <c r="M440">
        <f t="shared" si="34"/>
        <v>12544</v>
      </c>
    </row>
    <row r="441" spans="1:13" ht="13.2" x14ac:dyDescent="0.25">
      <c r="A441" s="1" t="s">
        <v>19</v>
      </c>
      <c r="B441" s="1" t="s">
        <v>9</v>
      </c>
      <c r="C441" s="1" t="s">
        <v>16</v>
      </c>
      <c r="D441" s="1" t="s">
        <v>11</v>
      </c>
      <c r="E441" s="1" t="s">
        <v>12</v>
      </c>
      <c r="F441" s="1">
        <v>60</v>
      </c>
      <c r="G441" s="1">
        <v>49</v>
      </c>
      <c r="H441" s="1">
        <v>52</v>
      </c>
      <c r="I441">
        <f t="shared" si="30"/>
        <v>161</v>
      </c>
      <c r="J441">
        <f t="shared" si="31"/>
        <v>0</v>
      </c>
      <c r="K441">
        <f t="shared" si="32"/>
        <v>486.5</v>
      </c>
      <c r="L441">
        <f t="shared" si="33"/>
        <v>486.5</v>
      </c>
      <c r="M441">
        <f t="shared" si="34"/>
        <v>236682.25</v>
      </c>
    </row>
    <row r="442" spans="1:13" ht="13.2" x14ac:dyDescent="0.25">
      <c r="A442" s="1" t="s">
        <v>8</v>
      </c>
      <c r="B442" s="1" t="s">
        <v>18</v>
      </c>
      <c r="C442" s="1" t="s">
        <v>10</v>
      </c>
      <c r="D442" s="1" t="s">
        <v>11</v>
      </c>
      <c r="E442" s="1" t="s">
        <v>12</v>
      </c>
      <c r="F442" s="1">
        <v>55</v>
      </c>
      <c r="G442" s="1">
        <v>69</v>
      </c>
      <c r="H442" s="1">
        <v>66</v>
      </c>
      <c r="I442">
        <f t="shared" si="30"/>
        <v>190</v>
      </c>
      <c r="J442">
        <f t="shared" si="31"/>
        <v>0</v>
      </c>
      <c r="K442">
        <f t="shared" si="32"/>
        <v>359.5</v>
      </c>
      <c r="L442">
        <f t="shared" si="33"/>
        <v>359.5</v>
      </c>
      <c r="M442">
        <f t="shared" si="34"/>
        <v>129240.25</v>
      </c>
    </row>
    <row r="443" spans="1:13" ht="13.2" x14ac:dyDescent="0.25">
      <c r="A443" s="1" t="s">
        <v>8</v>
      </c>
      <c r="B443" s="1" t="s">
        <v>18</v>
      </c>
      <c r="C443" s="1" t="s">
        <v>24</v>
      </c>
      <c r="D443" s="1" t="s">
        <v>11</v>
      </c>
      <c r="E443" s="1" t="s">
        <v>12</v>
      </c>
      <c r="F443" s="1">
        <v>84</v>
      </c>
      <c r="G443" s="1">
        <v>86</v>
      </c>
      <c r="H443" s="1">
        <v>88</v>
      </c>
      <c r="I443">
        <f t="shared" si="30"/>
        <v>258</v>
      </c>
      <c r="J443">
        <f t="shared" si="31"/>
        <v>0</v>
      </c>
      <c r="K443">
        <f t="shared" si="32"/>
        <v>70</v>
      </c>
      <c r="L443">
        <f t="shared" si="33"/>
        <v>70</v>
      </c>
      <c r="M443">
        <f t="shared" si="34"/>
        <v>4900</v>
      </c>
    </row>
    <row r="444" spans="1:13" ht="13.2" x14ac:dyDescent="0.25">
      <c r="A444" s="1" t="s">
        <v>19</v>
      </c>
      <c r="B444" s="1" t="s">
        <v>13</v>
      </c>
      <c r="C444" s="1" t="s">
        <v>14</v>
      </c>
      <c r="D444" s="1" t="s">
        <v>11</v>
      </c>
      <c r="E444" s="1" t="s">
        <v>12</v>
      </c>
      <c r="F444" s="1">
        <v>96</v>
      </c>
      <c r="G444" s="1">
        <v>91</v>
      </c>
      <c r="H444" s="1">
        <v>87</v>
      </c>
      <c r="I444">
        <f t="shared" si="30"/>
        <v>274</v>
      </c>
      <c r="J444">
        <f t="shared" si="31"/>
        <v>0</v>
      </c>
      <c r="K444">
        <f t="shared" si="32"/>
        <v>35</v>
      </c>
      <c r="L444">
        <f t="shared" si="33"/>
        <v>35</v>
      </c>
      <c r="M444">
        <f t="shared" si="34"/>
        <v>1225</v>
      </c>
    </row>
    <row r="445" spans="1:13" ht="13.2" x14ac:dyDescent="0.25">
      <c r="A445" s="1" t="s">
        <v>8</v>
      </c>
      <c r="B445" s="1" t="s">
        <v>9</v>
      </c>
      <c r="C445" s="1" t="s">
        <v>22</v>
      </c>
      <c r="D445" s="1" t="s">
        <v>11</v>
      </c>
      <c r="E445" s="1" t="s">
        <v>12</v>
      </c>
      <c r="F445" s="1">
        <v>42</v>
      </c>
      <c r="G445" s="1">
        <v>43</v>
      </c>
      <c r="H445" s="1">
        <v>49</v>
      </c>
      <c r="I445">
        <f t="shared" si="30"/>
        <v>134</v>
      </c>
      <c r="J445">
        <f t="shared" si="31"/>
        <v>0</v>
      </c>
      <c r="K445">
        <f t="shared" si="32"/>
        <v>567</v>
      </c>
      <c r="L445">
        <f t="shared" si="33"/>
        <v>567</v>
      </c>
      <c r="M445">
        <f t="shared" si="34"/>
        <v>321489</v>
      </c>
    </row>
    <row r="446" spans="1:13" ht="13.2" x14ac:dyDescent="0.25">
      <c r="A446" s="1" t="s">
        <v>8</v>
      </c>
      <c r="B446" s="1" t="s">
        <v>18</v>
      </c>
      <c r="C446" s="1" t="s">
        <v>22</v>
      </c>
      <c r="D446" s="1" t="s">
        <v>11</v>
      </c>
      <c r="E446" s="1" t="s">
        <v>17</v>
      </c>
      <c r="F446" s="1">
        <v>81</v>
      </c>
      <c r="G446" s="1">
        <v>85</v>
      </c>
      <c r="H446" s="1">
        <v>91</v>
      </c>
      <c r="I446">
        <f>SUM(F446:H446)</f>
        <v>257</v>
      </c>
      <c r="J446">
        <f>IF(E446="completed", 1, IF(E446="none", 0, ""))</f>
        <v>1</v>
      </c>
      <c r="K446">
        <f t="shared" si="32"/>
        <v>74.5</v>
      </c>
      <c r="L446">
        <f t="shared" si="33"/>
        <v>73.5</v>
      </c>
      <c r="M446">
        <f t="shared" si="34"/>
        <v>5402.25</v>
      </c>
    </row>
    <row r="447" spans="1:13" ht="13.2" x14ac:dyDescent="0.25">
      <c r="A447" s="1" t="s">
        <v>19</v>
      </c>
      <c r="B447" s="1" t="s">
        <v>18</v>
      </c>
      <c r="C447" s="1" t="s">
        <v>20</v>
      </c>
      <c r="D447" s="1" t="s">
        <v>11</v>
      </c>
      <c r="E447" s="1" t="s">
        <v>12</v>
      </c>
      <c r="F447" s="1">
        <v>75</v>
      </c>
      <c r="G447" s="1">
        <v>77</v>
      </c>
      <c r="H447" s="1">
        <v>78</v>
      </c>
      <c r="I447">
        <f t="shared" si="30"/>
        <v>230</v>
      </c>
      <c r="J447">
        <f t="shared" si="31"/>
        <v>0</v>
      </c>
      <c r="K447">
        <f t="shared" si="32"/>
        <v>172.5</v>
      </c>
      <c r="L447">
        <f t="shared" si="33"/>
        <v>172.5</v>
      </c>
      <c r="M447">
        <f t="shared" si="34"/>
        <v>29756.25</v>
      </c>
    </row>
    <row r="448" spans="1:13" ht="13.2" x14ac:dyDescent="0.25">
      <c r="A448" s="1" t="s">
        <v>19</v>
      </c>
      <c r="B448" s="1" t="s">
        <v>18</v>
      </c>
      <c r="C448" s="1" t="s">
        <v>14</v>
      </c>
      <c r="D448" s="1" t="s">
        <v>11</v>
      </c>
      <c r="E448" s="1" t="s">
        <v>17</v>
      </c>
      <c r="F448" s="1">
        <v>72</v>
      </c>
      <c r="G448" s="1">
        <v>73</v>
      </c>
      <c r="H448" s="1">
        <v>77</v>
      </c>
      <c r="I448">
        <f>SUM(F448:H448)</f>
        <v>222</v>
      </c>
      <c r="J448">
        <f>IF(E448="completed", 1, IF(E448="none", 0, ""))</f>
        <v>1</v>
      </c>
      <c r="K448">
        <f t="shared" si="32"/>
        <v>206</v>
      </c>
      <c r="L448">
        <f t="shared" si="33"/>
        <v>205</v>
      </c>
      <c r="M448">
        <f t="shared" si="34"/>
        <v>42025</v>
      </c>
    </row>
    <row r="449" spans="1:13" ht="13.2" x14ac:dyDescent="0.25">
      <c r="A449" s="1" t="s">
        <v>8</v>
      </c>
      <c r="B449" s="1" t="s">
        <v>18</v>
      </c>
      <c r="C449" s="1" t="s">
        <v>10</v>
      </c>
      <c r="D449" s="1" t="s">
        <v>23</v>
      </c>
      <c r="E449" s="1" t="s">
        <v>17</v>
      </c>
      <c r="F449" s="1">
        <v>59</v>
      </c>
      <c r="G449" s="1">
        <v>65</v>
      </c>
      <c r="H449" s="1">
        <v>67</v>
      </c>
      <c r="I449">
        <f>SUM(F449:H449)</f>
        <v>191</v>
      </c>
      <c r="J449">
        <f>IF(E449="completed", 1, IF(E449="none", 0, ""))</f>
        <v>1</v>
      </c>
      <c r="K449">
        <f t="shared" si="32"/>
        <v>353.5</v>
      </c>
      <c r="L449">
        <f t="shared" si="33"/>
        <v>352.5</v>
      </c>
      <c r="M449">
        <f t="shared" si="34"/>
        <v>124256.25</v>
      </c>
    </row>
    <row r="450" spans="1:13" ht="13.2" x14ac:dyDescent="0.25">
      <c r="A450" s="1" t="s">
        <v>8</v>
      </c>
      <c r="B450" s="1" t="s">
        <v>18</v>
      </c>
      <c r="C450" s="1" t="s">
        <v>14</v>
      </c>
      <c r="D450" s="1" t="s">
        <v>23</v>
      </c>
      <c r="E450" s="1" t="s">
        <v>17</v>
      </c>
      <c r="F450" s="1">
        <v>55</v>
      </c>
      <c r="G450" s="1">
        <v>66</v>
      </c>
      <c r="H450" s="1">
        <v>67</v>
      </c>
      <c r="I450">
        <f>SUM(F450:H450)</f>
        <v>188</v>
      </c>
      <c r="J450">
        <f>IF(E450="completed", 1, IF(E450="none", 0, ""))</f>
        <v>1</v>
      </c>
      <c r="K450">
        <f t="shared" si="32"/>
        <v>373</v>
      </c>
      <c r="L450">
        <f t="shared" si="33"/>
        <v>372</v>
      </c>
      <c r="M450">
        <f t="shared" si="34"/>
        <v>138384</v>
      </c>
    </row>
    <row r="451" spans="1:13" ht="13.2" x14ac:dyDescent="0.25">
      <c r="A451" s="1" t="s">
        <v>19</v>
      </c>
      <c r="B451" s="1" t="s">
        <v>13</v>
      </c>
      <c r="C451" s="1" t="s">
        <v>14</v>
      </c>
      <c r="D451" s="1" t="s">
        <v>23</v>
      </c>
      <c r="E451" s="1" t="s">
        <v>12</v>
      </c>
      <c r="F451" s="1">
        <v>41</v>
      </c>
      <c r="G451" s="1">
        <v>43</v>
      </c>
      <c r="H451" s="1">
        <v>37</v>
      </c>
      <c r="I451">
        <f t="shared" ref="I451:I514" si="35">SUM(F451:H451)</f>
        <v>121</v>
      </c>
      <c r="J451">
        <f t="shared" ref="J451:J514" si="36">IF(E451="completed", 1, IF(E451="none", 0, ""))</f>
        <v>0</v>
      </c>
      <c r="K451">
        <f t="shared" ref="K451:K514" si="37">_xlfn.RANK.AVG(I451, I$2:I$601, 0)</f>
        <v>581.5</v>
      </c>
      <c r="L451">
        <f t="shared" ref="L451:L514" si="38">K451-J451</f>
        <v>581.5</v>
      </c>
      <c r="M451">
        <f t="shared" ref="M451:M514" si="39">L451^2</f>
        <v>338142.25</v>
      </c>
    </row>
    <row r="452" spans="1:13" ht="13.2" x14ac:dyDescent="0.25">
      <c r="A452" s="1" t="s">
        <v>8</v>
      </c>
      <c r="B452" s="1" t="s">
        <v>13</v>
      </c>
      <c r="C452" s="1" t="s">
        <v>16</v>
      </c>
      <c r="D452" s="1" t="s">
        <v>11</v>
      </c>
      <c r="E452" s="1" t="s">
        <v>17</v>
      </c>
      <c r="F452" s="1">
        <v>60</v>
      </c>
      <c r="G452" s="1">
        <v>66</v>
      </c>
      <c r="H452" s="1">
        <v>74</v>
      </c>
      <c r="I452">
        <f>SUM(F452:H452)</f>
        <v>200</v>
      </c>
      <c r="J452">
        <f>IF(E452="completed", 1, IF(E452="none", 0, ""))</f>
        <v>1</v>
      </c>
      <c r="K452">
        <f t="shared" si="37"/>
        <v>300.5</v>
      </c>
      <c r="L452">
        <f t="shared" si="38"/>
        <v>299.5</v>
      </c>
      <c r="M452">
        <f t="shared" si="39"/>
        <v>89700.25</v>
      </c>
    </row>
    <row r="453" spans="1:13" ht="13.2" x14ac:dyDescent="0.25">
      <c r="A453" s="1" t="s">
        <v>8</v>
      </c>
      <c r="B453" s="1" t="s">
        <v>9</v>
      </c>
      <c r="C453" s="1" t="s">
        <v>24</v>
      </c>
      <c r="D453" s="1" t="s">
        <v>23</v>
      </c>
      <c r="E453" s="1" t="s">
        <v>17</v>
      </c>
      <c r="F453" s="1">
        <v>39</v>
      </c>
      <c r="G453" s="1">
        <v>55</v>
      </c>
      <c r="H453" s="1">
        <v>57</v>
      </c>
      <c r="I453">
        <f>SUM(F453:H453)</f>
        <v>151</v>
      </c>
      <c r="J453">
        <f>IF(E453="completed", 1, IF(E453="none", 0, ""))</f>
        <v>1</v>
      </c>
      <c r="K453">
        <f t="shared" si="37"/>
        <v>524.5</v>
      </c>
      <c r="L453">
        <f t="shared" si="38"/>
        <v>523.5</v>
      </c>
      <c r="M453">
        <f t="shared" si="39"/>
        <v>274052.25</v>
      </c>
    </row>
    <row r="454" spans="1:13" ht="13.2" x14ac:dyDescent="0.25">
      <c r="A454" s="1" t="s">
        <v>8</v>
      </c>
      <c r="B454" s="1" t="s">
        <v>18</v>
      </c>
      <c r="C454" s="1" t="s">
        <v>10</v>
      </c>
      <c r="D454" s="1" t="s">
        <v>11</v>
      </c>
      <c r="E454" s="1" t="s">
        <v>17</v>
      </c>
      <c r="F454" s="1">
        <v>51</v>
      </c>
      <c r="G454" s="1">
        <v>51</v>
      </c>
      <c r="H454" s="1">
        <v>57</v>
      </c>
      <c r="I454">
        <f>SUM(F454:H454)</f>
        <v>159</v>
      </c>
      <c r="J454">
        <f>IF(E454="completed", 1, IF(E454="none", 0, ""))</f>
        <v>1</v>
      </c>
      <c r="K454">
        <f t="shared" si="37"/>
        <v>495.5</v>
      </c>
      <c r="L454">
        <f t="shared" si="38"/>
        <v>494.5</v>
      </c>
      <c r="M454">
        <f t="shared" si="39"/>
        <v>244530.25</v>
      </c>
    </row>
    <row r="455" spans="1:13" ht="13.2" x14ac:dyDescent="0.25">
      <c r="A455" s="1" t="s">
        <v>8</v>
      </c>
      <c r="B455" s="1" t="s">
        <v>9</v>
      </c>
      <c r="C455" s="1" t="s">
        <v>22</v>
      </c>
      <c r="D455" s="1" t="s">
        <v>11</v>
      </c>
      <c r="E455" s="1" t="s">
        <v>12</v>
      </c>
      <c r="F455" s="1">
        <v>45</v>
      </c>
      <c r="G455" s="1">
        <v>52</v>
      </c>
      <c r="H455" s="1">
        <v>57</v>
      </c>
      <c r="I455">
        <f t="shared" si="35"/>
        <v>154</v>
      </c>
      <c r="J455">
        <f t="shared" si="36"/>
        <v>0</v>
      </c>
      <c r="K455">
        <f t="shared" si="37"/>
        <v>515.5</v>
      </c>
      <c r="L455">
        <f t="shared" si="38"/>
        <v>515.5</v>
      </c>
      <c r="M455">
        <f t="shared" si="39"/>
        <v>265740.25</v>
      </c>
    </row>
    <row r="456" spans="1:13" ht="13.2" x14ac:dyDescent="0.25">
      <c r="A456" s="1" t="s">
        <v>8</v>
      </c>
      <c r="B456" s="1" t="s">
        <v>9</v>
      </c>
      <c r="C456" s="1" t="s">
        <v>22</v>
      </c>
      <c r="D456" s="1" t="s">
        <v>11</v>
      </c>
      <c r="E456" s="1" t="s">
        <v>12</v>
      </c>
      <c r="F456" s="1">
        <v>62</v>
      </c>
      <c r="G456" s="1">
        <v>59</v>
      </c>
      <c r="H456" s="1">
        <v>61</v>
      </c>
      <c r="I456">
        <f t="shared" si="35"/>
        <v>182</v>
      </c>
      <c r="J456">
        <f t="shared" si="36"/>
        <v>0</v>
      </c>
      <c r="K456">
        <f t="shared" si="37"/>
        <v>399.5</v>
      </c>
      <c r="L456">
        <f t="shared" si="38"/>
        <v>399.5</v>
      </c>
      <c r="M456">
        <f t="shared" si="39"/>
        <v>159600.25</v>
      </c>
    </row>
    <row r="457" spans="1:13" ht="13.2" x14ac:dyDescent="0.25">
      <c r="A457" s="1" t="s">
        <v>8</v>
      </c>
      <c r="B457" s="1" t="s">
        <v>18</v>
      </c>
      <c r="C457" s="1" t="s">
        <v>22</v>
      </c>
      <c r="D457" s="1" t="s">
        <v>11</v>
      </c>
      <c r="E457" s="1" t="s">
        <v>12</v>
      </c>
      <c r="F457" s="1">
        <v>65</v>
      </c>
      <c r="G457" s="1">
        <v>73</v>
      </c>
      <c r="H457" s="1">
        <v>79</v>
      </c>
      <c r="I457">
        <f t="shared" si="35"/>
        <v>217</v>
      </c>
      <c r="J457">
        <f t="shared" si="36"/>
        <v>0</v>
      </c>
      <c r="K457">
        <f t="shared" si="37"/>
        <v>227</v>
      </c>
      <c r="L457">
        <f t="shared" si="38"/>
        <v>227</v>
      </c>
      <c r="M457">
        <f t="shared" si="39"/>
        <v>51529</v>
      </c>
    </row>
    <row r="458" spans="1:13" ht="13.2" x14ac:dyDescent="0.25">
      <c r="A458" s="1" t="s">
        <v>8</v>
      </c>
      <c r="B458" s="1" t="s">
        <v>21</v>
      </c>
      <c r="C458" s="1" t="s">
        <v>14</v>
      </c>
      <c r="D458" s="1" t="s">
        <v>11</v>
      </c>
      <c r="E458" s="1" t="s">
        <v>12</v>
      </c>
      <c r="F458" s="1">
        <v>71</v>
      </c>
      <c r="G458" s="1">
        <v>70</v>
      </c>
      <c r="H458" s="1">
        <v>68</v>
      </c>
      <c r="I458">
        <f t="shared" si="35"/>
        <v>209</v>
      </c>
      <c r="J458">
        <f t="shared" si="36"/>
        <v>0</v>
      </c>
      <c r="K458">
        <f t="shared" si="37"/>
        <v>257.5</v>
      </c>
      <c r="L458">
        <f t="shared" si="38"/>
        <v>257.5</v>
      </c>
      <c r="M458">
        <f t="shared" si="39"/>
        <v>66306.25</v>
      </c>
    </row>
    <row r="459" spans="1:13" ht="13.2" x14ac:dyDescent="0.25">
      <c r="A459" s="1" t="s">
        <v>8</v>
      </c>
      <c r="B459" s="1" t="s">
        <v>18</v>
      </c>
      <c r="C459" s="1" t="s">
        <v>20</v>
      </c>
      <c r="D459" s="1" t="s">
        <v>11</v>
      </c>
      <c r="E459" s="1" t="s">
        <v>12</v>
      </c>
      <c r="F459" s="1">
        <v>65</v>
      </c>
      <c r="G459" s="1">
        <v>69</v>
      </c>
      <c r="H459" s="1">
        <v>71</v>
      </c>
      <c r="I459">
        <f t="shared" si="35"/>
        <v>205</v>
      </c>
      <c r="J459">
        <f t="shared" si="36"/>
        <v>0</v>
      </c>
      <c r="K459">
        <f t="shared" si="37"/>
        <v>277</v>
      </c>
      <c r="L459">
        <f t="shared" si="38"/>
        <v>277</v>
      </c>
      <c r="M459">
        <f t="shared" si="39"/>
        <v>76729</v>
      </c>
    </row>
    <row r="460" spans="1:13" ht="13.2" x14ac:dyDescent="0.25">
      <c r="A460" s="1" t="s">
        <v>8</v>
      </c>
      <c r="B460" s="1" t="s">
        <v>9</v>
      </c>
      <c r="C460" s="1" t="s">
        <v>14</v>
      </c>
      <c r="D460" s="1" t="s">
        <v>11</v>
      </c>
      <c r="E460" s="1" t="s">
        <v>17</v>
      </c>
      <c r="F460" s="1">
        <v>43</v>
      </c>
      <c r="G460" s="1">
        <v>52</v>
      </c>
      <c r="H460" s="1">
        <v>54</v>
      </c>
      <c r="I460">
        <f>SUM(F460:H460)</f>
        <v>149</v>
      </c>
      <c r="J460">
        <f>IF(E460="completed", 1, IF(E460="none", 0, ""))</f>
        <v>1</v>
      </c>
      <c r="K460">
        <f t="shared" si="37"/>
        <v>527.5</v>
      </c>
      <c r="L460">
        <f t="shared" si="38"/>
        <v>526.5</v>
      </c>
      <c r="M460">
        <f t="shared" si="39"/>
        <v>277202.25</v>
      </c>
    </row>
    <row r="461" spans="1:13" ht="13.2" x14ac:dyDescent="0.25">
      <c r="A461" s="1" t="s">
        <v>8</v>
      </c>
      <c r="B461" s="1" t="s">
        <v>18</v>
      </c>
      <c r="C461" s="1" t="s">
        <v>16</v>
      </c>
      <c r="D461" s="1" t="s">
        <v>11</v>
      </c>
      <c r="E461" s="1" t="s">
        <v>17</v>
      </c>
      <c r="F461" s="1">
        <v>73</v>
      </c>
      <c r="G461" s="1">
        <v>84</v>
      </c>
      <c r="H461" s="1">
        <v>78</v>
      </c>
      <c r="I461">
        <f>SUM(F461:H461)</f>
        <v>235</v>
      </c>
      <c r="J461">
        <f>IF(E461="completed", 1, IF(E461="none", 0, ""))</f>
        <v>1</v>
      </c>
      <c r="K461">
        <f t="shared" si="37"/>
        <v>154</v>
      </c>
      <c r="L461">
        <f t="shared" si="38"/>
        <v>153</v>
      </c>
      <c r="M461">
        <f t="shared" si="39"/>
        <v>23409</v>
      </c>
    </row>
    <row r="462" spans="1:13" ht="13.2" x14ac:dyDescent="0.25">
      <c r="A462" s="1" t="s">
        <v>8</v>
      </c>
      <c r="B462" s="1" t="s">
        <v>18</v>
      </c>
      <c r="C462" s="1" t="s">
        <v>22</v>
      </c>
      <c r="D462" s="1" t="s">
        <v>11</v>
      </c>
      <c r="E462" s="1" t="s">
        <v>12</v>
      </c>
      <c r="F462" s="1">
        <v>75</v>
      </c>
      <c r="G462" s="1">
        <v>88</v>
      </c>
      <c r="H462" s="1">
        <v>79</v>
      </c>
      <c r="I462">
        <f t="shared" si="35"/>
        <v>242</v>
      </c>
      <c r="J462">
        <f t="shared" si="36"/>
        <v>0</v>
      </c>
      <c r="K462">
        <f t="shared" si="37"/>
        <v>122.5</v>
      </c>
      <c r="L462">
        <f t="shared" si="38"/>
        <v>122.5</v>
      </c>
      <c r="M462">
        <f t="shared" si="39"/>
        <v>15006.25</v>
      </c>
    </row>
    <row r="463" spans="1:13" ht="13.2" x14ac:dyDescent="0.25">
      <c r="A463" s="1" t="s">
        <v>8</v>
      </c>
      <c r="B463" s="1" t="s">
        <v>18</v>
      </c>
      <c r="C463" s="1" t="s">
        <v>10</v>
      </c>
      <c r="D463" s="1" t="s">
        <v>11</v>
      </c>
      <c r="E463" s="1" t="s">
        <v>12</v>
      </c>
      <c r="F463" s="1">
        <v>60</v>
      </c>
      <c r="G463" s="1">
        <v>77</v>
      </c>
      <c r="H463" s="1">
        <v>72</v>
      </c>
      <c r="I463">
        <f t="shared" si="35"/>
        <v>209</v>
      </c>
      <c r="J463">
        <f t="shared" si="36"/>
        <v>0</v>
      </c>
      <c r="K463">
        <f t="shared" si="37"/>
        <v>257.5</v>
      </c>
      <c r="L463">
        <f t="shared" si="38"/>
        <v>257.5</v>
      </c>
      <c r="M463">
        <f t="shared" si="39"/>
        <v>66306.25</v>
      </c>
    </row>
    <row r="464" spans="1:13" ht="13.2" x14ac:dyDescent="0.25">
      <c r="A464" s="1" t="s">
        <v>19</v>
      </c>
      <c r="B464" s="1" t="s">
        <v>9</v>
      </c>
      <c r="C464" s="1" t="s">
        <v>10</v>
      </c>
      <c r="D464" s="1" t="s">
        <v>11</v>
      </c>
      <c r="E464" s="1" t="s">
        <v>12</v>
      </c>
      <c r="F464" s="1">
        <v>59</v>
      </c>
      <c r="G464" s="1">
        <v>45</v>
      </c>
      <c r="H464" s="1">
        <v>44</v>
      </c>
      <c r="I464">
        <f t="shared" si="35"/>
        <v>148</v>
      </c>
      <c r="J464">
        <f t="shared" si="36"/>
        <v>0</v>
      </c>
      <c r="K464">
        <f t="shared" si="37"/>
        <v>529</v>
      </c>
      <c r="L464">
        <f t="shared" si="38"/>
        <v>529</v>
      </c>
      <c r="M464">
        <f t="shared" si="39"/>
        <v>279841</v>
      </c>
    </row>
    <row r="465" spans="1:13" ht="13.2" x14ac:dyDescent="0.25">
      <c r="A465" s="1" t="s">
        <v>8</v>
      </c>
      <c r="B465" s="1" t="s">
        <v>18</v>
      </c>
      <c r="C465" s="1" t="s">
        <v>14</v>
      </c>
      <c r="D465" s="1" t="s">
        <v>11</v>
      </c>
      <c r="E465" s="1" t="s">
        <v>12</v>
      </c>
      <c r="F465" s="1">
        <v>60</v>
      </c>
      <c r="G465" s="1">
        <v>75</v>
      </c>
      <c r="H465" s="1">
        <v>71</v>
      </c>
      <c r="I465">
        <f t="shared" si="35"/>
        <v>206</v>
      </c>
      <c r="J465">
        <f t="shared" si="36"/>
        <v>0</v>
      </c>
      <c r="K465">
        <f t="shared" si="37"/>
        <v>272.5</v>
      </c>
      <c r="L465">
        <f t="shared" si="38"/>
        <v>272.5</v>
      </c>
      <c r="M465">
        <f t="shared" si="39"/>
        <v>74256.25</v>
      </c>
    </row>
    <row r="466" spans="1:13" ht="13.2" x14ac:dyDescent="0.25">
      <c r="A466" s="1" t="s">
        <v>8</v>
      </c>
      <c r="B466" s="1" t="s">
        <v>9</v>
      </c>
      <c r="C466" s="1" t="s">
        <v>16</v>
      </c>
      <c r="D466" s="1" t="s">
        <v>11</v>
      </c>
      <c r="E466" s="1" t="s">
        <v>12</v>
      </c>
      <c r="F466" s="1">
        <v>77</v>
      </c>
      <c r="G466" s="1">
        <v>87</v>
      </c>
      <c r="H466" s="1">
        <v>84</v>
      </c>
      <c r="I466">
        <f t="shared" si="35"/>
        <v>248</v>
      </c>
      <c r="J466">
        <f t="shared" si="36"/>
        <v>0</v>
      </c>
      <c r="K466">
        <f t="shared" si="37"/>
        <v>103</v>
      </c>
      <c r="L466">
        <f t="shared" si="38"/>
        <v>103</v>
      </c>
      <c r="M466">
        <f t="shared" si="39"/>
        <v>10609</v>
      </c>
    </row>
    <row r="467" spans="1:13" ht="13.2" x14ac:dyDescent="0.25">
      <c r="A467" s="1" t="s">
        <v>19</v>
      </c>
      <c r="B467" s="1" t="s">
        <v>18</v>
      </c>
      <c r="C467" s="1" t="s">
        <v>16</v>
      </c>
      <c r="D467" s="1" t="s">
        <v>11</v>
      </c>
      <c r="E467" s="1" t="s">
        <v>12</v>
      </c>
      <c r="F467" s="1">
        <v>84</v>
      </c>
      <c r="G467" s="1">
        <v>79</v>
      </c>
      <c r="H467" s="1">
        <v>76</v>
      </c>
      <c r="I467">
        <f t="shared" si="35"/>
        <v>239</v>
      </c>
      <c r="J467">
        <f t="shared" si="36"/>
        <v>0</v>
      </c>
      <c r="K467">
        <f t="shared" si="37"/>
        <v>135.5</v>
      </c>
      <c r="L467">
        <f t="shared" si="38"/>
        <v>135.5</v>
      </c>
      <c r="M467">
        <f t="shared" si="39"/>
        <v>18360.25</v>
      </c>
    </row>
    <row r="468" spans="1:13" ht="13.2" x14ac:dyDescent="0.25">
      <c r="A468" s="1" t="s">
        <v>8</v>
      </c>
      <c r="B468" s="1" t="s">
        <v>9</v>
      </c>
      <c r="C468" s="1" t="s">
        <v>10</v>
      </c>
      <c r="D468" s="1" t="s">
        <v>11</v>
      </c>
      <c r="E468" s="1" t="s">
        <v>17</v>
      </c>
      <c r="F468" s="1">
        <v>57</v>
      </c>
      <c r="G468" s="1">
        <v>66</v>
      </c>
      <c r="H468" s="1">
        <v>74</v>
      </c>
      <c r="I468">
        <f>SUM(F468:H468)</f>
        <v>197</v>
      </c>
      <c r="J468">
        <f>IF(E468="completed", 1, IF(E468="none", 0, ""))</f>
        <v>1</v>
      </c>
      <c r="K468">
        <f t="shared" si="37"/>
        <v>317.5</v>
      </c>
      <c r="L468">
        <f t="shared" si="38"/>
        <v>316.5</v>
      </c>
      <c r="M468">
        <f t="shared" si="39"/>
        <v>100172.25</v>
      </c>
    </row>
    <row r="469" spans="1:13" ht="13.2" x14ac:dyDescent="0.25">
      <c r="A469" s="1" t="s">
        <v>8</v>
      </c>
      <c r="B469" s="1" t="s">
        <v>9</v>
      </c>
      <c r="C469" s="1" t="s">
        <v>16</v>
      </c>
      <c r="D469" s="1" t="s">
        <v>11</v>
      </c>
      <c r="E469" s="1" t="s">
        <v>12</v>
      </c>
      <c r="F469" s="1">
        <v>84</v>
      </c>
      <c r="G469" s="1">
        <v>92</v>
      </c>
      <c r="H469" s="1">
        <v>93</v>
      </c>
      <c r="I469">
        <f t="shared" si="35"/>
        <v>269</v>
      </c>
      <c r="J469">
        <f t="shared" si="36"/>
        <v>0</v>
      </c>
      <c r="K469">
        <f t="shared" si="37"/>
        <v>44.5</v>
      </c>
      <c r="L469">
        <f t="shared" si="38"/>
        <v>44.5</v>
      </c>
      <c r="M469">
        <f t="shared" si="39"/>
        <v>1980.25</v>
      </c>
    </row>
    <row r="470" spans="1:13" ht="13.2" x14ac:dyDescent="0.25">
      <c r="A470" s="1" t="s">
        <v>19</v>
      </c>
      <c r="B470" s="1" t="s">
        <v>21</v>
      </c>
      <c r="C470" s="1" t="s">
        <v>10</v>
      </c>
      <c r="D470" s="1" t="s">
        <v>11</v>
      </c>
      <c r="E470" s="1" t="s">
        <v>12</v>
      </c>
      <c r="F470" s="1">
        <v>60</v>
      </c>
      <c r="G470" s="1">
        <v>51</v>
      </c>
      <c r="H470" s="1">
        <v>46</v>
      </c>
      <c r="I470">
        <f t="shared" si="35"/>
        <v>157</v>
      </c>
      <c r="J470">
        <f t="shared" si="36"/>
        <v>0</v>
      </c>
      <c r="K470">
        <f t="shared" si="37"/>
        <v>502.5</v>
      </c>
      <c r="L470">
        <f t="shared" si="38"/>
        <v>502.5</v>
      </c>
      <c r="M470">
        <f t="shared" si="39"/>
        <v>252506.25</v>
      </c>
    </row>
    <row r="471" spans="1:13" ht="13.2" x14ac:dyDescent="0.25">
      <c r="A471" s="1" t="s">
        <v>8</v>
      </c>
      <c r="B471" s="1" t="s">
        <v>18</v>
      </c>
      <c r="C471" s="1" t="s">
        <v>20</v>
      </c>
      <c r="D471" s="1" t="s">
        <v>11</v>
      </c>
      <c r="E471" s="1" t="s">
        <v>12</v>
      </c>
      <c r="F471" s="1">
        <v>75</v>
      </c>
      <c r="G471" s="1">
        <v>86</v>
      </c>
      <c r="H471" s="1">
        <v>87</v>
      </c>
      <c r="I471">
        <f t="shared" si="35"/>
        <v>248</v>
      </c>
      <c r="J471">
        <f t="shared" si="36"/>
        <v>0</v>
      </c>
      <c r="K471">
        <f t="shared" si="37"/>
        <v>103</v>
      </c>
      <c r="L471">
        <f t="shared" si="38"/>
        <v>103</v>
      </c>
      <c r="M471">
        <f t="shared" si="39"/>
        <v>10609</v>
      </c>
    </row>
    <row r="472" spans="1:13" ht="13.2" x14ac:dyDescent="0.25">
      <c r="A472" s="1" t="s">
        <v>8</v>
      </c>
      <c r="B472" s="1" t="s">
        <v>9</v>
      </c>
      <c r="C472" s="1" t="s">
        <v>14</v>
      </c>
      <c r="D472" s="1" t="s">
        <v>11</v>
      </c>
      <c r="E472" s="1" t="s">
        <v>17</v>
      </c>
      <c r="F472" s="1">
        <v>60</v>
      </c>
      <c r="G472" s="1">
        <v>62</v>
      </c>
      <c r="H472" s="1">
        <v>72</v>
      </c>
      <c r="I472">
        <f>SUM(F472:H472)</f>
        <v>194</v>
      </c>
      <c r="J472">
        <f>IF(E472="completed", 1, IF(E472="none", 0, ""))</f>
        <v>1</v>
      </c>
      <c r="K472">
        <f t="shared" si="37"/>
        <v>338.5</v>
      </c>
      <c r="L472">
        <f t="shared" si="38"/>
        <v>337.5</v>
      </c>
      <c r="M472">
        <f t="shared" si="39"/>
        <v>113906.25</v>
      </c>
    </row>
    <row r="473" spans="1:13" ht="13.2" x14ac:dyDescent="0.25">
      <c r="A473" s="1" t="s">
        <v>8</v>
      </c>
      <c r="B473" s="1" t="s">
        <v>9</v>
      </c>
      <c r="C473" s="1" t="s">
        <v>20</v>
      </c>
      <c r="D473" s="1" t="s">
        <v>11</v>
      </c>
      <c r="E473" s="1" t="s">
        <v>17</v>
      </c>
      <c r="F473" s="1">
        <v>72</v>
      </c>
      <c r="G473" s="1">
        <v>71</v>
      </c>
      <c r="H473" s="1">
        <v>73</v>
      </c>
      <c r="I473">
        <f>SUM(F473:H473)</f>
        <v>216</v>
      </c>
      <c r="J473">
        <f>IF(E473="completed", 1, IF(E473="none", 0, ""))</f>
        <v>1</v>
      </c>
      <c r="K473">
        <f t="shared" si="37"/>
        <v>231</v>
      </c>
      <c r="L473">
        <f t="shared" si="38"/>
        <v>230</v>
      </c>
      <c r="M473">
        <f t="shared" si="39"/>
        <v>52900</v>
      </c>
    </row>
    <row r="474" spans="1:13" ht="13.2" x14ac:dyDescent="0.25">
      <c r="A474" s="1" t="s">
        <v>19</v>
      </c>
      <c r="B474" s="1" t="s">
        <v>18</v>
      </c>
      <c r="C474" s="1" t="s">
        <v>16</v>
      </c>
      <c r="D474" s="1" t="s">
        <v>11</v>
      </c>
      <c r="E474" s="1" t="s">
        <v>12</v>
      </c>
      <c r="F474" s="1">
        <v>54</v>
      </c>
      <c r="G474" s="1">
        <v>64</v>
      </c>
      <c r="H474" s="1">
        <v>64</v>
      </c>
      <c r="I474">
        <f t="shared" si="35"/>
        <v>182</v>
      </c>
      <c r="J474">
        <f t="shared" si="36"/>
        <v>0</v>
      </c>
      <c r="K474">
        <f t="shared" si="37"/>
        <v>399.5</v>
      </c>
      <c r="L474">
        <f t="shared" si="38"/>
        <v>399.5</v>
      </c>
      <c r="M474">
        <f t="shared" si="39"/>
        <v>159600.25</v>
      </c>
    </row>
    <row r="475" spans="1:13" ht="13.2" x14ac:dyDescent="0.25">
      <c r="A475" s="1" t="s">
        <v>19</v>
      </c>
      <c r="B475" s="1" t="s">
        <v>18</v>
      </c>
      <c r="C475" s="1" t="s">
        <v>16</v>
      </c>
      <c r="D475" s="1" t="s">
        <v>11</v>
      </c>
      <c r="E475" s="1" t="s">
        <v>12</v>
      </c>
      <c r="F475" s="1">
        <v>80</v>
      </c>
      <c r="G475" s="1">
        <v>77</v>
      </c>
      <c r="H475" s="1">
        <v>67</v>
      </c>
      <c r="I475">
        <f t="shared" si="35"/>
        <v>224</v>
      </c>
      <c r="J475">
        <f t="shared" si="36"/>
        <v>0</v>
      </c>
      <c r="K475">
        <f t="shared" si="37"/>
        <v>194</v>
      </c>
      <c r="L475">
        <f t="shared" si="38"/>
        <v>194</v>
      </c>
      <c r="M475">
        <f t="shared" si="39"/>
        <v>37636</v>
      </c>
    </row>
    <row r="476" spans="1:13" ht="13.2" x14ac:dyDescent="0.25">
      <c r="A476" s="1" t="s">
        <v>19</v>
      </c>
      <c r="B476" s="1" t="s">
        <v>15</v>
      </c>
      <c r="C476" s="1" t="s">
        <v>10</v>
      </c>
      <c r="D476" s="1" t="s">
        <v>23</v>
      </c>
      <c r="E476" s="1" t="s">
        <v>12</v>
      </c>
      <c r="F476" s="1">
        <v>72</v>
      </c>
      <c r="G476" s="1">
        <v>69</v>
      </c>
      <c r="H476" s="1">
        <v>68</v>
      </c>
      <c r="I476">
        <f t="shared" si="35"/>
        <v>209</v>
      </c>
      <c r="J476">
        <f t="shared" si="36"/>
        <v>0</v>
      </c>
      <c r="K476">
        <f t="shared" si="37"/>
        <v>257.5</v>
      </c>
      <c r="L476">
        <f t="shared" si="38"/>
        <v>257.5</v>
      </c>
      <c r="M476">
        <f t="shared" si="39"/>
        <v>66306.25</v>
      </c>
    </row>
    <row r="477" spans="1:13" ht="13.2" x14ac:dyDescent="0.25">
      <c r="A477" s="1" t="s">
        <v>19</v>
      </c>
      <c r="B477" s="1" t="s">
        <v>18</v>
      </c>
      <c r="C477" s="1" t="s">
        <v>22</v>
      </c>
      <c r="D477" s="1" t="s">
        <v>23</v>
      </c>
      <c r="E477" s="1" t="s">
        <v>17</v>
      </c>
      <c r="F477" s="1">
        <v>60</v>
      </c>
      <c r="G477" s="1">
        <v>71</v>
      </c>
      <c r="H477" s="1">
        <v>67</v>
      </c>
      <c r="I477">
        <f>SUM(F477:H477)</f>
        <v>198</v>
      </c>
      <c r="J477">
        <f>IF(E477="completed", 1, IF(E477="none", 0, ""))</f>
        <v>1</v>
      </c>
      <c r="K477">
        <f t="shared" si="37"/>
        <v>313</v>
      </c>
      <c r="L477">
        <f t="shared" si="38"/>
        <v>312</v>
      </c>
      <c r="M477">
        <f t="shared" si="39"/>
        <v>97344</v>
      </c>
    </row>
    <row r="478" spans="1:13" ht="13.2" x14ac:dyDescent="0.25">
      <c r="A478" s="1" t="s">
        <v>8</v>
      </c>
      <c r="B478" s="1" t="s">
        <v>13</v>
      </c>
      <c r="C478" s="1" t="s">
        <v>10</v>
      </c>
      <c r="D478" s="1" t="s">
        <v>11</v>
      </c>
      <c r="E478" s="1" t="s">
        <v>17</v>
      </c>
      <c r="F478" s="1">
        <v>76</v>
      </c>
      <c r="G478" s="1">
        <v>83</v>
      </c>
      <c r="H478" s="1">
        <v>80</v>
      </c>
      <c r="I478">
        <f>SUM(F478:H478)</f>
        <v>239</v>
      </c>
      <c r="J478">
        <f>IF(E478="completed", 1, IF(E478="none", 0, ""))</f>
        <v>1</v>
      </c>
      <c r="K478">
        <f t="shared" si="37"/>
        <v>135.5</v>
      </c>
      <c r="L478">
        <f t="shared" si="38"/>
        <v>134.5</v>
      </c>
      <c r="M478">
        <f t="shared" si="39"/>
        <v>18090.25</v>
      </c>
    </row>
    <row r="479" spans="1:13" ht="13.2" x14ac:dyDescent="0.25">
      <c r="A479" s="1" t="s">
        <v>8</v>
      </c>
      <c r="B479" s="1" t="s">
        <v>21</v>
      </c>
      <c r="C479" s="1" t="s">
        <v>22</v>
      </c>
      <c r="D479" s="1" t="s">
        <v>23</v>
      </c>
      <c r="E479" s="1" t="s">
        <v>12</v>
      </c>
      <c r="F479" s="1">
        <v>78</v>
      </c>
      <c r="G479" s="1">
        <v>87</v>
      </c>
      <c r="H479" s="1">
        <v>82</v>
      </c>
      <c r="I479">
        <f t="shared" si="35"/>
        <v>247</v>
      </c>
      <c r="J479">
        <f t="shared" si="36"/>
        <v>0</v>
      </c>
      <c r="K479">
        <f t="shared" si="37"/>
        <v>107</v>
      </c>
      <c r="L479">
        <f t="shared" si="38"/>
        <v>107</v>
      </c>
      <c r="M479">
        <f t="shared" si="39"/>
        <v>11449</v>
      </c>
    </row>
    <row r="480" spans="1:13" ht="13.2" x14ac:dyDescent="0.25">
      <c r="A480" s="1" t="s">
        <v>19</v>
      </c>
      <c r="B480" s="1" t="s">
        <v>21</v>
      </c>
      <c r="C480" s="1" t="s">
        <v>22</v>
      </c>
      <c r="D480" s="1" t="s">
        <v>23</v>
      </c>
      <c r="E480" s="1" t="s">
        <v>12</v>
      </c>
      <c r="F480" s="1">
        <v>77</v>
      </c>
      <c r="G480" s="1">
        <v>74</v>
      </c>
      <c r="H480" s="1">
        <v>67</v>
      </c>
      <c r="I480">
        <f t="shared" si="35"/>
        <v>218</v>
      </c>
      <c r="J480">
        <f t="shared" si="36"/>
        <v>0</v>
      </c>
      <c r="K480">
        <f t="shared" si="37"/>
        <v>223</v>
      </c>
      <c r="L480">
        <f t="shared" si="38"/>
        <v>223</v>
      </c>
      <c r="M480">
        <f t="shared" si="39"/>
        <v>49729</v>
      </c>
    </row>
    <row r="481" spans="1:13" ht="13.2" x14ac:dyDescent="0.25">
      <c r="A481" s="1" t="s">
        <v>8</v>
      </c>
      <c r="B481" s="1" t="s">
        <v>13</v>
      </c>
      <c r="C481" s="1" t="s">
        <v>16</v>
      </c>
      <c r="D481" s="1" t="s">
        <v>23</v>
      </c>
      <c r="E481" s="1" t="s">
        <v>17</v>
      </c>
      <c r="F481" s="1">
        <v>52</v>
      </c>
      <c r="G481" s="1">
        <v>64</v>
      </c>
      <c r="H481" s="1">
        <v>69</v>
      </c>
      <c r="I481">
        <f>SUM(F481:H481)</f>
        <v>185</v>
      </c>
      <c r="J481">
        <f>IF(E481="completed", 1, IF(E481="none", 0, ""))</f>
        <v>1</v>
      </c>
      <c r="K481">
        <f t="shared" si="37"/>
        <v>389.5</v>
      </c>
      <c r="L481">
        <f t="shared" si="38"/>
        <v>388.5</v>
      </c>
      <c r="M481">
        <f t="shared" si="39"/>
        <v>150932.25</v>
      </c>
    </row>
    <row r="482" spans="1:13" ht="13.2" x14ac:dyDescent="0.25">
      <c r="A482" s="1" t="s">
        <v>19</v>
      </c>
      <c r="B482" s="1" t="s">
        <v>13</v>
      </c>
      <c r="C482" s="1" t="s">
        <v>10</v>
      </c>
      <c r="D482" s="1" t="s">
        <v>23</v>
      </c>
      <c r="E482" s="1" t="s">
        <v>17</v>
      </c>
      <c r="F482" s="1">
        <v>59</v>
      </c>
      <c r="G482" s="1">
        <v>77</v>
      </c>
      <c r="H482" s="1">
        <v>76</v>
      </c>
      <c r="I482">
        <f>SUM(F482:H482)</f>
        <v>212</v>
      </c>
      <c r="J482">
        <f>IF(E482="completed", 1, IF(E482="none", 0, ""))</f>
        <v>1</v>
      </c>
      <c r="K482">
        <f t="shared" si="37"/>
        <v>245.5</v>
      </c>
      <c r="L482">
        <f t="shared" si="38"/>
        <v>244.5</v>
      </c>
      <c r="M482">
        <f t="shared" si="39"/>
        <v>59780.25</v>
      </c>
    </row>
    <row r="483" spans="1:13" ht="13.2" x14ac:dyDescent="0.25">
      <c r="A483" s="1" t="s">
        <v>19</v>
      </c>
      <c r="B483" s="1" t="s">
        <v>13</v>
      </c>
      <c r="C483" s="1" t="s">
        <v>10</v>
      </c>
      <c r="D483" s="1" t="s">
        <v>23</v>
      </c>
      <c r="E483" s="1" t="s">
        <v>17</v>
      </c>
      <c r="F483" s="1">
        <v>75</v>
      </c>
      <c r="G483" s="1">
        <v>73</v>
      </c>
      <c r="H483" s="1">
        <v>76</v>
      </c>
      <c r="I483">
        <f>SUM(F483:H483)</f>
        <v>224</v>
      </c>
      <c r="J483">
        <f>IF(E483="completed", 1, IF(E483="none", 0, ""))</f>
        <v>1</v>
      </c>
      <c r="K483">
        <f t="shared" si="37"/>
        <v>194</v>
      </c>
      <c r="L483">
        <f t="shared" si="38"/>
        <v>193</v>
      </c>
      <c r="M483">
        <f t="shared" si="39"/>
        <v>37249</v>
      </c>
    </row>
    <row r="484" spans="1:13" ht="13.2" x14ac:dyDescent="0.25">
      <c r="A484" s="1" t="s">
        <v>8</v>
      </c>
      <c r="B484" s="1" t="s">
        <v>18</v>
      </c>
      <c r="C484" s="1" t="s">
        <v>14</v>
      </c>
      <c r="D484" s="1" t="s">
        <v>11</v>
      </c>
      <c r="E484" s="1" t="s">
        <v>17</v>
      </c>
      <c r="F484" s="1">
        <v>60</v>
      </c>
      <c r="G484" s="1">
        <v>56</v>
      </c>
      <c r="H484" s="1">
        <v>58</v>
      </c>
      <c r="I484">
        <f>SUM(F484:H484)</f>
        <v>174</v>
      </c>
      <c r="J484">
        <f>IF(E484="completed", 1, IF(E484="none", 0, ""))</f>
        <v>1</v>
      </c>
      <c r="K484">
        <f t="shared" si="37"/>
        <v>434</v>
      </c>
      <c r="L484">
        <f t="shared" si="38"/>
        <v>433</v>
      </c>
      <c r="M484">
        <f t="shared" si="39"/>
        <v>187489</v>
      </c>
    </row>
    <row r="485" spans="1:13" ht="13.2" x14ac:dyDescent="0.25">
      <c r="A485" s="1" t="s">
        <v>19</v>
      </c>
      <c r="B485" s="1" t="s">
        <v>18</v>
      </c>
      <c r="C485" s="1" t="s">
        <v>10</v>
      </c>
      <c r="D485" s="1" t="s">
        <v>23</v>
      </c>
      <c r="E485" s="1" t="s">
        <v>17</v>
      </c>
      <c r="F485" s="1">
        <v>47</v>
      </c>
      <c r="G485" s="1">
        <v>49</v>
      </c>
      <c r="H485" s="1">
        <v>48</v>
      </c>
      <c r="I485">
        <f>SUM(F485:H485)</f>
        <v>144</v>
      </c>
      <c r="J485">
        <f>IF(E485="completed", 1, IF(E485="none", 0, ""))</f>
        <v>1</v>
      </c>
      <c r="K485">
        <f t="shared" si="37"/>
        <v>540</v>
      </c>
      <c r="L485">
        <f t="shared" si="38"/>
        <v>539</v>
      </c>
      <c r="M485">
        <f t="shared" si="39"/>
        <v>290521</v>
      </c>
    </row>
    <row r="486" spans="1:13" ht="13.2" x14ac:dyDescent="0.25">
      <c r="A486" s="1" t="s">
        <v>19</v>
      </c>
      <c r="B486" s="1" t="s">
        <v>18</v>
      </c>
      <c r="C486" s="1" t="s">
        <v>16</v>
      </c>
      <c r="D486" s="1" t="s">
        <v>23</v>
      </c>
      <c r="E486" s="1" t="s">
        <v>17</v>
      </c>
      <c r="F486" s="1">
        <v>58</v>
      </c>
      <c r="G486" s="1">
        <v>59</v>
      </c>
      <c r="H486" s="1">
        <v>60</v>
      </c>
      <c r="I486">
        <f>SUM(F486:H486)</f>
        <v>177</v>
      </c>
      <c r="J486">
        <f>IF(E486="completed", 1, IF(E486="none", 0, ""))</f>
        <v>1</v>
      </c>
      <c r="K486">
        <f t="shared" si="37"/>
        <v>419.5</v>
      </c>
      <c r="L486">
        <f t="shared" si="38"/>
        <v>418.5</v>
      </c>
      <c r="M486">
        <f t="shared" si="39"/>
        <v>175142.25</v>
      </c>
    </row>
    <row r="487" spans="1:13" ht="13.2" x14ac:dyDescent="0.25">
      <c r="A487" s="1" t="s">
        <v>8</v>
      </c>
      <c r="B487" s="1" t="s">
        <v>18</v>
      </c>
      <c r="C487" s="1" t="s">
        <v>14</v>
      </c>
      <c r="D487" s="1" t="s">
        <v>23</v>
      </c>
      <c r="E487" s="1" t="s">
        <v>12</v>
      </c>
      <c r="F487" s="1">
        <v>54</v>
      </c>
      <c r="G487" s="1">
        <v>68</v>
      </c>
      <c r="H487" s="1">
        <v>55</v>
      </c>
      <c r="I487">
        <f t="shared" si="35"/>
        <v>177</v>
      </c>
      <c r="J487">
        <f t="shared" si="36"/>
        <v>0</v>
      </c>
      <c r="K487">
        <f t="shared" si="37"/>
        <v>419.5</v>
      </c>
      <c r="L487">
        <f t="shared" si="38"/>
        <v>419.5</v>
      </c>
      <c r="M487">
        <f t="shared" si="39"/>
        <v>175980.25</v>
      </c>
    </row>
    <row r="488" spans="1:13" ht="13.2" x14ac:dyDescent="0.25">
      <c r="A488" s="1" t="s">
        <v>19</v>
      </c>
      <c r="B488" s="1" t="s">
        <v>21</v>
      </c>
      <c r="C488" s="1" t="s">
        <v>10</v>
      </c>
      <c r="D488" s="1" t="s">
        <v>11</v>
      </c>
      <c r="E488" s="1" t="s">
        <v>12</v>
      </c>
      <c r="F488" s="1">
        <v>74</v>
      </c>
      <c r="G488" s="1">
        <v>72</v>
      </c>
      <c r="H488" s="1">
        <v>64</v>
      </c>
      <c r="I488">
        <f t="shared" si="35"/>
        <v>210</v>
      </c>
      <c r="J488">
        <f t="shared" si="36"/>
        <v>0</v>
      </c>
      <c r="K488">
        <f t="shared" si="37"/>
        <v>251</v>
      </c>
      <c r="L488">
        <f t="shared" si="38"/>
        <v>251</v>
      </c>
      <c r="M488">
        <f t="shared" si="39"/>
        <v>63001</v>
      </c>
    </row>
    <row r="489" spans="1:13" ht="13.2" x14ac:dyDescent="0.25">
      <c r="A489" s="1" t="s">
        <v>19</v>
      </c>
      <c r="B489" s="1" t="s">
        <v>13</v>
      </c>
      <c r="C489" s="1" t="s">
        <v>10</v>
      </c>
      <c r="D489" s="1" t="s">
        <v>11</v>
      </c>
      <c r="E489" s="1" t="s">
        <v>12</v>
      </c>
      <c r="F489" s="1">
        <v>70</v>
      </c>
      <c r="G489" s="1">
        <v>76</v>
      </c>
      <c r="H489" s="1">
        <v>66</v>
      </c>
      <c r="I489">
        <f t="shared" si="35"/>
        <v>212</v>
      </c>
      <c r="J489">
        <f t="shared" si="36"/>
        <v>0</v>
      </c>
      <c r="K489">
        <f t="shared" si="37"/>
        <v>245.5</v>
      </c>
      <c r="L489">
        <f t="shared" si="38"/>
        <v>245.5</v>
      </c>
      <c r="M489">
        <f t="shared" si="39"/>
        <v>60270.25</v>
      </c>
    </row>
    <row r="490" spans="1:13" ht="13.2" x14ac:dyDescent="0.25">
      <c r="A490" s="1" t="s">
        <v>8</v>
      </c>
      <c r="B490" s="1" t="s">
        <v>9</v>
      </c>
      <c r="C490" s="1" t="s">
        <v>20</v>
      </c>
      <c r="D490" s="1" t="s">
        <v>11</v>
      </c>
      <c r="E490" s="1" t="s">
        <v>17</v>
      </c>
      <c r="F490" s="1">
        <v>99</v>
      </c>
      <c r="G490" s="1">
        <v>100</v>
      </c>
      <c r="H490" s="1">
        <v>100</v>
      </c>
      <c r="I490">
        <f>SUM(F490:H490)</f>
        <v>299</v>
      </c>
      <c r="J490">
        <f>IF(E490="completed", 1, IF(E490="none", 0, ""))</f>
        <v>1</v>
      </c>
      <c r="K490">
        <f t="shared" si="37"/>
        <v>2.5</v>
      </c>
      <c r="L490">
        <f t="shared" si="38"/>
        <v>1.5</v>
      </c>
      <c r="M490">
        <f t="shared" si="39"/>
        <v>2.25</v>
      </c>
    </row>
    <row r="491" spans="1:13" ht="13.2" x14ac:dyDescent="0.25">
      <c r="A491" s="1" t="s">
        <v>8</v>
      </c>
      <c r="B491" s="1" t="s">
        <v>18</v>
      </c>
      <c r="C491" s="1" t="s">
        <v>14</v>
      </c>
      <c r="D491" s="1" t="s">
        <v>23</v>
      </c>
      <c r="E491" s="1" t="s">
        <v>12</v>
      </c>
      <c r="F491" s="1">
        <v>74</v>
      </c>
      <c r="G491" s="1">
        <v>85</v>
      </c>
      <c r="H491" s="1">
        <v>81</v>
      </c>
      <c r="I491">
        <f t="shared" si="35"/>
        <v>240</v>
      </c>
      <c r="J491">
        <f t="shared" si="36"/>
        <v>0</v>
      </c>
      <c r="K491">
        <f t="shared" si="37"/>
        <v>129.5</v>
      </c>
      <c r="L491">
        <f t="shared" si="38"/>
        <v>129.5</v>
      </c>
      <c r="M491">
        <f t="shared" si="39"/>
        <v>16770.25</v>
      </c>
    </row>
    <row r="492" spans="1:13" ht="13.2" x14ac:dyDescent="0.25">
      <c r="A492" s="1" t="s">
        <v>8</v>
      </c>
      <c r="B492" s="1" t="s">
        <v>9</v>
      </c>
      <c r="C492" s="1" t="s">
        <v>10</v>
      </c>
      <c r="D492" s="1" t="s">
        <v>11</v>
      </c>
      <c r="E492" s="1" t="s">
        <v>12</v>
      </c>
      <c r="F492" s="1">
        <v>83</v>
      </c>
      <c r="G492" s="1">
        <v>90</v>
      </c>
      <c r="H492" s="1">
        <v>88</v>
      </c>
      <c r="I492">
        <f t="shared" si="35"/>
        <v>261</v>
      </c>
      <c r="J492">
        <f t="shared" si="36"/>
        <v>0</v>
      </c>
      <c r="K492">
        <f t="shared" si="37"/>
        <v>60.5</v>
      </c>
      <c r="L492">
        <f t="shared" si="38"/>
        <v>60.5</v>
      </c>
      <c r="M492">
        <f t="shared" si="39"/>
        <v>3660.25</v>
      </c>
    </row>
    <row r="493" spans="1:13" ht="13.2" x14ac:dyDescent="0.25">
      <c r="A493" s="1" t="s">
        <v>8</v>
      </c>
      <c r="B493" s="1" t="s">
        <v>18</v>
      </c>
      <c r="C493" s="1" t="s">
        <v>16</v>
      </c>
      <c r="D493" s="1" t="s">
        <v>23</v>
      </c>
      <c r="E493" s="1" t="s">
        <v>12</v>
      </c>
      <c r="F493" s="1">
        <v>39</v>
      </c>
      <c r="G493" s="1">
        <v>57</v>
      </c>
      <c r="H493" s="1">
        <v>48</v>
      </c>
      <c r="I493">
        <f t="shared" si="35"/>
        <v>144</v>
      </c>
      <c r="J493">
        <f t="shared" si="36"/>
        <v>0</v>
      </c>
      <c r="K493">
        <f t="shared" si="37"/>
        <v>540</v>
      </c>
      <c r="L493">
        <f t="shared" si="38"/>
        <v>540</v>
      </c>
      <c r="M493">
        <f t="shared" si="39"/>
        <v>291600</v>
      </c>
    </row>
    <row r="494" spans="1:13" ht="13.2" x14ac:dyDescent="0.25">
      <c r="A494" s="1" t="s">
        <v>8</v>
      </c>
      <c r="B494" s="1" t="s">
        <v>21</v>
      </c>
      <c r="C494" s="1" t="s">
        <v>10</v>
      </c>
      <c r="D494" s="1" t="s">
        <v>11</v>
      </c>
      <c r="E494" s="1" t="s">
        <v>17</v>
      </c>
      <c r="F494" s="1">
        <v>85</v>
      </c>
      <c r="G494" s="1">
        <v>89</v>
      </c>
      <c r="H494" s="1">
        <v>92</v>
      </c>
      <c r="I494">
        <f>SUM(F494:H494)</f>
        <v>266</v>
      </c>
      <c r="J494">
        <f>IF(E494="completed", 1, IF(E494="none", 0, ""))</f>
        <v>1</v>
      </c>
      <c r="K494">
        <f t="shared" si="37"/>
        <v>48.5</v>
      </c>
      <c r="L494">
        <f t="shared" si="38"/>
        <v>47.5</v>
      </c>
      <c r="M494">
        <f t="shared" si="39"/>
        <v>2256.25</v>
      </c>
    </row>
    <row r="495" spans="1:13" ht="13.2" x14ac:dyDescent="0.25">
      <c r="A495" s="1" t="s">
        <v>8</v>
      </c>
      <c r="B495" s="1" t="s">
        <v>13</v>
      </c>
      <c r="C495" s="1" t="s">
        <v>14</v>
      </c>
      <c r="D495" s="1" t="s">
        <v>23</v>
      </c>
      <c r="E495" s="1" t="s">
        <v>12</v>
      </c>
      <c r="F495" s="1">
        <v>74</v>
      </c>
      <c r="G495" s="1">
        <v>77</v>
      </c>
      <c r="H495" s="1">
        <v>75</v>
      </c>
      <c r="I495">
        <f t="shared" si="35"/>
        <v>226</v>
      </c>
      <c r="J495">
        <f t="shared" si="36"/>
        <v>0</v>
      </c>
      <c r="K495">
        <f t="shared" si="37"/>
        <v>186.5</v>
      </c>
      <c r="L495">
        <f t="shared" si="38"/>
        <v>186.5</v>
      </c>
      <c r="M495">
        <f t="shared" si="39"/>
        <v>34782.25</v>
      </c>
    </row>
    <row r="496" spans="1:13" ht="13.2" x14ac:dyDescent="0.25">
      <c r="A496" s="1" t="s">
        <v>19</v>
      </c>
      <c r="B496" s="1" t="s">
        <v>18</v>
      </c>
      <c r="C496" s="1" t="s">
        <v>10</v>
      </c>
      <c r="D496" s="1" t="s">
        <v>11</v>
      </c>
      <c r="E496" s="1" t="s">
        <v>12</v>
      </c>
      <c r="F496" s="1">
        <v>76</v>
      </c>
      <c r="G496" s="1">
        <v>71</v>
      </c>
      <c r="H496" s="1">
        <v>65</v>
      </c>
      <c r="I496">
        <f t="shared" si="35"/>
        <v>212</v>
      </c>
      <c r="J496">
        <f t="shared" si="36"/>
        <v>0</v>
      </c>
      <c r="K496">
        <f t="shared" si="37"/>
        <v>245.5</v>
      </c>
      <c r="L496">
        <f t="shared" si="38"/>
        <v>245.5</v>
      </c>
      <c r="M496">
        <f t="shared" si="39"/>
        <v>60270.25</v>
      </c>
    </row>
    <row r="497" spans="1:13" ht="13.2" x14ac:dyDescent="0.25">
      <c r="A497" s="1" t="s">
        <v>8</v>
      </c>
      <c r="B497" s="1" t="s">
        <v>9</v>
      </c>
      <c r="C497" s="1" t="s">
        <v>16</v>
      </c>
      <c r="D497" s="1" t="s">
        <v>11</v>
      </c>
      <c r="E497" s="1" t="s">
        <v>12</v>
      </c>
      <c r="F497" s="1">
        <v>57</v>
      </c>
      <c r="G497" s="1">
        <v>59</v>
      </c>
      <c r="H497" s="1">
        <v>67</v>
      </c>
      <c r="I497">
        <f t="shared" si="35"/>
        <v>183</v>
      </c>
      <c r="J497">
        <f t="shared" si="36"/>
        <v>0</v>
      </c>
      <c r="K497">
        <f t="shared" si="37"/>
        <v>395.5</v>
      </c>
      <c r="L497">
        <f t="shared" si="38"/>
        <v>395.5</v>
      </c>
      <c r="M497">
        <f t="shared" si="39"/>
        <v>156420.25</v>
      </c>
    </row>
    <row r="498" spans="1:13" ht="13.2" x14ac:dyDescent="0.25">
      <c r="A498" s="1" t="s">
        <v>19</v>
      </c>
      <c r="B498" s="1" t="s">
        <v>18</v>
      </c>
      <c r="C498" s="1" t="s">
        <v>22</v>
      </c>
      <c r="D498" s="1" t="s">
        <v>23</v>
      </c>
      <c r="E498" s="1" t="s">
        <v>17</v>
      </c>
      <c r="F498" s="1">
        <v>51</v>
      </c>
      <c r="G498" s="1">
        <v>56</v>
      </c>
      <c r="H498" s="1">
        <v>62</v>
      </c>
      <c r="I498">
        <f>SUM(F498:H498)</f>
        <v>169</v>
      </c>
      <c r="J498">
        <f>IF(E498="completed", 1, IF(E498="none", 0, ""))</f>
        <v>1</v>
      </c>
      <c r="K498">
        <f t="shared" si="37"/>
        <v>460</v>
      </c>
      <c r="L498">
        <f t="shared" si="38"/>
        <v>459</v>
      </c>
      <c r="M498">
        <f t="shared" si="39"/>
        <v>210681</v>
      </c>
    </row>
    <row r="499" spans="1:13" ht="13.2" x14ac:dyDescent="0.25">
      <c r="A499" s="1" t="s">
        <v>19</v>
      </c>
      <c r="B499" s="1" t="s">
        <v>18</v>
      </c>
      <c r="C499" s="1" t="s">
        <v>22</v>
      </c>
      <c r="D499" s="1" t="s">
        <v>11</v>
      </c>
      <c r="E499" s="1" t="s">
        <v>12</v>
      </c>
      <c r="F499" s="1">
        <v>57</v>
      </c>
      <c r="G499" s="1">
        <v>49</v>
      </c>
      <c r="H499" s="1">
        <v>50</v>
      </c>
      <c r="I499">
        <f t="shared" si="35"/>
        <v>156</v>
      </c>
      <c r="J499">
        <f t="shared" si="36"/>
        <v>0</v>
      </c>
      <c r="K499">
        <f t="shared" si="37"/>
        <v>507</v>
      </c>
      <c r="L499">
        <f t="shared" si="38"/>
        <v>507</v>
      </c>
      <c r="M499">
        <f t="shared" si="39"/>
        <v>257049</v>
      </c>
    </row>
    <row r="500" spans="1:13" ht="13.2" x14ac:dyDescent="0.25">
      <c r="A500" s="1" t="s">
        <v>19</v>
      </c>
      <c r="B500" s="1" t="s">
        <v>18</v>
      </c>
      <c r="C500" s="1" t="s">
        <v>16</v>
      </c>
      <c r="D500" s="1" t="s">
        <v>23</v>
      </c>
      <c r="E500" s="1" t="s">
        <v>12</v>
      </c>
      <c r="F500" s="1">
        <v>57</v>
      </c>
      <c r="G500" s="1">
        <v>54</v>
      </c>
      <c r="H500" s="1">
        <v>55</v>
      </c>
      <c r="I500">
        <f t="shared" si="35"/>
        <v>166</v>
      </c>
      <c r="J500">
        <f t="shared" si="36"/>
        <v>0</v>
      </c>
      <c r="K500">
        <f t="shared" si="37"/>
        <v>471</v>
      </c>
      <c r="L500">
        <f t="shared" si="38"/>
        <v>471</v>
      </c>
      <c r="M500">
        <f t="shared" si="39"/>
        <v>221841</v>
      </c>
    </row>
    <row r="501" spans="1:13" ht="13.2" x14ac:dyDescent="0.25">
      <c r="A501" s="1" t="s">
        <v>19</v>
      </c>
      <c r="B501" s="1" t="s">
        <v>13</v>
      </c>
      <c r="C501" s="1" t="s">
        <v>16</v>
      </c>
      <c r="D501" s="1" t="s">
        <v>23</v>
      </c>
      <c r="E501" s="1" t="s">
        <v>17</v>
      </c>
      <c r="F501" s="1">
        <v>56</v>
      </c>
      <c r="G501" s="1">
        <v>60</v>
      </c>
      <c r="H501" s="1">
        <v>58</v>
      </c>
      <c r="I501">
        <f t="shared" si="35"/>
        <v>174</v>
      </c>
      <c r="J501">
        <f t="shared" si="36"/>
        <v>1</v>
      </c>
      <c r="K501">
        <f t="shared" si="37"/>
        <v>434</v>
      </c>
      <c r="L501">
        <f t="shared" si="38"/>
        <v>433</v>
      </c>
      <c r="M501">
        <f t="shared" si="39"/>
        <v>187489</v>
      </c>
    </row>
    <row r="502" spans="1:13" ht="13.2" x14ac:dyDescent="0.25">
      <c r="A502" s="1" t="s">
        <v>8</v>
      </c>
      <c r="B502" s="1" t="s">
        <v>9</v>
      </c>
      <c r="C502" s="1" t="s">
        <v>10</v>
      </c>
      <c r="D502" s="1" t="s">
        <v>11</v>
      </c>
      <c r="E502" s="1" t="s">
        <v>17</v>
      </c>
      <c r="F502" s="1">
        <v>71</v>
      </c>
      <c r="G502" s="1">
        <v>80</v>
      </c>
      <c r="H502" s="1">
        <v>69</v>
      </c>
      <c r="I502">
        <f t="shared" si="35"/>
        <v>220</v>
      </c>
      <c r="J502">
        <f t="shared" si="36"/>
        <v>1</v>
      </c>
      <c r="K502">
        <f t="shared" si="37"/>
        <v>213.5</v>
      </c>
      <c r="L502">
        <f t="shared" si="38"/>
        <v>212.5</v>
      </c>
      <c r="M502">
        <f t="shared" si="39"/>
        <v>45156.25</v>
      </c>
    </row>
    <row r="503" spans="1:13" ht="13.2" x14ac:dyDescent="0.25">
      <c r="A503" s="1" t="s">
        <v>19</v>
      </c>
      <c r="B503" s="1" t="s">
        <v>13</v>
      </c>
      <c r="C503" s="1" t="s">
        <v>16</v>
      </c>
      <c r="D503" s="1" t="s">
        <v>11</v>
      </c>
      <c r="E503" s="1" t="s">
        <v>12</v>
      </c>
      <c r="F503" s="1">
        <v>59</v>
      </c>
      <c r="G503" s="1">
        <v>52</v>
      </c>
      <c r="H503" s="1">
        <v>43</v>
      </c>
      <c r="I503">
        <f t="shared" si="35"/>
        <v>154</v>
      </c>
      <c r="J503">
        <f t="shared" si="36"/>
        <v>0</v>
      </c>
      <c r="K503">
        <f t="shared" si="37"/>
        <v>515.5</v>
      </c>
      <c r="L503">
        <f t="shared" si="38"/>
        <v>515.5</v>
      </c>
      <c r="M503">
        <f t="shared" si="39"/>
        <v>265740.25</v>
      </c>
    </row>
    <row r="504" spans="1:13" ht="13.2" x14ac:dyDescent="0.25">
      <c r="A504" s="1" t="s">
        <v>19</v>
      </c>
      <c r="B504" s="1" t="s">
        <v>18</v>
      </c>
      <c r="C504" s="1" t="s">
        <v>10</v>
      </c>
      <c r="D504" s="1" t="s">
        <v>11</v>
      </c>
      <c r="E504" s="1" t="s">
        <v>12</v>
      </c>
      <c r="F504" s="1">
        <v>87</v>
      </c>
      <c r="G504" s="1">
        <v>83</v>
      </c>
      <c r="H504" s="1">
        <v>74</v>
      </c>
      <c r="I504">
        <f t="shared" si="35"/>
        <v>244</v>
      </c>
      <c r="J504">
        <f t="shared" si="36"/>
        <v>0</v>
      </c>
      <c r="K504">
        <f t="shared" si="37"/>
        <v>115.5</v>
      </c>
      <c r="L504">
        <f t="shared" si="38"/>
        <v>115.5</v>
      </c>
      <c r="M504">
        <f t="shared" si="39"/>
        <v>13340.25</v>
      </c>
    </row>
    <row r="505" spans="1:13" ht="13.2" x14ac:dyDescent="0.25">
      <c r="A505" s="1" t="s">
        <v>8</v>
      </c>
      <c r="B505" s="1" t="s">
        <v>13</v>
      </c>
      <c r="C505" s="1" t="s">
        <v>14</v>
      </c>
      <c r="D505" s="1" t="s">
        <v>11</v>
      </c>
      <c r="E505" s="1" t="s">
        <v>12</v>
      </c>
      <c r="F505" s="1">
        <v>64</v>
      </c>
      <c r="G505" s="1">
        <v>66</v>
      </c>
      <c r="H505" s="1">
        <v>74</v>
      </c>
      <c r="I505">
        <f t="shared" si="35"/>
        <v>204</v>
      </c>
      <c r="J505">
        <f t="shared" si="36"/>
        <v>0</v>
      </c>
      <c r="K505">
        <f t="shared" si="37"/>
        <v>281.5</v>
      </c>
      <c r="L505">
        <f t="shared" si="38"/>
        <v>281.5</v>
      </c>
      <c r="M505">
        <f t="shared" si="39"/>
        <v>79242.25</v>
      </c>
    </row>
    <row r="506" spans="1:13" ht="13.2" x14ac:dyDescent="0.25">
      <c r="A506" s="1" t="s">
        <v>8</v>
      </c>
      <c r="B506" s="1" t="s">
        <v>9</v>
      </c>
      <c r="C506" s="1" t="s">
        <v>14</v>
      </c>
      <c r="D506" s="1" t="s">
        <v>11</v>
      </c>
      <c r="E506" s="1" t="s">
        <v>12</v>
      </c>
      <c r="F506" s="1">
        <v>54</v>
      </c>
      <c r="G506" s="1">
        <v>63</v>
      </c>
      <c r="H506" s="1">
        <v>64</v>
      </c>
      <c r="I506">
        <f t="shared" si="35"/>
        <v>181</v>
      </c>
      <c r="J506">
        <f t="shared" si="36"/>
        <v>0</v>
      </c>
      <c r="K506">
        <f t="shared" si="37"/>
        <v>405.5</v>
      </c>
      <c r="L506">
        <f t="shared" si="38"/>
        <v>405.5</v>
      </c>
      <c r="M506">
        <f t="shared" si="39"/>
        <v>164430.25</v>
      </c>
    </row>
    <row r="507" spans="1:13" ht="13.2" x14ac:dyDescent="0.25">
      <c r="A507" s="1" t="s">
        <v>8</v>
      </c>
      <c r="B507" s="1" t="s">
        <v>18</v>
      </c>
      <c r="C507" s="1" t="s">
        <v>16</v>
      </c>
      <c r="D507" s="1" t="s">
        <v>11</v>
      </c>
      <c r="E507" s="1" t="s">
        <v>12</v>
      </c>
      <c r="F507" s="1">
        <v>68</v>
      </c>
      <c r="G507" s="1">
        <v>77</v>
      </c>
      <c r="H507" s="1">
        <v>73</v>
      </c>
      <c r="I507">
        <f t="shared" si="35"/>
        <v>218</v>
      </c>
      <c r="J507">
        <f t="shared" si="36"/>
        <v>0</v>
      </c>
      <c r="K507">
        <f t="shared" si="37"/>
        <v>223</v>
      </c>
      <c r="L507">
        <f t="shared" si="38"/>
        <v>223</v>
      </c>
      <c r="M507">
        <f t="shared" si="39"/>
        <v>49729</v>
      </c>
    </row>
    <row r="508" spans="1:13" ht="13.2" x14ac:dyDescent="0.25">
      <c r="A508" s="1" t="s">
        <v>19</v>
      </c>
      <c r="B508" s="1" t="s">
        <v>9</v>
      </c>
      <c r="C508" s="1" t="s">
        <v>22</v>
      </c>
      <c r="D508" s="1" t="s">
        <v>11</v>
      </c>
      <c r="E508" s="1" t="s">
        <v>12</v>
      </c>
      <c r="F508" s="1">
        <v>30</v>
      </c>
      <c r="G508" s="1">
        <v>50</v>
      </c>
      <c r="H508" s="1">
        <v>38</v>
      </c>
      <c r="I508">
        <f t="shared" si="35"/>
        <v>118</v>
      </c>
      <c r="J508">
        <f t="shared" si="36"/>
        <v>0</v>
      </c>
      <c r="K508">
        <f t="shared" si="37"/>
        <v>584</v>
      </c>
      <c r="L508">
        <f t="shared" si="38"/>
        <v>584</v>
      </c>
      <c r="M508">
        <f t="shared" si="39"/>
        <v>341056</v>
      </c>
    </row>
    <row r="509" spans="1:13" ht="13.2" x14ac:dyDescent="0.25">
      <c r="A509" s="1" t="s">
        <v>8</v>
      </c>
      <c r="B509" s="1" t="s">
        <v>13</v>
      </c>
      <c r="C509" s="1" t="s">
        <v>14</v>
      </c>
      <c r="D509" s="1" t="s">
        <v>11</v>
      </c>
      <c r="E509" s="1" t="s">
        <v>17</v>
      </c>
      <c r="F509" s="1">
        <v>70</v>
      </c>
      <c r="G509" s="1">
        <v>88</v>
      </c>
      <c r="H509" s="1">
        <v>97</v>
      </c>
      <c r="I509">
        <f t="shared" si="35"/>
        <v>255</v>
      </c>
      <c r="J509">
        <f t="shared" si="36"/>
        <v>1</v>
      </c>
      <c r="K509">
        <f t="shared" si="37"/>
        <v>80</v>
      </c>
      <c r="L509">
        <f t="shared" si="38"/>
        <v>79</v>
      </c>
      <c r="M509">
        <f t="shared" si="39"/>
        <v>6241</v>
      </c>
    </row>
    <row r="510" spans="1:13" ht="13.2" x14ac:dyDescent="0.25">
      <c r="A510" s="1" t="s">
        <v>19</v>
      </c>
      <c r="B510" s="1" t="s">
        <v>18</v>
      </c>
      <c r="C510" s="1" t="s">
        <v>10</v>
      </c>
      <c r="D510" s="1" t="s">
        <v>11</v>
      </c>
      <c r="E510" s="1" t="s">
        <v>17</v>
      </c>
      <c r="F510" s="1">
        <v>88</v>
      </c>
      <c r="G510" s="1">
        <v>79</v>
      </c>
      <c r="H510" s="1">
        <v>86</v>
      </c>
      <c r="I510">
        <f t="shared" si="35"/>
        <v>253</v>
      </c>
      <c r="J510">
        <f t="shared" si="36"/>
        <v>1</v>
      </c>
      <c r="K510">
        <f t="shared" si="37"/>
        <v>84.5</v>
      </c>
      <c r="L510">
        <f t="shared" si="38"/>
        <v>83.5</v>
      </c>
      <c r="M510">
        <f t="shared" si="39"/>
        <v>6972.25</v>
      </c>
    </row>
    <row r="511" spans="1:13" ht="13.2" x14ac:dyDescent="0.25">
      <c r="A511" s="1" t="s">
        <v>19</v>
      </c>
      <c r="B511" s="1" t="s">
        <v>18</v>
      </c>
      <c r="C511" s="1" t="s">
        <v>22</v>
      </c>
      <c r="D511" s="1" t="s">
        <v>11</v>
      </c>
      <c r="E511" s="1" t="s">
        <v>17</v>
      </c>
      <c r="F511" s="1">
        <v>56</v>
      </c>
      <c r="G511" s="1">
        <v>52</v>
      </c>
      <c r="H511" s="1">
        <v>52</v>
      </c>
      <c r="I511">
        <f t="shared" si="35"/>
        <v>160</v>
      </c>
      <c r="J511">
        <f t="shared" si="36"/>
        <v>1</v>
      </c>
      <c r="K511">
        <f t="shared" si="37"/>
        <v>490.5</v>
      </c>
      <c r="L511">
        <f t="shared" si="38"/>
        <v>489.5</v>
      </c>
      <c r="M511">
        <f t="shared" si="39"/>
        <v>239610.25</v>
      </c>
    </row>
    <row r="512" spans="1:13" ht="13.2" x14ac:dyDescent="0.25">
      <c r="A512" s="1" t="s">
        <v>8</v>
      </c>
      <c r="B512" s="1" t="s">
        <v>18</v>
      </c>
      <c r="C512" s="1" t="s">
        <v>22</v>
      </c>
      <c r="D512" s="1" t="s">
        <v>11</v>
      </c>
      <c r="E512" s="1" t="s">
        <v>12</v>
      </c>
      <c r="F512" s="1">
        <v>64</v>
      </c>
      <c r="G512" s="1">
        <v>74</v>
      </c>
      <c r="H512" s="1">
        <v>70</v>
      </c>
      <c r="I512">
        <f t="shared" si="35"/>
        <v>208</v>
      </c>
      <c r="J512">
        <f t="shared" si="36"/>
        <v>0</v>
      </c>
      <c r="K512">
        <f t="shared" si="37"/>
        <v>264</v>
      </c>
      <c r="L512">
        <f t="shared" si="38"/>
        <v>264</v>
      </c>
      <c r="M512">
        <f t="shared" si="39"/>
        <v>69696</v>
      </c>
    </row>
    <row r="513" spans="1:13" ht="13.2" x14ac:dyDescent="0.25">
      <c r="A513" s="1" t="s">
        <v>19</v>
      </c>
      <c r="B513" s="1" t="s">
        <v>15</v>
      </c>
      <c r="C513" s="1" t="s">
        <v>20</v>
      </c>
      <c r="D513" s="1" t="s">
        <v>23</v>
      </c>
      <c r="E513" s="1" t="s">
        <v>12</v>
      </c>
      <c r="F513" s="1">
        <v>76</v>
      </c>
      <c r="G513" s="1">
        <v>88</v>
      </c>
      <c r="H513" s="1">
        <v>79</v>
      </c>
      <c r="I513">
        <f t="shared" si="35"/>
        <v>243</v>
      </c>
      <c r="J513">
        <f t="shared" si="36"/>
        <v>0</v>
      </c>
      <c r="K513">
        <f t="shared" si="37"/>
        <v>119.5</v>
      </c>
      <c r="L513">
        <f t="shared" si="38"/>
        <v>119.5</v>
      </c>
      <c r="M513">
        <f t="shared" si="39"/>
        <v>14280.25</v>
      </c>
    </row>
    <row r="514" spans="1:13" ht="13.2" x14ac:dyDescent="0.25">
      <c r="A514" s="1" t="s">
        <v>19</v>
      </c>
      <c r="B514" s="1" t="s">
        <v>13</v>
      </c>
      <c r="C514" s="1" t="s">
        <v>24</v>
      </c>
      <c r="D514" s="1" t="s">
        <v>11</v>
      </c>
      <c r="E514" s="1" t="s">
        <v>12</v>
      </c>
      <c r="F514" s="1">
        <v>78</v>
      </c>
      <c r="G514" s="1">
        <v>73</v>
      </c>
      <c r="H514" s="1">
        <v>72</v>
      </c>
      <c r="I514">
        <f t="shared" si="35"/>
        <v>223</v>
      </c>
      <c r="J514">
        <f t="shared" si="36"/>
        <v>0</v>
      </c>
      <c r="K514">
        <f t="shared" si="37"/>
        <v>200</v>
      </c>
      <c r="L514">
        <f t="shared" si="38"/>
        <v>200</v>
      </c>
      <c r="M514">
        <f t="shared" si="39"/>
        <v>40000</v>
      </c>
    </row>
    <row r="515" spans="1:13" ht="13.2" x14ac:dyDescent="0.25">
      <c r="A515" s="1" t="s">
        <v>19</v>
      </c>
      <c r="B515" s="1" t="s">
        <v>18</v>
      </c>
      <c r="C515" s="1" t="s">
        <v>20</v>
      </c>
      <c r="D515" s="1" t="s">
        <v>11</v>
      </c>
      <c r="E515" s="1" t="s">
        <v>17</v>
      </c>
      <c r="F515" s="1">
        <v>90</v>
      </c>
      <c r="G515" s="1">
        <v>88</v>
      </c>
      <c r="H515" s="1">
        <v>91</v>
      </c>
      <c r="I515">
        <f t="shared" ref="I515:I578" si="40">SUM(F515:H515)</f>
        <v>269</v>
      </c>
      <c r="J515">
        <f t="shared" ref="J515:J578" si="41">IF(E515="completed", 1, IF(E515="none", 0, ""))</f>
        <v>1</v>
      </c>
      <c r="K515">
        <f t="shared" ref="K515:K578" si="42">_xlfn.RANK.AVG(I515, I$2:I$601, 0)</f>
        <v>44.5</v>
      </c>
      <c r="L515">
        <f t="shared" ref="L515:L578" si="43">K515-J515</f>
        <v>43.5</v>
      </c>
      <c r="M515">
        <f t="shared" ref="M515:M578" si="44">L515^2</f>
        <v>1892.25</v>
      </c>
    </row>
    <row r="516" spans="1:13" ht="13.2" x14ac:dyDescent="0.25">
      <c r="A516" s="1" t="s">
        <v>19</v>
      </c>
      <c r="B516" s="1" t="s">
        <v>9</v>
      </c>
      <c r="C516" s="1" t="s">
        <v>22</v>
      </c>
      <c r="D516" s="1" t="s">
        <v>11</v>
      </c>
      <c r="E516" s="1" t="s">
        <v>12</v>
      </c>
      <c r="F516" s="1">
        <v>82</v>
      </c>
      <c r="G516" s="1">
        <v>64</v>
      </c>
      <c r="H516" s="1">
        <v>65</v>
      </c>
      <c r="I516">
        <f t="shared" si="40"/>
        <v>211</v>
      </c>
      <c r="J516">
        <f t="shared" si="41"/>
        <v>0</v>
      </c>
      <c r="K516">
        <f t="shared" si="42"/>
        <v>248.5</v>
      </c>
      <c r="L516">
        <f t="shared" si="43"/>
        <v>248.5</v>
      </c>
      <c r="M516">
        <f t="shared" si="44"/>
        <v>61752.25</v>
      </c>
    </row>
    <row r="517" spans="1:13" ht="13.2" x14ac:dyDescent="0.25">
      <c r="A517" s="1" t="s">
        <v>19</v>
      </c>
      <c r="B517" s="1" t="s">
        <v>21</v>
      </c>
      <c r="C517" s="1" t="s">
        <v>10</v>
      </c>
      <c r="D517" s="1" t="s">
        <v>11</v>
      </c>
      <c r="E517" s="1" t="s">
        <v>12</v>
      </c>
      <c r="F517" s="1">
        <v>62</v>
      </c>
      <c r="G517" s="1">
        <v>55</v>
      </c>
      <c r="H517" s="1">
        <v>51</v>
      </c>
      <c r="I517">
        <f t="shared" si="40"/>
        <v>168</v>
      </c>
      <c r="J517">
        <f t="shared" si="41"/>
        <v>0</v>
      </c>
      <c r="K517">
        <f t="shared" si="42"/>
        <v>463</v>
      </c>
      <c r="L517">
        <f t="shared" si="43"/>
        <v>463</v>
      </c>
      <c r="M517">
        <f t="shared" si="44"/>
        <v>214369</v>
      </c>
    </row>
    <row r="518" spans="1:13" ht="13.2" x14ac:dyDescent="0.25">
      <c r="A518" s="1" t="s">
        <v>8</v>
      </c>
      <c r="B518" s="1" t="s">
        <v>9</v>
      </c>
      <c r="C518" s="1" t="s">
        <v>14</v>
      </c>
      <c r="D518" s="1" t="s">
        <v>23</v>
      </c>
      <c r="E518" s="1" t="s">
        <v>12</v>
      </c>
      <c r="F518" s="1">
        <v>62</v>
      </c>
      <c r="G518" s="1">
        <v>71</v>
      </c>
      <c r="H518" s="1">
        <v>70</v>
      </c>
      <c r="I518">
        <f t="shared" si="40"/>
        <v>203</v>
      </c>
      <c r="J518">
        <f t="shared" si="41"/>
        <v>0</v>
      </c>
      <c r="K518">
        <f t="shared" si="42"/>
        <v>286.5</v>
      </c>
      <c r="L518">
        <f t="shared" si="43"/>
        <v>286.5</v>
      </c>
      <c r="M518">
        <f t="shared" si="44"/>
        <v>82082.25</v>
      </c>
    </row>
    <row r="519" spans="1:13" ht="13.2" x14ac:dyDescent="0.25">
      <c r="A519" s="1" t="s">
        <v>8</v>
      </c>
      <c r="B519" s="1" t="s">
        <v>9</v>
      </c>
      <c r="C519" s="1" t="s">
        <v>10</v>
      </c>
      <c r="D519" s="1" t="s">
        <v>11</v>
      </c>
      <c r="E519" s="1" t="s">
        <v>17</v>
      </c>
      <c r="F519" s="1">
        <v>79</v>
      </c>
      <c r="G519" s="1">
        <v>95</v>
      </c>
      <c r="H519" s="1">
        <v>85</v>
      </c>
      <c r="I519">
        <f t="shared" si="40"/>
        <v>259</v>
      </c>
      <c r="J519">
        <f t="shared" si="41"/>
        <v>1</v>
      </c>
      <c r="K519">
        <f t="shared" si="42"/>
        <v>66</v>
      </c>
      <c r="L519">
        <f t="shared" si="43"/>
        <v>65</v>
      </c>
      <c r="M519">
        <f t="shared" si="44"/>
        <v>4225</v>
      </c>
    </row>
    <row r="520" spans="1:13" ht="13.2" x14ac:dyDescent="0.25">
      <c r="A520" s="1" t="s">
        <v>19</v>
      </c>
      <c r="B520" s="1" t="s">
        <v>18</v>
      </c>
      <c r="C520" s="1" t="s">
        <v>16</v>
      </c>
      <c r="D520" s="1" t="s">
        <v>23</v>
      </c>
      <c r="E520" s="1" t="s">
        <v>12</v>
      </c>
      <c r="F520" s="1">
        <v>64</v>
      </c>
      <c r="G520" s="1">
        <v>66</v>
      </c>
      <c r="H520" s="1">
        <v>57</v>
      </c>
      <c r="I520">
        <f t="shared" si="40"/>
        <v>187</v>
      </c>
      <c r="J520">
        <f t="shared" si="41"/>
        <v>0</v>
      </c>
      <c r="K520">
        <f t="shared" si="42"/>
        <v>380</v>
      </c>
      <c r="L520">
        <f t="shared" si="43"/>
        <v>380</v>
      </c>
      <c r="M520">
        <f t="shared" si="44"/>
        <v>144400</v>
      </c>
    </row>
    <row r="521" spans="1:13" ht="13.2" x14ac:dyDescent="0.25">
      <c r="A521" s="1" t="s">
        <v>19</v>
      </c>
      <c r="B521" s="1" t="s">
        <v>18</v>
      </c>
      <c r="C521" s="1" t="s">
        <v>20</v>
      </c>
      <c r="D521" s="1" t="s">
        <v>11</v>
      </c>
      <c r="E521" s="1" t="s">
        <v>12</v>
      </c>
      <c r="F521" s="1">
        <v>75</v>
      </c>
      <c r="G521" s="1">
        <v>64</v>
      </c>
      <c r="H521" s="1">
        <v>68</v>
      </c>
      <c r="I521">
        <f t="shared" si="40"/>
        <v>207</v>
      </c>
      <c r="J521">
        <f t="shared" si="41"/>
        <v>0</v>
      </c>
      <c r="K521">
        <f t="shared" si="42"/>
        <v>268</v>
      </c>
      <c r="L521">
        <f t="shared" si="43"/>
        <v>268</v>
      </c>
      <c r="M521">
        <f t="shared" si="44"/>
        <v>71824</v>
      </c>
    </row>
    <row r="522" spans="1:13" ht="13.2" x14ac:dyDescent="0.25">
      <c r="A522" s="1" t="s">
        <v>8</v>
      </c>
      <c r="B522" s="1" t="s">
        <v>13</v>
      </c>
      <c r="C522" s="1" t="s">
        <v>22</v>
      </c>
      <c r="D522" s="1" t="s">
        <v>23</v>
      </c>
      <c r="E522" s="1" t="s">
        <v>12</v>
      </c>
      <c r="F522" s="1">
        <v>59</v>
      </c>
      <c r="G522" s="1">
        <v>77</v>
      </c>
      <c r="H522" s="1">
        <v>73</v>
      </c>
      <c r="I522">
        <f t="shared" si="40"/>
        <v>209</v>
      </c>
      <c r="J522">
        <f t="shared" si="41"/>
        <v>0</v>
      </c>
      <c r="K522">
        <f t="shared" si="42"/>
        <v>257.5</v>
      </c>
      <c r="L522">
        <f t="shared" si="43"/>
        <v>257.5</v>
      </c>
      <c r="M522">
        <f t="shared" si="44"/>
        <v>66306.25</v>
      </c>
    </row>
    <row r="523" spans="1:13" ht="13.2" x14ac:dyDescent="0.25">
      <c r="A523" s="1" t="s">
        <v>8</v>
      </c>
      <c r="B523" s="1" t="s">
        <v>15</v>
      </c>
      <c r="C523" s="1" t="s">
        <v>22</v>
      </c>
      <c r="D523" s="1" t="s">
        <v>11</v>
      </c>
      <c r="E523" s="1" t="s">
        <v>12</v>
      </c>
      <c r="F523" s="1">
        <v>63</v>
      </c>
      <c r="G523" s="1">
        <v>74</v>
      </c>
      <c r="H523" s="1">
        <v>68</v>
      </c>
      <c r="I523">
        <f t="shared" si="40"/>
        <v>205</v>
      </c>
      <c r="J523">
        <f t="shared" si="41"/>
        <v>0</v>
      </c>
      <c r="K523">
        <f t="shared" si="42"/>
        <v>277</v>
      </c>
      <c r="L523">
        <f t="shared" si="43"/>
        <v>277</v>
      </c>
      <c r="M523">
        <f t="shared" si="44"/>
        <v>76729</v>
      </c>
    </row>
    <row r="524" spans="1:13" ht="13.2" x14ac:dyDescent="0.25">
      <c r="A524" s="1" t="s">
        <v>19</v>
      </c>
      <c r="B524" s="1" t="s">
        <v>13</v>
      </c>
      <c r="C524" s="1" t="s">
        <v>22</v>
      </c>
      <c r="D524" s="1" t="s">
        <v>11</v>
      </c>
      <c r="E524" s="1" t="s">
        <v>12</v>
      </c>
      <c r="F524" s="1">
        <v>84</v>
      </c>
      <c r="G524" s="1">
        <v>72</v>
      </c>
      <c r="H524" s="1">
        <v>74</v>
      </c>
      <c r="I524">
        <f t="shared" si="40"/>
        <v>230</v>
      </c>
      <c r="J524">
        <f t="shared" si="41"/>
        <v>0</v>
      </c>
      <c r="K524">
        <f t="shared" si="42"/>
        <v>172.5</v>
      </c>
      <c r="L524">
        <f t="shared" si="43"/>
        <v>172.5</v>
      </c>
      <c r="M524">
        <f t="shared" si="44"/>
        <v>29756.25</v>
      </c>
    </row>
    <row r="525" spans="1:13" ht="13.2" x14ac:dyDescent="0.25">
      <c r="A525" s="1" t="s">
        <v>8</v>
      </c>
      <c r="B525" s="1" t="s">
        <v>13</v>
      </c>
      <c r="C525" s="1" t="s">
        <v>14</v>
      </c>
      <c r="D525" s="1" t="s">
        <v>11</v>
      </c>
      <c r="E525" s="1" t="s">
        <v>17</v>
      </c>
      <c r="F525" s="1">
        <v>64</v>
      </c>
      <c r="G525" s="1">
        <v>79</v>
      </c>
      <c r="H525" s="1">
        <v>81</v>
      </c>
      <c r="I525">
        <f t="shared" si="40"/>
        <v>224</v>
      </c>
      <c r="J525">
        <f t="shared" si="41"/>
        <v>1</v>
      </c>
      <c r="K525">
        <f t="shared" si="42"/>
        <v>194</v>
      </c>
      <c r="L525">
        <f t="shared" si="43"/>
        <v>193</v>
      </c>
      <c r="M525">
        <f t="shared" si="44"/>
        <v>37249</v>
      </c>
    </row>
    <row r="526" spans="1:13" ht="13.2" x14ac:dyDescent="0.25">
      <c r="A526" s="1" t="s">
        <v>8</v>
      </c>
      <c r="B526" s="1" t="s">
        <v>15</v>
      </c>
      <c r="C526" s="1" t="s">
        <v>22</v>
      </c>
      <c r="D526" s="1" t="s">
        <v>11</v>
      </c>
      <c r="E526" s="1" t="s">
        <v>17</v>
      </c>
      <c r="F526" s="1">
        <v>81</v>
      </c>
      <c r="G526" s="1">
        <v>92</v>
      </c>
      <c r="H526" s="1">
        <v>89</v>
      </c>
      <c r="I526">
        <f t="shared" si="40"/>
        <v>262</v>
      </c>
      <c r="J526">
        <f t="shared" si="41"/>
        <v>1</v>
      </c>
      <c r="K526">
        <f t="shared" si="42"/>
        <v>57.5</v>
      </c>
      <c r="L526">
        <f t="shared" si="43"/>
        <v>56.5</v>
      </c>
      <c r="M526">
        <f t="shared" si="44"/>
        <v>3192.25</v>
      </c>
    </row>
    <row r="527" spans="1:13" ht="13.2" x14ac:dyDescent="0.25">
      <c r="A527" s="1" t="s">
        <v>8</v>
      </c>
      <c r="B527" s="1" t="s">
        <v>9</v>
      </c>
      <c r="C527" s="1" t="s">
        <v>22</v>
      </c>
      <c r="D527" s="1" t="s">
        <v>11</v>
      </c>
      <c r="E527" s="1" t="s">
        <v>12</v>
      </c>
      <c r="F527" s="1">
        <v>71</v>
      </c>
      <c r="G527" s="1">
        <v>88</v>
      </c>
      <c r="H527" s="1">
        <v>78</v>
      </c>
      <c r="I527">
        <f t="shared" si="40"/>
        <v>237</v>
      </c>
      <c r="J527">
        <f t="shared" si="41"/>
        <v>0</v>
      </c>
      <c r="K527">
        <f t="shared" si="42"/>
        <v>144</v>
      </c>
      <c r="L527">
        <f t="shared" si="43"/>
        <v>144</v>
      </c>
      <c r="M527">
        <f t="shared" si="44"/>
        <v>20736</v>
      </c>
    </row>
    <row r="528" spans="1:13" ht="13.2" x14ac:dyDescent="0.25">
      <c r="A528" s="1" t="s">
        <v>8</v>
      </c>
      <c r="B528" s="1" t="s">
        <v>18</v>
      </c>
      <c r="C528" s="1" t="s">
        <v>10</v>
      </c>
      <c r="D528" s="1" t="s">
        <v>11</v>
      </c>
      <c r="E528" s="1" t="s">
        <v>12</v>
      </c>
      <c r="F528" s="1">
        <v>63</v>
      </c>
      <c r="G528" s="1">
        <v>63</v>
      </c>
      <c r="H528" s="1">
        <v>63</v>
      </c>
      <c r="I528">
        <f t="shared" si="40"/>
        <v>189</v>
      </c>
      <c r="J528">
        <f t="shared" si="41"/>
        <v>0</v>
      </c>
      <c r="K528">
        <f t="shared" si="42"/>
        <v>367</v>
      </c>
      <c r="L528">
        <f t="shared" si="43"/>
        <v>367</v>
      </c>
      <c r="M528">
        <f t="shared" si="44"/>
        <v>134689</v>
      </c>
    </row>
    <row r="529" spans="1:13" ht="13.2" x14ac:dyDescent="0.25">
      <c r="A529" s="1" t="s">
        <v>8</v>
      </c>
      <c r="B529" s="1" t="s">
        <v>18</v>
      </c>
      <c r="C529" s="1" t="s">
        <v>10</v>
      </c>
      <c r="D529" s="1" t="s">
        <v>23</v>
      </c>
      <c r="E529" s="1" t="s">
        <v>12</v>
      </c>
      <c r="F529" s="1">
        <v>51</v>
      </c>
      <c r="G529" s="1">
        <v>63</v>
      </c>
      <c r="H529" s="1">
        <v>58</v>
      </c>
      <c r="I529">
        <f t="shared" si="40"/>
        <v>172</v>
      </c>
      <c r="J529">
        <f t="shared" si="41"/>
        <v>0</v>
      </c>
      <c r="K529">
        <f t="shared" si="42"/>
        <v>445</v>
      </c>
      <c r="L529">
        <f t="shared" si="43"/>
        <v>445</v>
      </c>
      <c r="M529">
        <f t="shared" si="44"/>
        <v>198025</v>
      </c>
    </row>
    <row r="530" spans="1:13" ht="13.2" x14ac:dyDescent="0.25">
      <c r="A530" s="1" t="s">
        <v>8</v>
      </c>
      <c r="B530" s="1" t="s">
        <v>9</v>
      </c>
      <c r="C530" s="1" t="s">
        <v>10</v>
      </c>
      <c r="D530" s="1" t="s">
        <v>23</v>
      </c>
      <c r="E530" s="1" t="s">
        <v>12</v>
      </c>
      <c r="F530" s="1">
        <v>49</v>
      </c>
      <c r="G530" s="1">
        <v>66</v>
      </c>
      <c r="H530" s="1">
        <v>62</v>
      </c>
      <c r="I530">
        <f t="shared" si="40"/>
        <v>177</v>
      </c>
      <c r="J530">
        <f t="shared" si="41"/>
        <v>0</v>
      </c>
      <c r="K530">
        <f t="shared" si="42"/>
        <v>419.5</v>
      </c>
      <c r="L530">
        <f t="shared" si="43"/>
        <v>419.5</v>
      </c>
      <c r="M530">
        <f t="shared" si="44"/>
        <v>175980.25</v>
      </c>
    </row>
    <row r="531" spans="1:13" ht="13.2" x14ac:dyDescent="0.25">
      <c r="A531" s="1" t="s">
        <v>8</v>
      </c>
      <c r="B531" s="1" t="s">
        <v>15</v>
      </c>
      <c r="C531" s="1" t="s">
        <v>14</v>
      </c>
      <c r="D531" s="1" t="s">
        <v>23</v>
      </c>
      <c r="E531" s="1" t="s">
        <v>17</v>
      </c>
      <c r="F531" s="1">
        <v>62</v>
      </c>
      <c r="G531" s="1">
        <v>77</v>
      </c>
      <c r="H531" s="1">
        <v>80</v>
      </c>
      <c r="I531">
        <f t="shared" si="40"/>
        <v>219</v>
      </c>
      <c r="J531">
        <f t="shared" si="41"/>
        <v>1</v>
      </c>
      <c r="K531">
        <f t="shared" si="42"/>
        <v>218.5</v>
      </c>
      <c r="L531">
        <f t="shared" si="43"/>
        <v>217.5</v>
      </c>
      <c r="M531">
        <f t="shared" si="44"/>
        <v>47306.25</v>
      </c>
    </row>
    <row r="532" spans="1:13" ht="13.2" x14ac:dyDescent="0.25">
      <c r="A532" s="1" t="s">
        <v>19</v>
      </c>
      <c r="B532" s="1" t="s">
        <v>18</v>
      </c>
      <c r="C532" s="1" t="s">
        <v>14</v>
      </c>
      <c r="D532" s="1" t="s">
        <v>23</v>
      </c>
      <c r="E532" s="1" t="s">
        <v>12</v>
      </c>
      <c r="F532" s="1">
        <v>58</v>
      </c>
      <c r="G532" s="1">
        <v>62</v>
      </c>
      <c r="H532" s="1">
        <v>61</v>
      </c>
      <c r="I532">
        <f t="shared" si="40"/>
        <v>181</v>
      </c>
      <c r="J532">
        <f t="shared" si="41"/>
        <v>0</v>
      </c>
      <c r="K532">
        <f t="shared" si="42"/>
        <v>405.5</v>
      </c>
      <c r="L532">
        <f t="shared" si="43"/>
        <v>405.5</v>
      </c>
      <c r="M532">
        <f t="shared" si="44"/>
        <v>164430.25</v>
      </c>
    </row>
    <row r="533" spans="1:13" ht="13.2" x14ac:dyDescent="0.25">
      <c r="A533" s="1" t="s">
        <v>8</v>
      </c>
      <c r="B533" s="1" t="s">
        <v>21</v>
      </c>
      <c r="C533" s="1" t="s">
        <v>20</v>
      </c>
      <c r="D533" s="1" t="s">
        <v>11</v>
      </c>
      <c r="E533" s="1" t="s">
        <v>12</v>
      </c>
      <c r="F533" s="1">
        <v>89</v>
      </c>
      <c r="G533" s="1">
        <v>93</v>
      </c>
      <c r="H533" s="1">
        <v>98</v>
      </c>
      <c r="I533">
        <f t="shared" si="40"/>
        <v>280</v>
      </c>
      <c r="J533">
        <f t="shared" si="41"/>
        <v>0</v>
      </c>
      <c r="K533">
        <f t="shared" si="42"/>
        <v>25.5</v>
      </c>
      <c r="L533">
        <f t="shared" si="43"/>
        <v>25.5</v>
      </c>
      <c r="M533">
        <f t="shared" si="44"/>
        <v>650.25</v>
      </c>
    </row>
    <row r="534" spans="1:13" ht="13.2" x14ac:dyDescent="0.25">
      <c r="A534" s="1" t="s">
        <v>19</v>
      </c>
      <c r="B534" s="1" t="s">
        <v>21</v>
      </c>
      <c r="C534" s="1" t="s">
        <v>16</v>
      </c>
      <c r="D534" s="1" t="s">
        <v>11</v>
      </c>
      <c r="E534" s="1" t="s">
        <v>17</v>
      </c>
      <c r="F534" s="1">
        <v>95</v>
      </c>
      <c r="G534" s="1">
        <v>86</v>
      </c>
      <c r="H534" s="1">
        <v>91</v>
      </c>
      <c r="I534">
        <f t="shared" si="40"/>
        <v>272</v>
      </c>
      <c r="J534">
        <f t="shared" si="41"/>
        <v>1</v>
      </c>
      <c r="K534">
        <f t="shared" si="42"/>
        <v>39</v>
      </c>
      <c r="L534">
        <f t="shared" si="43"/>
        <v>38</v>
      </c>
      <c r="M534">
        <f t="shared" si="44"/>
        <v>1444</v>
      </c>
    </row>
    <row r="535" spans="1:13" ht="13.2" x14ac:dyDescent="0.25">
      <c r="A535" s="1" t="s">
        <v>19</v>
      </c>
      <c r="B535" s="1" t="s">
        <v>18</v>
      </c>
      <c r="C535" s="1" t="s">
        <v>10</v>
      </c>
      <c r="D535" s="1" t="s">
        <v>23</v>
      </c>
      <c r="E535" s="1" t="s">
        <v>12</v>
      </c>
      <c r="F535" s="1">
        <v>55</v>
      </c>
      <c r="G535" s="1">
        <v>43</v>
      </c>
      <c r="H535" s="1">
        <v>45</v>
      </c>
      <c r="I535">
        <f t="shared" si="40"/>
        <v>143</v>
      </c>
      <c r="J535">
        <f t="shared" si="41"/>
        <v>0</v>
      </c>
      <c r="K535">
        <f t="shared" si="42"/>
        <v>544.5</v>
      </c>
      <c r="L535">
        <f t="shared" si="43"/>
        <v>544.5</v>
      </c>
      <c r="M535">
        <f t="shared" si="44"/>
        <v>296480.25</v>
      </c>
    </row>
    <row r="536" spans="1:13" ht="13.2" x14ac:dyDescent="0.25">
      <c r="A536" s="1" t="s">
        <v>19</v>
      </c>
      <c r="B536" s="1" t="s">
        <v>15</v>
      </c>
      <c r="C536" s="1" t="s">
        <v>22</v>
      </c>
      <c r="D536" s="1" t="s">
        <v>23</v>
      </c>
      <c r="E536" s="1" t="s">
        <v>12</v>
      </c>
      <c r="F536" s="1">
        <v>24</v>
      </c>
      <c r="G536" s="1">
        <v>26</v>
      </c>
      <c r="H536" s="1">
        <v>18</v>
      </c>
      <c r="I536">
        <f t="shared" si="40"/>
        <v>68</v>
      </c>
      <c r="J536">
        <f t="shared" si="41"/>
        <v>0</v>
      </c>
      <c r="K536">
        <f t="shared" si="42"/>
        <v>600</v>
      </c>
      <c r="L536">
        <f t="shared" si="43"/>
        <v>600</v>
      </c>
      <c r="M536">
        <f t="shared" si="44"/>
        <v>360000</v>
      </c>
    </row>
    <row r="537" spans="1:13" ht="13.2" x14ac:dyDescent="0.25">
      <c r="A537" s="1" t="s">
        <v>8</v>
      </c>
      <c r="B537" s="1" t="s">
        <v>15</v>
      </c>
      <c r="C537" s="1" t="s">
        <v>10</v>
      </c>
      <c r="D537" s="1" t="s">
        <v>11</v>
      </c>
      <c r="E537" s="1" t="s">
        <v>12</v>
      </c>
      <c r="F537" s="1">
        <v>62</v>
      </c>
      <c r="G537" s="1">
        <v>56</v>
      </c>
      <c r="H537" s="1">
        <v>55</v>
      </c>
      <c r="I537">
        <f t="shared" si="40"/>
        <v>173</v>
      </c>
      <c r="J537">
        <f t="shared" si="41"/>
        <v>0</v>
      </c>
      <c r="K537">
        <f t="shared" si="42"/>
        <v>440.5</v>
      </c>
      <c r="L537">
        <f t="shared" si="43"/>
        <v>440.5</v>
      </c>
      <c r="M537">
        <f t="shared" si="44"/>
        <v>194040.25</v>
      </c>
    </row>
    <row r="538" spans="1:13" ht="13.2" x14ac:dyDescent="0.25">
      <c r="A538" s="1" t="s">
        <v>8</v>
      </c>
      <c r="B538" s="1" t="s">
        <v>13</v>
      </c>
      <c r="C538" s="1" t="s">
        <v>14</v>
      </c>
      <c r="D538" s="1" t="s">
        <v>11</v>
      </c>
      <c r="E538" s="1" t="s">
        <v>12</v>
      </c>
      <c r="F538" s="1">
        <v>85</v>
      </c>
      <c r="G538" s="1">
        <v>92</v>
      </c>
      <c r="H538" s="1">
        <v>92</v>
      </c>
      <c r="I538">
        <f t="shared" si="40"/>
        <v>269</v>
      </c>
      <c r="J538">
        <f t="shared" si="41"/>
        <v>0</v>
      </c>
      <c r="K538">
        <f t="shared" si="42"/>
        <v>44.5</v>
      </c>
      <c r="L538">
        <f t="shared" si="43"/>
        <v>44.5</v>
      </c>
      <c r="M538">
        <f t="shared" si="44"/>
        <v>1980.25</v>
      </c>
    </row>
    <row r="539" spans="1:13" ht="13.2" x14ac:dyDescent="0.25">
      <c r="A539" s="1" t="s">
        <v>8</v>
      </c>
      <c r="B539" s="1" t="s">
        <v>13</v>
      </c>
      <c r="C539" s="1" t="s">
        <v>14</v>
      </c>
      <c r="D539" s="1" t="s">
        <v>11</v>
      </c>
      <c r="E539" s="1" t="s">
        <v>12</v>
      </c>
      <c r="F539" s="1">
        <v>71</v>
      </c>
      <c r="G539" s="1">
        <v>82</v>
      </c>
      <c r="H539" s="1">
        <v>81</v>
      </c>
      <c r="I539">
        <f t="shared" si="40"/>
        <v>234</v>
      </c>
      <c r="J539">
        <f t="shared" si="41"/>
        <v>0</v>
      </c>
      <c r="K539">
        <f t="shared" si="42"/>
        <v>159</v>
      </c>
      <c r="L539">
        <f t="shared" si="43"/>
        <v>159</v>
      </c>
      <c r="M539">
        <f t="shared" si="44"/>
        <v>25281</v>
      </c>
    </row>
    <row r="540" spans="1:13" ht="13.2" x14ac:dyDescent="0.25">
      <c r="A540" s="1" t="s">
        <v>8</v>
      </c>
      <c r="B540" s="1" t="s">
        <v>18</v>
      </c>
      <c r="C540" s="1" t="s">
        <v>10</v>
      </c>
      <c r="D540" s="1" t="s">
        <v>23</v>
      </c>
      <c r="E540" s="1" t="s">
        <v>17</v>
      </c>
      <c r="F540" s="1">
        <v>81</v>
      </c>
      <c r="G540" s="1">
        <v>98</v>
      </c>
      <c r="H540" s="1">
        <v>91</v>
      </c>
      <c r="I540">
        <f t="shared" si="40"/>
        <v>270</v>
      </c>
      <c r="J540">
        <f t="shared" si="41"/>
        <v>1</v>
      </c>
      <c r="K540">
        <f t="shared" si="42"/>
        <v>42</v>
      </c>
      <c r="L540">
        <f t="shared" si="43"/>
        <v>41</v>
      </c>
      <c r="M540">
        <f t="shared" si="44"/>
        <v>1681</v>
      </c>
    </row>
    <row r="541" spans="1:13" ht="13.2" x14ac:dyDescent="0.25">
      <c r="A541" s="1" t="s">
        <v>19</v>
      </c>
      <c r="B541" s="1" t="s">
        <v>21</v>
      </c>
      <c r="C541" s="1" t="s">
        <v>10</v>
      </c>
      <c r="D541" s="1" t="s">
        <v>11</v>
      </c>
      <c r="E541" s="1" t="s">
        <v>12</v>
      </c>
      <c r="F541" s="1">
        <v>69</v>
      </c>
      <c r="G541" s="1">
        <v>60</v>
      </c>
      <c r="H541" s="1">
        <v>61</v>
      </c>
      <c r="I541">
        <f t="shared" si="40"/>
        <v>190</v>
      </c>
      <c r="J541">
        <f t="shared" si="41"/>
        <v>0</v>
      </c>
      <c r="K541">
        <f t="shared" si="42"/>
        <v>359.5</v>
      </c>
      <c r="L541">
        <f t="shared" si="43"/>
        <v>359.5</v>
      </c>
      <c r="M541">
        <f t="shared" si="44"/>
        <v>129240.25</v>
      </c>
    </row>
    <row r="542" spans="1:13" ht="13.2" x14ac:dyDescent="0.25">
      <c r="A542" s="1" t="s">
        <v>8</v>
      </c>
      <c r="B542" s="1" t="s">
        <v>13</v>
      </c>
      <c r="C542" s="1" t="s">
        <v>16</v>
      </c>
      <c r="D542" s="1" t="s">
        <v>23</v>
      </c>
      <c r="E542" s="1" t="s">
        <v>17</v>
      </c>
      <c r="F542" s="1">
        <v>71</v>
      </c>
      <c r="G542" s="1">
        <v>93</v>
      </c>
      <c r="H542" s="1">
        <v>91</v>
      </c>
      <c r="I542">
        <f t="shared" si="40"/>
        <v>255</v>
      </c>
      <c r="J542">
        <f t="shared" si="41"/>
        <v>1</v>
      </c>
      <c r="K542">
        <f t="shared" si="42"/>
        <v>80</v>
      </c>
      <c r="L542">
        <f t="shared" si="43"/>
        <v>79</v>
      </c>
      <c r="M542">
        <f t="shared" si="44"/>
        <v>6241</v>
      </c>
    </row>
    <row r="543" spans="1:13" ht="13.2" x14ac:dyDescent="0.25">
      <c r="A543" s="1" t="s">
        <v>19</v>
      </c>
      <c r="B543" s="1" t="s">
        <v>13</v>
      </c>
      <c r="C543" s="1" t="s">
        <v>16</v>
      </c>
      <c r="D543" s="1" t="s">
        <v>11</v>
      </c>
      <c r="E543" s="1" t="s">
        <v>17</v>
      </c>
      <c r="F543" s="1">
        <v>78</v>
      </c>
      <c r="G543" s="1">
        <v>65</v>
      </c>
      <c r="H543" s="1">
        <v>65</v>
      </c>
      <c r="I543">
        <f t="shared" si="40"/>
        <v>208</v>
      </c>
      <c r="J543">
        <f t="shared" si="41"/>
        <v>1</v>
      </c>
      <c r="K543">
        <f t="shared" si="42"/>
        <v>264</v>
      </c>
      <c r="L543">
        <f t="shared" si="43"/>
        <v>263</v>
      </c>
      <c r="M543">
        <f t="shared" si="44"/>
        <v>69169</v>
      </c>
    </row>
    <row r="544" spans="1:13" ht="13.2" x14ac:dyDescent="0.25">
      <c r="A544" s="1" t="s">
        <v>19</v>
      </c>
      <c r="B544" s="1" t="s">
        <v>18</v>
      </c>
      <c r="C544" s="1" t="s">
        <v>24</v>
      </c>
      <c r="D544" s="1" t="s">
        <v>11</v>
      </c>
      <c r="E544" s="1" t="s">
        <v>12</v>
      </c>
      <c r="F544" s="1">
        <v>73</v>
      </c>
      <c r="G544" s="1">
        <v>63</v>
      </c>
      <c r="H544" s="1">
        <v>59</v>
      </c>
      <c r="I544">
        <f t="shared" si="40"/>
        <v>195</v>
      </c>
      <c r="J544">
        <f t="shared" si="41"/>
        <v>0</v>
      </c>
      <c r="K544">
        <f t="shared" si="42"/>
        <v>331.5</v>
      </c>
      <c r="L544">
        <f t="shared" si="43"/>
        <v>331.5</v>
      </c>
      <c r="M544">
        <f t="shared" si="44"/>
        <v>109892.25</v>
      </c>
    </row>
    <row r="545" spans="1:13" ht="13.2" x14ac:dyDescent="0.25">
      <c r="A545" s="1" t="s">
        <v>19</v>
      </c>
      <c r="B545" s="1" t="s">
        <v>9</v>
      </c>
      <c r="C545" s="1" t="s">
        <v>16</v>
      </c>
      <c r="D545" s="1" t="s">
        <v>11</v>
      </c>
      <c r="E545" s="1" t="s">
        <v>12</v>
      </c>
      <c r="F545" s="1">
        <v>66</v>
      </c>
      <c r="G545" s="1">
        <v>65</v>
      </c>
      <c r="H545" s="1">
        <v>64</v>
      </c>
      <c r="I545">
        <f t="shared" si="40"/>
        <v>195</v>
      </c>
      <c r="J545">
        <f t="shared" si="41"/>
        <v>0</v>
      </c>
      <c r="K545">
        <f t="shared" si="42"/>
        <v>331.5</v>
      </c>
      <c r="L545">
        <f t="shared" si="43"/>
        <v>331.5</v>
      </c>
      <c r="M545">
        <f t="shared" si="44"/>
        <v>109892.25</v>
      </c>
    </row>
    <row r="546" spans="1:13" ht="13.2" x14ac:dyDescent="0.25">
      <c r="A546" s="1" t="s">
        <v>8</v>
      </c>
      <c r="B546" s="1" t="s">
        <v>15</v>
      </c>
      <c r="C546" s="1" t="s">
        <v>20</v>
      </c>
      <c r="D546" s="1" t="s">
        <v>11</v>
      </c>
      <c r="E546" s="1" t="s">
        <v>12</v>
      </c>
      <c r="F546" s="1">
        <v>59</v>
      </c>
      <c r="G546" s="1">
        <v>71</v>
      </c>
      <c r="H546" s="1">
        <v>76</v>
      </c>
      <c r="I546">
        <f t="shared" si="40"/>
        <v>206</v>
      </c>
      <c r="J546">
        <f t="shared" si="41"/>
        <v>0</v>
      </c>
      <c r="K546">
        <f t="shared" si="42"/>
        <v>272.5</v>
      </c>
      <c r="L546">
        <f t="shared" si="43"/>
        <v>272.5</v>
      </c>
      <c r="M546">
        <f t="shared" si="44"/>
        <v>74256.25</v>
      </c>
    </row>
    <row r="547" spans="1:13" ht="13.2" x14ac:dyDescent="0.25">
      <c r="A547" s="1" t="s">
        <v>19</v>
      </c>
      <c r="B547" s="1" t="s">
        <v>18</v>
      </c>
      <c r="C547" s="1" t="s">
        <v>14</v>
      </c>
      <c r="D547" s="1" t="s">
        <v>23</v>
      </c>
      <c r="E547" s="1" t="s">
        <v>12</v>
      </c>
      <c r="F547" s="1">
        <v>53</v>
      </c>
      <c r="G547" s="1">
        <v>60</v>
      </c>
      <c r="H547" s="1">
        <v>59</v>
      </c>
      <c r="I547">
        <f t="shared" si="40"/>
        <v>172</v>
      </c>
      <c r="J547">
        <f t="shared" si="41"/>
        <v>0</v>
      </c>
      <c r="K547">
        <f t="shared" si="42"/>
        <v>445</v>
      </c>
      <c r="L547">
        <f t="shared" si="43"/>
        <v>445</v>
      </c>
      <c r="M547">
        <f t="shared" si="44"/>
        <v>198025</v>
      </c>
    </row>
    <row r="548" spans="1:13" ht="13.2" x14ac:dyDescent="0.25">
      <c r="A548" s="1" t="s">
        <v>19</v>
      </c>
      <c r="B548" s="1" t="s">
        <v>9</v>
      </c>
      <c r="C548" s="1" t="s">
        <v>14</v>
      </c>
      <c r="D548" s="1" t="s">
        <v>11</v>
      </c>
      <c r="E548" s="1" t="s">
        <v>12</v>
      </c>
      <c r="F548" s="1">
        <v>66</v>
      </c>
      <c r="G548" s="1">
        <v>49</v>
      </c>
      <c r="H548" s="1">
        <v>51</v>
      </c>
      <c r="I548">
        <f t="shared" si="40"/>
        <v>166</v>
      </c>
      <c r="J548">
        <f t="shared" si="41"/>
        <v>0</v>
      </c>
      <c r="K548">
        <f t="shared" si="42"/>
        <v>471</v>
      </c>
      <c r="L548">
        <f t="shared" si="43"/>
        <v>471</v>
      </c>
      <c r="M548">
        <f t="shared" si="44"/>
        <v>221841</v>
      </c>
    </row>
    <row r="549" spans="1:13" ht="13.2" x14ac:dyDescent="0.25">
      <c r="A549" s="1" t="s">
        <v>19</v>
      </c>
      <c r="B549" s="1" t="s">
        <v>15</v>
      </c>
      <c r="C549" s="1" t="s">
        <v>22</v>
      </c>
      <c r="D549" s="1" t="s">
        <v>11</v>
      </c>
      <c r="E549" s="1" t="s">
        <v>12</v>
      </c>
      <c r="F549" s="1">
        <v>68</v>
      </c>
      <c r="G549" s="1">
        <v>62</v>
      </c>
      <c r="H549" s="1">
        <v>58</v>
      </c>
      <c r="I549">
        <f t="shared" si="40"/>
        <v>188</v>
      </c>
      <c r="J549">
        <f t="shared" si="41"/>
        <v>0</v>
      </c>
      <c r="K549">
        <f t="shared" si="42"/>
        <v>373</v>
      </c>
      <c r="L549">
        <f t="shared" si="43"/>
        <v>373</v>
      </c>
      <c r="M549">
        <f t="shared" si="44"/>
        <v>139129</v>
      </c>
    </row>
    <row r="550" spans="1:13" ht="13.2" x14ac:dyDescent="0.25">
      <c r="A550" s="1" t="s">
        <v>8</v>
      </c>
      <c r="B550" s="1" t="s">
        <v>18</v>
      </c>
      <c r="C550" s="1" t="s">
        <v>24</v>
      </c>
      <c r="D550" s="1" t="s">
        <v>11</v>
      </c>
      <c r="E550" s="1" t="s">
        <v>12</v>
      </c>
      <c r="F550" s="1">
        <v>81</v>
      </c>
      <c r="G550" s="1">
        <v>89</v>
      </c>
      <c r="H550" s="1">
        <v>88</v>
      </c>
      <c r="I550">
        <f t="shared" si="40"/>
        <v>258</v>
      </c>
      <c r="J550">
        <f t="shared" si="41"/>
        <v>0</v>
      </c>
      <c r="K550">
        <f t="shared" si="42"/>
        <v>70</v>
      </c>
      <c r="L550">
        <f t="shared" si="43"/>
        <v>70</v>
      </c>
      <c r="M550">
        <f t="shared" si="44"/>
        <v>4900</v>
      </c>
    </row>
    <row r="551" spans="1:13" ht="13.2" x14ac:dyDescent="0.25">
      <c r="A551" s="1" t="s">
        <v>8</v>
      </c>
      <c r="B551" s="1" t="s">
        <v>15</v>
      </c>
      <c r="C551" s="1" t="s">
        <v>20</v>
      </c>
      <c r="D551" s="1" t="s">
        <v>23</v>
      </c>
      <c r="E551" s="1" t="s">
        <v>17</v>
      </c>
      <c r="F551" s="1">
        <v>68</v>
      </c>
      <c r="G551" s="1">
        <v>89</v>
      </c>
      <c r="H551" s="1">
        <v>88</v>
      </c>
      <c r="I551">
        <f t="shared" si="40"/>
        <v>245</v>
      </c>
      <c r="J551">
        <f t="shared" si="41"/>
        <v>1</v>
      </c>
      <c r="K551">
        <f t="shared" si="42"/>
        <v>112</v>
      </c>
      <c r="L551">
        <f t="shared" si="43"/>
        <v>111</v>
      </c>
      <c r="M551">
        <f t="shared" si="44"/>
        <v>12321</v>
      </c>
    </row>
    <row r="552" spans="1:13" ht="13.2" x14ac:dyDescent="0.25">
      <c r="A552" s="1" t="s">
        <v>19</v>
      </c>
      <c r="B552" s="1" t="s">
        <v>9</v>
      </c>
      <c r="C552" s="1" t="s">
        <v>14</v>
      </c>
      <c r="D552" s="1" t="s">
        <v>11</v>
      </c>
      <c r="E552" s="1" t="s">
        <v>12</v>
      </c>
      <c r="F552" s="1">
        <v>65</v>
      </c>
      <c r="G552" s="1">
        <v>55</v>
      </c>
      <c r="H552" s="1">
        <v>58</v>
      </c>
      <c r="I552">
        <f t="shared" si="40"/>
        <v>178</v>
      </c>
      <c r="J552">
        <f t="shared" si="41"/>
        <v>0</v>
      </c>
      <c r="K552">
        <f t="shared" si="42"/>
        <v>414.5</v>
      </c>
      <c r="L552">
        <f t="shared" si="43"/>
        <v>414.5</v>
      </c>
      <c r="M552">
        <f t="shared" si="44"/>
        <v>171810.25</v>
      </c>
    </row>
    <row r="553" spans="1:13" ht="13.2" x14ac:dyDescent="0.25">
      <c r="A553" s="1" t="s">
        <v>8</v>
      </c>
      <c r="B553" s="1" t="s">
        <v>15</v>
      </c>
      <c r="C553" s="1" t="s">
        <v>10</v>
      </c>
      <c r="D553" s="1" t="s">
        <v>11</v>
      </c>
      <c r="E553" s="1" t="s">
        <v>12</v>
      </c>
      <c r="F553" s="1">
        <v>67</v>
      </c>
      <c r="G553" s="1">
        <v>71</v>
      </c>
      <c r="H553" s="1">
        <v>69</v>
      </c>
      <c r="I553">
        <f t="shared" si="40"/>
        <v>207</v>
      </c>
      <c r="J553">
        <f t="shared" si="41"/>
        <v>0</v>
      </c>
      <c r="K553">
        <f t="shared" si="42"/>
        <v>268</v>
      </c>
      <c r="L553">
        <f t="shared" si="43"/>
        <v>268</v>
      </c>
      <c r="M553">
        <f t="shared" si="44"/>
        <v>71824</v>
      </c>
    </row>
    <row r="554" spans="1:13" ht="13.2" x14ac:dyDescent="0.25">
      <c r="A554" s="1" t="s">
        <v>8</v>
      </c>
      <c r="B554" s="1" t="s">
        <v>9</v>
      </c>
      <c r="C554" s="1" t="s">
        <v>22</v>
      </c>
      <c r="D554" s="1" t="s">
        <v>23</v>
      </c>
      <c r="E554" s="1" t="s">
        <v>12</v>
      </c>
      <c r="F554" s="1">
        <v>52</v>
      </c>
      <c r="G554" s="1">
        <v>63</v>
      </c>
      <c r="H554" s="1">
        <v>60</v>
      </c>
      <c r="I554">
        <f t="shared" si="40"/>
        <v>175</v>
      </c>
      <c r="J554">
        <f t="shared" si="41"/>
        <v>0</v>
      </c>
      <c r="K554">
        <f t="shared" si="42"/>
        <v>426.5</v>
      </c>
      <c r="L554">
        <f t="shared" si="43"/>
        <v>426.5</v>
      </c>
      <c r="M554">
        <f t="shared" si="44"/>
        <v>181902.25</v>
      </c>
    </row>
    <row r="555" spans="1:13" ht="13.2" x14ac:dyDescent="0.25">
      <c r="A555" s="1" t="s">
        <v>19</v>
      </c>
      <c r="B555" s="1" t="s">
        <v>13</v>
      </c>
      <c r="C555" s="1" t="s">
        <v>14</v>
      </c>
      <c r="D555" s="1" t="s">
        <v>11</v>
      </c>
      <c r="E555" s="1" t="s">
        <v>12</v>
      </c>
      <c r="F555" s="1">
        <v>65</v>
      </c>
      <c r="G555" s="1">
        <v>56</v>
      </c>
      <c r="H555" s="1">
        <v>54</v>
      </c>
      <c r="I555">
        <f t="shared" si="40"/>
        <v>175</v>
      </c>
      <c r="J555">
        <f t="shared" si="41"/>
        <v>0</v>
      </c>
      <c r="K555">
        <f t="shared" si="42"/>
        <v>426.5</v>
      </c>
      <c r="L555">
        <f t="shared" si="43"/>
        <v>426.5</v>
      </c>
      <c r="M555">
        <f t="shared" si="44"/>
        <v>181902.25</v>
      </c>
    </row>
    <row r="556" spans="1:13" ht="13.2" x14ac:dyDescent="0.25">
      <c r="A556" s="1" t="s">
        <v>19</v>
      </c>
      <c r="B556" s="1" t="s">
        <v>18</v>
      </c>
      <c r="C556" s="1" t="s">
        <v>14</v>
      </c>
      <c r="D556" s="1" t="s">
        <v>11</v>
      </c>
      <c r="E556" s="1" t="s">
        <v>12</v>
      </c>
      <c r="F556" s="1">
        <v>75</v>
      </c>
      <c r="G556" s="1">
        <v>82</v>
      </c>
      <c r="H556" s="1">
        <v>75</v>
      </c>
      <c r="I556">
        <f t="shared" si="40"/>
        <v>232</v>
      </c>
      <c r="J556">
        <f t="shared" si="41"/>
        <v>0</v>
      </c>
      <c r="K556">
        <f t="shared" si="42"/>
        <v>165.5</v>
      </c>
      <c r="L556">
        <f t="shared" si="43"/>
        <v>165.5</v>
      </c>
      <c r="M556">
        <f t="shared" si="44"/>
        <v>27390.25</v>
      </c>
    </row>
    <row r="557" spans="1:13" ht="13.2" x14ac:dyDescent="0.25">
      <c r="A557" s="1" t="s">
        <v>19</v>
      </c>
      <c r="B557" s="1" t="s">
        <v>18</v>
      </c>
      <c r="C557" s="1" t="s">
        <v>14</v>
      </c>
      <c r="D557" s="1" t="s">
        <v>23</v>
      </c>
      <c r="E557" s="1" t="s">
        <v>12</v>
      </c>
      <c r="F557" s="1">
        <v>68</v>
      </c>
      <c r="G557" s="1">
        <v>59</v>
      </c>
      <c r="H557" s="1">
        <v>54</v>
      </c>
      <c r="I557">
        <f t="shared" si="40"/>
        <v>181</v>
      </c>
      <c r="J557">
        <f t="shared" si="41"/>
        <v>0</v>
      </c>
      <c r="K557">
        <f t="shared" si="42"/>
        <v>405.5</v>
      </c>
      <c r="L557">
        <f t="shared" si="43"/>
        <v>405.5</v>
      </c>
      <c r="M557">
        <f t="shared" si="44"/>
        <v>164430.25</v>
      </c>
    </row>
    <row r="558" spans="1:13" ht="13.2" x14ac:dyDescent="0.25">
      <c r="A558" s="1" t="s">
        <v>19</v>
      </c>
      <c r="B558" s="1" t="s">
        <v>18</v>
      </c>
      <c r="C558" s="1" t="s">
        <v>20</v>
      </c>
      <c r="D558" s="1" t="s">
        <v>11</v>
      </c>
      <c r="E558" s="1" t="s">
        <v>12</v>
      </c>
      <c r="F558" s="1">
        <v>62</v>
      </c>
      <c r="G558" s="1">
        <v>60</v>
      </c>
      <c r="H558" s="1">
        <v>58</v>
      </c>
      <c r="I558">
        <f t="shared" si="40"/>
        <v>180</v>
      </c>
      <c r="J558">
        <f t="shared" si="41"/>
        <v>0</v>
      </c>
      <c r="K558">
        <f t="shared" si="42"/>
        <v>410</v>
      </c>
      <c r="L558">
        <f t="shared" si="43"/>
        <v>410</v>
      </c>
      <c r="M558">
        <f t="shared" si="44"/>
        <v>168100</v>
      </c>
    </row>
    <row r="559" spans="1:13" ht="13.2" x14ac:dyDescent="0.25">
      <c r="A559" s="1" t="s">
        <v>19</v>
      </c>
      <c r="B559" s="1" t="s">
        <v>9</v>
      </c>
      <c r="C559" s="1" t="s">
        <v>16</v>
      </c>
      <c r="D559" s="1" t="s">
        <v>11</v>
      </c>
      <c r="E559" s="1" t="s">
        <v>12</v>
      </c>
      <c r="F559" s="1">
        <v>67</v>
      </c>
      <c r="G559" s="1">
        <v>62</v>
      </c>
      <c r="H559" s="1">
        <v>61</v>
      </c>
      <c r="I559">
        <f t="shared" si="40"/>
        <v>190</v>
      </c>
      <c r="J559">
        <f t="shared" si="41"/>
        <v>0</v>
      </c>
      <c r="K559">
        <f t="shared" si="42"/>
        <v>359.5</v>
      </c>
      <c r="L559">
        <f t="shared" si="43"/>
        <v>359.5</v>
      </c>
      <c r="M559">
        <f t="shared" si="44"/>
        <v>129240.25</v>
      </c>
    </row>
    <row r="560" spans="1:13" ht="13.2" x14ac:dyDescent="0.25">
      <c r="A560" s="1" t="s">
        <v>8</v>
      </c>
      <c r="B560" s="1" t="s">
        <v>9</v>
      </c>
      <c r="C560" s="1" t="s">
        <v>24</v>
      </c>
      <c r="D560" s="1" t="s">
        <v>11</v>
      </c>
      <c r="E560" s="1" t="s">
        <v>12</v>
      </c>
      <c r="F560" s="1">
        <v>80</v>
      </c>
      <c r="G560" s="1">
        <v>85</v>
      </c>
      <c r="H560" s="1">
        <v>83</v>
      </c>
      <c r="I560">
        <f t="shared" si="40"/>
        <v>248</v>
      </c>
      <c r="J560">
        <f t="shared" si="41"/>
        <v>0</v>
      </c>
      <c r="K560">
        <f t="shared" si="42"/>
        <v>103</v>
      </c>
      <c r="L560">
        <f t="shared" si="43"/>
        <v>103</v>
      </c>
      <c r="M560">
        <f t="shared" si="44"/>
        <v>10609</v>
      </c>
    </row>
    <row r="561" spans="1:13" ht="13.2" x14ac:dyDescent="0.25">
      <c r="A561" s="1" t="s">
        <v>19</v>
      </c>
      <c r="B561" s="1" t="s">
        <v>18</v>
      </c>
      <c r="C561" s="1" t="s">
        <v>10</v>
      </c>
      <c r="D561" s="1" t="s">
        <v>23</v>
      </c>
      <c r="E561" s="1" t="s">
        <v>12</v>
      </c>
      <c r="F561" s="1">
        <v>37</v>
      </c>
      <c r="G561" s="1">
        <v>43</v>
      </c>
      <c r="H561" s="1">
        <v>33</v>
      </c>
      <c r="I561">
        <f t="shared" si="40"/>
        <v>113</v>
      </c>
      <c r="J561">
        <f t="shared" si="41"/>
        <v>0</v>
      </c>
      <c r="K561">
        <f t="shared" si="42"/>
        <v>588.5</v>
      </c>
      <c r="L561">
        <f t="shared" si="43"/>
        <v>588.5</v>
      </c>
      <c r="M561">
        <f t="shared" si="44"/>
        <v>346332.25</v>
      </c>
    </row>
    <row r="562" spans="1:13" ht="13.2" x14ac:dyDescent="0.25">
      <c r="A562" s="1" t="s">
        <v>19</v>
      </c>
      <c r="B562" s="1" t="s">
        <v>15</v>
      </c>
      <c r="C562" s="1" t="s">
        <v>16</v>
      </c>
      <c r="D562" s="1" t="s">
        <v>23</v>
      </c>
      <c r="E562" s="1" t="s">
        <v>17</v>
      </c>
      <c r="F562" s="1">
        <v>87</v>
      </c>
      <c r="G562" s="1">
        <v>86</v>
      </c>
      <c r="H562" s="1">
        <v>80</v>
      </c>
      <c r="I562">
        <f t="shared" si="40"/>
        <v>253</v>
      </c>
      <c r="J562">
        <f t="shared" si="41"/>
        <v>1</v>
      </c>
      <c r="K562">
        <f t="shared" si="42"/>
        <v>84.5</v>
      </c>
      <c r="L562">
        <f t="shared" si="43"/>
        <v>83.5</v>
      </c>
      <c r="M562">
        <f t="shared" si="44"/>
        <v>6972.25</v>
      </c>
    </row>
    <row r="563" spans="1:13" ht="13.2" x14ac:dyDescent="0.25">
      <c r="A563" s="1" t="s">
        <v>8</v>
      </c>
      <c r="B563" s="1" t="s">
        <v>13</v>
      </c>
      <c r="C563" s="1" t="s">
        <v>22</v>
      </c>
      <c r="D563" s="1" t="s">
        <v>23</v>
      </c>
      <c r="E563" s="1" t="s">
        <v>12</v>
      </c>
      <c r="F563" s="1">
        <v>30</v>
      </c>
      <c r="G563" s="1">
        <v>45</v>
      </c>
      <c r="H563" s="1">
        <v>39</v>
      </c>
      <c r="I563">
        <f t="shared" si="40"/>
        <v>114</v>
      </c>
      <c r="J563">
        <f t="shared" si="41"/>
        <v>0</v>
      </c>
      <c r="K563">
        <f t="shared" si="42"/>
        <v>586.5</v>
      </c>
      <c r="L563">
        <f t="shared" si="43"/>
        <v>586.5</v>
      </c>
      <c r="M563">
        <f t="shared" si="44"/>
        <v>343982.25</v>
      </c>
    </row>
    <row r="564" spans="1:13" ht="13.2" x14ac:dyDescent="0.25">
      <c r="A564" s="1" t="s">
        <v>8</v>
      </c>
      <c r="B564" s="1" t="s">
        <v>9</v>
      </c>
      <c r="C564" s="1" t="s">
        <v>22</v>
      </c>
      <c r="D564" s="1" t="s">
        <v>11</v>
      </c>
      <c r="E564" s="1" t="s">
        <v>12</v>
      </c>
      <c r="F564" s="1">
        <v>56</v>
      </c>
      <c r="G564" s="1">
        <v>68</v>
      </c>
      <c r="H564" s="1">
        <v>65</v>
      </c>
      <c r="I564">
        <f t="shared" si="40"/>
        <v>189</v>
      </c>
      <c r="J564">
        <f t="shared" si="41"/>
        <v>0</v>
      </c>
      <c r="K564">
        <f t="shared" si="42"/>
        <v>367</v>
      </c>
      <c r="L564">
        <f t="shared" si="43"/>
        <v>367</v>
      </c>
      <c r="M564">
        <f t="shared" si="44"/>
        <v>134689</v>
      </c>
    </row>
    <row r="565" spans="1:13" ht="13.2" x14ac:dyDescent="0.25">
      <c r="A565" s="1" t="s">
        <v>8</v>
      </c>
      <c r="B565" s="1" t="s">
        <v>9</v>
      </c>
      <c r="C565" s="1" t="s">
        <v>20</v>
      </c>
      <c r="D565" s="1" t="s">
        <v>11</v>
      </c>
      <c r="E565" s="1" t="s">
        <v>12</v>
      </c>
      <c r="F565" s="1">
        <v>94</v>
      </c>
      <c r="G565" s="1">
        <v>98</v>
      </c>
      <c r="H565" s="1">
        <v>97</v>
      </c>
      <c r="I565">
        <f t="shared" si="40"/>
        <v>289</v>
      </c>
      <c r="J565">
        <f t="shared" si="41"/>
        <v>0</v>
      </c>
      <c r="K565">
        <f t="shared" si="42"/>
        <v>12.5</v>
      </c>
      <c r="L565">
        <f t="shared" si="43"/>
        <v>12.5</v>
      </c>
      <c r="M565">
        <f t="shared" si="44"/>
        <v>156.25</v>
      </c>
    </row>
    <row r="566" spans="1:13" ht="13.2" x14ac:dyDescent="0.25">
      <c r="A566" s="1" t="s">
        <v>19</v>
      </c>
      <c r="B566" s="1" t="s">
        <v>9</v>
      </c>
      <c r="C566" s="1" t="s">
        <v>22</v>
      </c>
      <c r="D566" s="1" t="s">
        <v>23</v>
      </c>
      <c r="E566" s="1" t="s">
        <v>12</v>
      </c>
      <c r="F566" s="1">
        <v>39</v>
      </c>
      <c r="G566" s="1">
        <v>45</v>
      </c>
      <c r="H566" s="1">
        <v>40</v>
      </c>
      <c r="I566">
        <f t="shared" si="40"/>
        <v>124</v>
      </c>
      <c r="J566">
        <f t="shared" si="41"/>
        <v>0</v>
      </c>
      <c r="K566">
        <f t="shared" si="42"/>
        <v>579</v>
      </c>
      <c r="L566">
        <f t="shared" si="43"/>
        <v>579</v>
      </c>
      <c r="M566">
        <f t="shared" si="44"/>
        <v>335241</v>
      </c>
    </row>
    <row r="567" spans="1:13" ht="13.2" x14ac:dyDescent="0.25">
      <c r="A567" s="1" t="s">
        <v>19</v>
      </c>
      <c r="B567" s="1" t="s">
        <v>9</v>
      </c>
      <c r="C567" s="1" t="s">
        <v>20</v>
      </c>
      <c r="D567" s="1" t="s">
        <v>11</v>
      </c>
      <c r="E567" s="1" t="s">
        <v>17</v>
      </c>
      <c r="F567" s="1">
        <v>61</v>
      </c>
      <c r="G567" s="1">
        <v>67</v>
      </c>
      <c r="H567" s="1">
        <v>68</v>
      </c>
      <c r="I567">
        <f t="shared" si="40"/>
        <v>196</v>
      </c>
      <c r="J567">
        <f t="shared" si="41"/>
        <v>1</v>
      </c>
      <c r="K567">
        <f t="shared" si="42"/>
        <v>323.5</v>
      </c>
      <c r="L567">
        <f t="shared" si="43"/>
        <v>322.5</v>
      </c>
      <c r="M567">
        <f t="shared" si="44"/>
        <v>104006.25</v>
      </c>
    </row>
    <row r="568" spans="1:13" ht="13.2" x14ac:dyDescent="0.25">
      <c r="A568" s="1" t="s">
        <v>19</v>
      </c>
      <c r="B568" s="1" t="s">
        <v>9</v>
      </c>
      <c r="C568" s="1" t="s">
        <v>22</v>
      </c>
      <c r="D568" s="1" t="s">
        <v>23</v>
      </c>
      <c r="E568" s="1" t="s">
        <v>17</v>
      </c>
      <c r="F568" s="1">
        <v>34</v>
      </c>
      <c r="G568" s="1">
        <v>39</v>
      </c>
      <c r="H568" s="1">
        <v>34</v>
      </c>
      <c r="I568">
        <f t="shared" si="40"/>
        <v>107</v>
      </c>
      <c r="J568">
        <f t="shared" si="41"/>
        <v>1</v>
      </c>
      <c r="K568">
        <f t="shared" si="42"/>
        <v>591</v>
      </c>
      <c r="L568">
        <f t="shared" si="43"/>
        <v>590</v>
      </c>
      <c r="M568">
        <f t="shared" si="44"/>
        <v>348100</v>
      </c>
    </row>
    <row r="569" spans="1:13" ht="13.2" x14ac:dyDescent="0.25">
      <c r="A569" s="1" t="s">
        <v>19</v>
      </c>
      <c r="B569" s="1" t="s">
        <v>9</v>
      </c>
      <c r="C569" s="1" t="s">
        <v>10</v>
      </c>
      <c r="D569" s="1" t="s">
        <v>11</v>
      </c>
      <c r="E569" s="1" t="s">
        <v>17</v>
      </c>
      <c r="F569" s="1">
        <v>76</v>
      </c>
      <c r="G569" s="1">
        <v>72</v>
      </c>
      <c r="H569" s="1">
        <v>71</v>
      </c>
      <c r="I569">
        <f t="shared" si="40"/>
        <v>219</v>
      </c>
      <c r="J569">
        <f t="shared" si="41"/>
        <v>1</v>
      </c>
      <c r="K569">
        <f t="shared" si="42"/>
        <v>218.5</v>
      </c>
      <c r="L569">
        <f t="shared" si="43"/>
        <v>217.5</v>
      </c>
      <c r="M569">
        <f t="shared" si="44"/>
        <v>47306.25</v>
      </c>
    </row>
    <row r="570" spans="1:13" ht="13.2" x14ac:dyDescent="0.25">
      <c r="A570" s="1" t="s">
        <v>8</v>
      </c>
      <c r="B570" s="1" t="s">
        <v>15</v>
      </c>
      <c r="C570" s="1" t="s">
        <v>14</v>
      </c>
      <c r="D570" s="1" t="s">
        <v>11</v>
      </c>
      <c r="E570" s="1" t="s">
        <v>12</v>
      </c>
      <c r="F570" s="1">
        <v>65</v>
      </c>
      <c r="G570" s="1">
        <v>72</v>
      </c>
      <c r="H570" s="1">
        <v>72</v>
      </c>
      <c r="I570">
        <f t="shared" si="40"/>
        <v>209</v>
      </c>
      <c r="J570">
        <f t="shared" si="41"/>
        <v>0</v>
      </c>
      <c r="K570">
        <f t="shared" si="42"/>
        <v>257.5</v>
      </c>
      <c r="L570">
        <f t="shared" si="43"/>
        <v>257.5</v>
      </c>
      <c r="M570">
        <f t="shared" si="44"/>
        <v>66306.25</v>
      </c>
    </row>
    <row r="571" spans="1:13" ht="13.2" x14ac:dyDescent="0.25">
      <c r="A571" s="1" t="s">
        <v>8</v>
      </c>
      <c r="B571" s="1" t="s">
        <v>13</v>
      </c>
      <c r="C571" s="1" t="s">
        <v>10</v>
      </c>
      <c r="D571" s="1" t="s">
        <v>23</v>
      </c>
      <c r="E571" s="1" t="s">
        <v>17</v>
      </c>
      <c r="F571" s="1">
        <v>49</v>
      </c>
      <c r="G571" s="1">
        <v>57</v>
      </c>
      <c r="H571" s="1">
        <v>67</v>
      </c>
      <c r="I571">
        <f t="shared" si="40"/>
        <v>173</v>
      </c>
      <c r="J571">
        <f t="shared" si="41"/>
        <v>1</v>
      </c>
      <c r="K571">
        <f t="shared" si="42"/>
        <v>440.5</v>
      </c>
      <c r="L571">
        <f t="shared" si="43"/>
        <v>439.5</v>
      </c>
      <c r="M571">
        <f t="shared" si="44"/>
        <v>193160.25</v>
      </c>
    </row>
    <row r="572" spans="1:13" ht="13.2" x14ac:dyDescent="0.25">
      <c r="A572" s="1" t="s">
        <v>19</v>
      </c>
      <c r="B572" s="1" t="s">
        <v>13</v>
      </c>
      <c r="C572" s="1" t="s">
        <v>22</v>
      </c>
      <c r="D572" s="1" t="s">
        <v>11</v>
      </c>
      <c r="E572" s="1" t="s">
        <v>17</v>
      </c>
      <c r="F572" s="1">
        <v>60</v>
      </c>
      <c r="G572" s="1">
        <v>61</v>
      </c>
      <c r="H572" s="1">
        <v>63</v>
      </c>
      <c r="I572">
        <f t="shared" si="40"/>
        <v>184</v>
      </c>
      <c r="J572">
        <f t="shared" si="41"/>
        <v>1</v>
      </c>
      <c r="K572">
        <f t="shared" si="42"/>
        <v>393.5</v>
      </c>
      <c r="L572">
        <f t="shared" si="43"/>
        <v>392.5</v>
      </c>
      <c r="M572">
        <f t="shared" si="44"/>
        <v>154056.25</v>
      </c>
    </row>
    <row r="573" spans="1:13" ht="13.2" x14ac:dyDescent="0.25">
      <c r="A573" s="1" t="s">
        <v>19</v>
      </c>
      <c r="B573" s="1" t="s">
        <v>21</v>
      </c>
      <c r="C573" s="1" t="s">
        <v>16</v>
      </c>
      <c r="D573" s="1" t="s">
        <v>11</v>
      </c>
      <c r="E573" s="1" t="s">
        <v>17</v>
      </c>
      <c r="F573" s="1">
        <v>100</v>
      </c>
      <c r="G573" s="1">
        <v>100</v>
      </c>
      <c r="H573" s="1">
        <v>94</v>
      </c>
      <c r="I573">
        <f t="shared" si="40"/>
        <v>294</v>
      </c>
      <c r="J573">
        <f t="shared" si="41"/>
        <v>1</v>
      </c>
      <c r="K573">
        <f t="shared" si="42"/>
        <v>5.5</v>
      </c>
      <c r="L573">
        <f t="shared" si="43"/>
        <v>4.5</v>
      </c>
      <c r="M573">
        <f t="shared" si="44"/>
        <v>20.25</v>
      </c>
    </row>
    <row r="574" spans="1:13" ht="13.2" x14ac:dyDescent="0.25">
      <c r="A574" s="1" t="s">
        <v>8</v>
      </c>
      <c r="B574" s="1" t="s">
        <v>21</v>
      </c>
      <c r="C574" s="1" t="s">
        <v>16</v>
      </c>
      <c r="D574" s="1" t="s">
        <v>11</v>
      </c>
      <c r="E574" s="1" t="s">
        <v>12</v>
      </c>
      <c r="F574" s="1">
        <v>80</v>
      </c>
      <c r="G574" s="1">
        <v>86</v>
      </c>
      <c r="H574" s="1">
        <v>86</v>
      </c>
      <c r="I574">
        <f t="shared" si="40"/>
        <v>252</v>
      </c>
      <c r="J574">
        <f t="shared" si="41"/>
        <v>0</v>
      </c>
      <c r="K574">
        <f t="shared" si="42"/>
        <v>88.5</v>
      </c>
      <c r="L574">
        <f t="shared" si="43"/>
        <v>88.5</v>
      </c>
      <c r="M574">
        <f t="shared" si="44"/>
        <v>7832.25</v>
      </c>
    </row>
    <row r="575" spans="1:13" ht="13.2" x14ac:dyDescent="0.25">
      <c r="A575" s="1" t="s">
        <v>8</v>
      </c>
      <c r="B575" s="1" t="s">
        <v>9</v>
      </c>
      <c r="C575" s="1" t="s">
        <v>14</v>
      </c>
      <c r="D575" s="1" t="s">
        <v>23</v>
      </c>
      <c r="E575" s="1" t="s">
        <v>12</v>
      </c>
      <c r="F575" s="1">
        <v>37</v>
      </c>
      <c r="G575" s="1">
        <v>57</v>
      </c>
      <c r="H575" s="1">
        <v>56</v>
      </c>
      <c r="I575">
        <f t="shared" si="40"/>
        <v>150</v>
      </c>
      <c r="J575">
        <f t="shared" si="41"/>
        <v>0</v>
      </c>
      <c r="K575">
        <f t="shared" si="42"/>
        <v>526</v>
      </c>
      <c r="L575">
        <f t="shared" si="43"/>
        <v>526</v>
      </c>
      <c r="M575">
        <f t="shared" si="44"/>
        <v>276676</v>
      </c>
    </row>
    <row r="576" spans="1:13" ht="13.2" x14ac:dyDescent="0.25">
      <c r="A576" s="1" t="s">
        <v>19</v>
      </c>
      <c r="B576" s="1" t="s">
        <v>9</v>
      </c>
      <c r="C576" s="1" t="s">
        <v>20</v>
      </c>
      <c r="D576" s="1" t="s">
        <v>11</v>
      </c>
      <c r="E576" s="1" t="s">
        <v>17</v>
      </c>
      <c r="F576" s="1">
        <v>78</v>
      </c>
      <c r="G576" s="1">
        <v>78</v>
      </c>
      <c r="H576" s="1">
        <v>82</v>
      </c>
      <c r="I576">
        <f t="shared" si="40"/>
        <v>238</v>
      </c>
      <c r="J576">
        <f t="shared" si="41"/>
        <v>1</v>
      </c>
      <c r="K576">
        <f t="shared" si="42"/>
        <v>140.5</v>
      </c>
      <c r="L576">
        <f t="shared" si="43"/>
        <v>139.5</v>
      </c>
      <c r="M576">
        <f t="shared" si="44"/>
        <v>19460.25</v>
      </c>
    </row>
    <row r="577" spans="1:13" ht="13.2" x14ac:dyDescent="0.25">
      <c r="A577" s="1" t="s">
        <v>8</v>
      </c>
      <c r="B577" s="1" t="s">
        <v>21</v>
      </c>
      <c r="C577" s="1" t="s">
        <v>14</v>
      </c>
      <c r="D577" s="1" t="s">
        <v>23</v>
      </c>
      <c r="E577" s="1" t="s">
        <v>17</v>
      </c>
      <c r="F577" s="1">
        <v>40</v>
      </c>
      <c r="G577" s="1">
        <v>51</v>
      </c>
      <c r="H577" s="1">
        <v>52</v>
      </c>
      <c r="I577">
        <f t="shared" si="40"/>
        <v>143</v>
      </c>
      <c r="J577">
        <f t="shared" si="41"/>
        <v>1</v>
      </c>
      <c r="K577">
        <f t="shared" si="42"/>
        <v>544.5</v>
      </c>
      <c r="L577">
        <f t="shared" si="43"/>
        <v>543.5</v>
      </c>
      <c r="M577">
        <f t="shared" si="44"/>
        <v>295392.25</v>
      </c>
    </row>
    <row r="578" spans="1:13" ht="13.2" x14ac:dyDescent="0.25">
      <c r="A578" s="1" t="s">
        <v>8</v>
      </c>
      <c r="B578" s="1" t="s">
        <v>18</v>
      </c>
      <c r="C578" s="1" t="s">
        <v>14</v>
      </c>
      <c r="D578" s="1" t="s">
        <v>23</v>
      </c>
      <c r="E578" s="1" t="s">
        <v>17</v>
      </c>
      <c r="F578" s="1">
        <v>69</v>
      </c>
      <c r="G578" s="1">
        <v>86</v>
      </c>
      <c r="H578" s="1">
        <v>85</v>
      </c>
      <c r="I578">
        <f t="shared" si="40"/>
        <v>240</v>
      </c>
      <c r="J578">
        <f t="shared" si="41"/>
        <v>1</v>
      </c>
      <c r="K578">
        <f t="shared" si="42"/>
        <v>129.5</v>
      </c>
      <c r="L578">
        <f t="shared" si="43"/>
        <v>128.5</v>
      </c>
      <c r="M578">
        <f t="shared" si="44"/>
        <v>16512.25</v>
      </c>
    </row>
    <row r="579" spans="1:13" ht="13.2" x14ac:dyDescent="0.25">
      <c r="A579" s="1" t="s">
        <v>8</v>
      </c>
      <c r="B579" s="1" t="s">
        <v>18</v>
      </c>
      <c r="C579" s="1" t="s">
        <v>22</v>
      </c>
      <c r="D579" s="1" t="s">
        <v>23</v>
      </c>
      <c r="E579" s="1" t="s">
        <v>12</v>
      </c>
      <c r="F579" s="1">
        <v>18</v>
      </c>
      <c r="G579" s="1">
        <v>34</v>
      </c>
      <c r="H579" s="1">
        <v>23</v>
      </c>
      <c r="I579">
        <f t="shared" ref="I579:I642" si="45">SUM(F579:H579)</f>
        <v>75</v>
      </c>
      <c r="J579">
        <f t="shared" ref="J579:J642" si="46">IF(E579="completed", 1, IF(E579="none", 0, ""))</f>
        <v>0</v>
      </c>
      <c r="K579">
        <f t="shared" ref="K579:K642" si="47">_xlfn.RANK.AVG(I579, I$2:I$601, 0)</f>
        <v>599</v>
      </c>
      <c r="L579">
        <f t="shared" ref="L579:L642" si="48">K579-J579</f>
        <v>599</v>
      </c>
      <c r="M579">
        <f t="shared" ref="M579:M642" si="49">L579^2</f>
        <v>358801</v>
      </c>
    </row>
    <row r="580" spans="1:13" ht="13.2" x14ac:dyDescent="0.25">
      <c r="A580" s="1" t="s">
        <v>19</v>
      </c>
      <c r="B580" s="1" t="s">
        <v>21</v>
      </c>
      <c r="C580" s="1" t="s">
        <v>10</v>
      </c>
      <c r="D580" s="1" t="s">
        <v>23</v>
      </c>
      <c r="E580" s="1" t="s">
        <v>12</v>
      </c>
      <c r="F580" s="1">
        <v>73</v>
      </c>
      <c r="G580" s="1">
        <v>67</v>
      </c>
      <c r="H580" s="1">
        <v>57</v>
      </c>
      <c r="I580">
        <f t="shared" si="45"/>
        <v>197</v>
      </c>
      <c r="J580">
        <f t="shared" si="46"/>
        <v>0</v>
      </c>
      <c r="K580">
        <f t="shared" si="47"/>
        <v>317.5</v>
      </c>
      <c r="L580">
        <f t="shared" si="48"/>
        <v>317.5</v>
      </c>
      <c r="M580">
        <f t="shared" si="49"/>
        <v>100806.25</v>
      </c>
    </row>
    <row r="581" spans="1:13" ht="13.2" x14ac:dyDescent="0.25">
      <c r="A581" s="1" t="s">
        <v>8</v>
      </c>
      <c r="B581" s="1" t="s">
        <v>18</v>
      </c>
      <c r="C581" s="1" t="s">
        <v>14</v>
      </c>
      <c r="D581" s="1" t="s">
        <v>11</v>
      </c>
      <c r="E581" s="1" t="s">
        <v>12</v>
      </c>
      <c r="F581" s="1">
        <v>75</v>
      </c>
      <c r="G581" s="1">
        <v>74</v>
      </c>
      <c r="H581" s="1">
        <v>77</v>
      </c>
      <c r="I581">
        <f t="shared" si="45"/>
        <v>226</v>
      </c>
      <c r="J581">
        <f t="shared" si="46"/>
        <v>0</v>
      </c>
      <c r="K581">
        <f t="shared" si="47"/>
        <v>186.5</v>
      </c>
      <c r="L581">
        <f t="shared" si="48"/>
        <v>186.5</v>
      </c>
      <c r="M581">
        <f t="shared" si="49"/>
        <v>34782.25</v>
      </c>
    </row>
    <row r="582" spans="1:13" ht="13.2" x14ac:dyDescent="0.25">
      <c r="A582" s="1" t="s">
        <v>19</v>
      </c>
      <c r="B582" s="1" t="s">
        <v>13</v>
      </c>
      <c r="C582" s="1" t="s">
        <v>22</v>
      </c>
      <c r="D582" s="1" t="s">
        <v>11</v>
      </c>
      <c r="E582" s="1" t="s">
        <v>12</v>
      </c>
      <c r="F582" s="1">
        <v>69</v>
      </c>
      <c r="G582" s="1">
        <v>60</v>
      </c>
      <c r="H582" s="1">
        <v>61</v>
      </c>
      <c r="I582">
        <f t="shared" si="45"/>
        <v>190</v>
      </c>
      <c r="J582">
        <f t="shared" si="46"/>
        <v>0</v>
      </c>
      <c r="K582">
        <f t="shared" si="47"/>
        <v>359.5</v>
      </c>
      <c r="L582">
        <f t="shared" si="48"/>
        <v>359.5</v>
      </c>
      <c r="M582">
        <f t="shared" si="49"/>
        <v>129240.25</v>
      </c>
    </row>
    <row r="583" spans="1:13" ht="13.2" x14ac:dyDescent="0.25">
      <c r="A583" s="1" t="s">
        <v>19</v>
      </c>
      <c r="B583" s="1" t="s">
        <v>18</v>
      </c>
      <c r="C583" s="1" t="s">
        <v>20</v>
      </c>
      <c r="D583" s="1" t="s">
        <v>23</v>
      </c>
      <c r="E583" s="1" t="s">
        <v>12</v>
      </c>
      <c r="F583" s="1">
        <v>53</v>
      </c>
      <c r="G583" s="1">
        <v>58</v>
      </c>
      <c r="H583" s="1">
        <v>55</v>
      </c>
      <c r="I583">
        <f t="shared" si="45"/>
        <v>166</v>
      </c>
      <c r="J583">
        <f t="shared" si="46"/>
        <v>0</v>
      </c>
      <c r="K583">
        <f t="shared" si="47"/>
        <v>471</v>
      </c>
      <c r="L583">
        <f t="shared" si="48"/>
        <v>471</v>
      </c>
      <c r="M583">
        <f t="shared" si="49"/>
        <v>221841</v>
      </c>
    </row>
    <row r="584" spans="1:13" ht="13.2" x14ac:dyDescent="0.25">
      <c r="A584" s="1" t="s">
        <v>8</v>
      </c>
      <c r="B584" s="1" t="s">
        <v>18</v>
      </c>
      <c r="C584" s="1" t="s">
        <v>14</v>
      </c>
      <c r="D584" s="1" t="s">
        <v>23</v>
      </c>
      <c r="E584" s="1" t="s">
        <v>17</v>
      </c>
      <c r="F584" s="1">
        <v>47</v>
      </c>
      <c r="G584" s="1">
        <v>63</v>
      </c>
      <c r="H584" s="1">
        <v>60</v>
      </c>
      <c r="I584">
        <f t="shared" si="45"/>
        <v>170</v>
      </c>
      <c r="J584">
        <f t="shared" si="46"/>
        <v>1</v>
      </c>
      <c r="K584">
        <f t="shared" si="47"/>
        <v>455.5</v>
      </c>
      <c r="L584">
        <f t="shared" si="48"/>
        <v>454.5</v>
      </c>
      <c r="M584">
        <f t="shared" si="49"/>
        <v>206570.25</v>
      </c>
    </row>
    <row r="585" spans="1:13" ht="13.2" x14ac:dyDescent="0.25">
      <c r="A585" s="1" t="s">
        <v>8</v>
      </c>
      <c r="B585" s="1" t="s">
        <v>18</v>
      </c>
      <c r="C585" s="1" t="s">
        <v>20</v>
      </c>
      <c r="D585" s="1" t="s">
        <v>11</v>
      </c>
      <c r="E585" s="1" t="s">
        <v>17</v>
      </c>
      <c r="F585" s="1">
        <v>58</v>
      </c>
      <c r="G585" s="1">
        <v>69</v>
      </c>
      <c r="H585" s="1">
        <v>71</v>
      </c>
      <c r="I585">
        <f t="shared" si="45"/>
        <v>198</v>
      </c>
      <c r="J585">
        <f t="shared" si="46"/>
        <v>1</v>
      </c>
      <c r="K585">
        <f t="shared" si="47"/>
        <v>313</v>
      </c>
      <c r="L585">
        <f t="shared" si="48"/>
        <v>312</v>
      </c>
      <c r="M585">
        <f t="shared" si="49"/>
        <v>97344</v>
      </c>
    </row>
    <row r="586" spans="1:13" ht="13.2" x14ac:dyDescent="0.25">
      <c r="A586" s="1" t="s">
        <v>19</v>
      </c>
      <c r="B586" s="1" t="s">
        <v>13</v>
      </c>
      <c r="C586" s="1" t="s">
        <v>10</v>
      </c>
      <c r="D586" s="1" t="s">
        <v>11</v>
      </c>
      <c r="E586" s="1" t="s">
        <v>17</v>
      </c>
      <c r="F586" s="1">
        <v>93</v>
      </c>
      <c r="G586" s="1">
        <v>83</v>
      </c>
      <c r="H586" s="1">
        <v>89</v>
      </c>
      <c r="I586">
        <f t="shared" si="45"/>
        <v>265</v>
      </c>
      <c r="J586">
        <f t="shared" si="46"/>
        <v>1</v>
      </c>
      <c r="K586">
        <f t="shared" si="47"/>
        <v>50.5</v>
      </c>
      <c r="L586">
        <f t="shared" si="48"/>
        <v>49.5</v>
      </c>
      <c r="M586">
        <f t="shared" si="49"/>
        <v>2450.25</v>
      </c>
    </row>
    <row r="587" spans="1:13" ht="13.2" x14ac:dyDescent="0.25">
      <c r="A587" s="1" t="s">
        <v>19</v>
      </c>
      <c r="B587" s="1" t="s">
        <v>9</v>
      </c>
      <c r="C587" s="1" t="s">
        <v>14</v>
      </c>
      <c r="D587" s="1" t="s">
        <v>11</v>
      </c>
      <c r="E587" s="1" t="s">
        <v>17</v>
      </c>
      <c r="F587" s="1">
        <v>76</v>
      </c>
      <c r="G587" s="1">
        <v>68</v>
      </c>
      <c r="H587" s="1">
        <v>72</v>
      </c>
      <c r="I587">
        <f t="shared" si="45"/>
        <v>216</v>
      </c>
      <c r="J587">
        <f t="shared" si="46"/>
        <v>1</v>
      </c>
      <c r="K587">
        <f t="shared" si="47"/>
        <v>231</v>
      </c>
      <c r="L587">
        <f t="shared" si="48"/>
        <v>230</v>
      </c>
      <c r="M587">
        <f t="shared" si="49"/>
        <v>52900</v>
      </c>
    </row>
    <row r="588" spans="1:13" ht="13.2" x14ac:dyDescent="0.25">
      <c r="A588" s="1" t="s">
        <v>8</v>
      </c>
      <c r="B588" s="1" t="s">
        <v>13</v>
      </c>
      <c r="C588" s="1" t="s">
        <v>14</v>
      </c>
      <c r="D588" s="1" t="s">
        <v>23</v>
      </c>
      <c r="E588" s="1" t="s">
        <v>12</v>
      </c>
      <c r="F588" s="1">
        <v>60</v>
      </c>
      <c r="G588" s="1">
        <v>68</v>
      </c>
      <c r="H588" s="1">
        <v>68</v>
      </c>
      <c r="I588">
        <f t="shared" si="45"/>
        <v>196</v>
      </c>
      <c r="J588">
        <f t="shared" si="46"/>
        <v>0</v>
      </c>
      <c r="K588">
        <f t="shared" si="47"/>
        <v>323.5</v>
      </c>
      <c r="L588">
        <f t="shared" si="48"/>
        <v>323.5</v>
      </c>
      <c r="M588">
        <f t="shared" si="49"/>
        <v>104652.25</v>
      </c>
    </row>
    <row r="589" spans="1:13" ht="13.2" x14ac:dyDescent="0.25">
      <c r="A589" s="1" t="s">
        <v>19</v>
      </c>
      <c r="B589" s="1" t="s">
        <v>18</v>
      </c>
      <c r="C589" s="1" t="s">
        <v>14</v>
      </c>
      <c r="D589" s="1" t="s">
        <v>23</v>
      </c>
      <c r="E589" s="1" t="s">
        <v>12</v>
      </c>
      <c r="F589" s="1">
        <v>70</v>
      </c>
      <c r="G589" s="1">
        <v>68</v>
      </c>
      <c r="H589" s="1">
        <v>66</v>
      </c>
      <c r="I589">
        <f t="shared" si="45"/>
        <v>204</v>
      </c>
      <c r="J589">
        <f t="shared" si="46"/>
        <v>0</v>
      </c>
      <c r="K589">
        <f t="shared" si="47"/>
        <v>281.5</v>
      </c>
      <c r="L589">
        <f t="shared" si="48"/>
        <v>281.5</v>
      </c>
      <c r="M589">
        <f t="shared" si="49"/>
        <v>79242.25</v>
      </c>
    </row>
    <row r="590" spans="1:13" ht="13.2" x14ac:dyDescent="0.25">
      <c r="A590" s="1" t="s">
        <v>19</v>
      </c>
      <c r="B590" s="1" t="s">
        <v>13</v>
      </c>
      <c r="C590" s="1" t="s">
        <v>10</v>
      </c>
      <c r="D590" s="1" t="s">
        <v>11</v>
      </c>
      <c r="E590" s="1" t="s">
        <v>12</v>
      </c>
      <c r="F590" s="1">
        <v>78</v>
      </c>
      <c r="G590" s="1">
        <v>76</v>
      </c>
      <c r="H590" s="1">
        <v>69</v>
      </c>
      <c r="I590">
        <f t="shared" si="45"/>
        <v>223</v>
      </c>
      <c r="J590">
        <f t="shared" si="46"/>
        <v>0</v>
      </c>
      <c r="K590">
        <f t="shared" si="47"/>
        <v>200</v>
      </c>
      <c r="L590">
        <f t="shared" si="48"/>
        <v>200</v>
      </c>
      <c r="M590">
        <f t="shared" si="49"/>
        <v>40000</v>
      </c>
    </row>
    <row r="591" spans="1:13" ht="13.2" x14ac:dyDescent="0.25">
      <c r="A591" s="1" t="s">
        <v>8</v>
      </c>
      <c r="B591" s="1" t="s">
        <v>18</v>
      </c>
      <c r="C591" s="1" t="s">
        <v>20</v>
      </c>
      <c r="D591" s="1" t="s">
        <v>11</v>
      </c>
      <c r="E591" s="1" t="s">
        <v>17</v>
      </c>
      <c r="F591" s="1">
        <v>67</v>
      </c>
      <c r="G591" s="1">
        <v>83</v>
      </c>
      <c r="H591" s="1">
        <v>86</v>
      </c>
      <c r="I591">
        <f t="shared" si="45"/>
        <v>236</v>
      </c>
      <c r="J591">
        <f t="shared" si="46"/>
        <v>1</v>
      </c>
      <c r="K591">
        <f t="shared" si="47"/>
        <v>148.5</v>
      </c>
      <c r="L591">
        <f t="shared" si="48"/>
        <v>147.5</v>
      </c>
      <c r="M591">
        <f t="shared" si="49"/>
        <v>21756.25</v>
      </c>
    </row>
    <row r="592" spans="1:13" ht="13.2" x14ac:dyDescent="0.25">
      <c r="A592" s="1" t="s">
        <v>19</v>
      </c>
      <c r="B592" s="1" t="s">
        <v>18</v>
      </c>
      <c r="C592" s="1" t="s">
        <v>10</v>
      </c>
      <c r="D592" s="1" t="s">
        <v>23</v>
      </c>
      <c r="E592" s="1" t="s">
        <v>17</v>
      </c>
      <c r="F592" s="1">
        <v>59</v>
      </c>
      <c r="G592" s="1">
        <v>51</v>
      </c>
      <c r="H592" s="1">
        <v>56</v>
      </c>
      <c r="I592">
        <f t="shared" si="45"/>
        <v>166</v>
      </c>
      <c r="J592">
        <f t="shared" si="46"/>
        <v>1</v>
      </c>
      <c r="K592">
        <f t="shared" si="47"/>
        <v>471</v>
      </c>
      <c r="L592">
        <f t="shared" si="48"/>
        <v>470</v>
      </c>
      <c r="M592">
        <f t="shared" si="49"/>
        <v>220900</v>
      </c>
    </row>
    <row r="593" spans="1:13" ht="13.2" x14ac:dyDescent="0.25">
      <c r="A593" s="1" t="s">
        <v>19</v>
      </c>
      <c r="B593" s="1" t="s">
        <v>18</v>
      </c>
      <c r="C593" s="1" t="s">
        <v>10</v>
      </c>
      <c r="D593" s="1" t="s">
        <v>11</v>
      </c>
      <c r="E593" s="1" t="s">
        <v>12</v>
      </c>
      <c r="F593" s="1">
        <v>60</v>
      </c>
      <c r="G593" s="1">
        <v>50</v>
      </c>
      <c r="H593" s="1">
        <v>46</v>
      </c>
      <c r="I593">
        <f t="shared" si="45"/>
        <v>156</v>
      </c>
      <c r="J593">
        <f t="shared" si="46"/>
        <v>0</v>
      </c>
      <c r="K593">
        <f t="shared" si="47"/>
        <v>507</v>
      </c>
      <c r="L593">
        <f t="shared" si="48"/>
        <v>507</v>
      </c>
      <c r="M593">
        <f t="shared" si="49"/>
        <v>257049</v>
      </c>
    </row>
    <row r="594" spans="1:13" ht="13.2" x14ac:dyDescent="0.25">
      <c r="A594" s="1" t="s">
        <v>19</v>
      </c>
      <c r="B594" s="1" t="s">
        <v>9</v>
      </c>
      <c r="C594" s="1" t="s">
        <v>22</v>
      </c>
      <c r="D594" s="1" t="s">
        <v>23</v>
      </c>
      <c r="E594" s="1" t="s">
        <v>17</v>
      </c>
      <c r="F594" s="1">
        <v>71</v>
      </c>
      <c r="G594" s="1">
        <v>60</v>
      </c>
      <c r="H594" s="1">
        <v>69</v>
      </c>
      <c r="I594">
        <f t="shared" si="45"/>
        <v>200</v>
      </c>
      <c r="J594">
        <f t="shared" si="46"/>
        <v>1</v>
      </c>
      <c r="K594">
        <f t="shared" si="47"/>
        <v>300.5</v>
      </c>
      <c r="L594">
        <f t="shared" si="48"/>
        <v>299.5</v>
      </c>
      <c r="M594">
        <f t="shared" si="49"/>
        <v>89700.25</v>
      </c>
    </row>
    <row r="595" spans="1:13" ht="13.2" x14ac:dyDescent="0.25">
      <c r="A595" s="1" t="s">
        <v>8</v>
      </c>
      <c r="B595" s="1" t="s">
        <v>21</v>
      </c>
      <c r="C595" s="1" t="s">
        <v>16</v>
      </c>
      <c r="D595" s="1" t="s">
        <v>23</v>
      </c>
      <c r="E595" s="1" t="s">
        <v>17</v>
      </c>
      <c r="F595" s="1">
        <v>51</v>
      </c>
      <c r="G595" s="1">
        <v>58</v>
      </c>
      <c r="H595" s="1">
        <v>65</v>
      </c>
      <c r="I595">
        <f t="shared" si="45"/>
        <v>174</v>
      </c>
      <c r="J595">
        <f t="shared" si="46"/>
        <v>1</v>
      </c>
      <c r="K595">
        <f t="shared" si="47"/>
        <v>434</v>
      </c>
      <c r="L595">
        <f t="shared" si="48"/>
        <v>433</v>
      </c>
      <c r="M595">
        <f t="shared" si="49"/>
        <v>187489</v>
      </c>
    </row>
    <row r="596" spans="1:13" ht="13.2" x14ac:dyDescent="0.25">
      <c r="A596" s="1" t="s">
        <v>8</v>
      </c>
      <c r="B596" s="1" t="s">
        <v>18</v>
      </c>
      <c r="C596" s="1" t="s">
        <v>20</v>
      </c>
      <c r="D596" s="1" t="s">
        <v>11</v>
      </c>
      <c r="E596" s="1" t="s">
        <v>17</v>
      </c>
      <c r="F596" s="1">
        <v>86</v>
      </c>
      <c r="G596" s="1">
        <v>88</v>
      </c>
      <c r="H596" s="1">
        <v>90</v>
      </c>
      <c r="I596">
        <f t="shared" si="45"/>
        <v>264</v>
      </c>
      <c r="J596">
        <f t="shared" si="46"/>
        <v>1</v>
      </c>
      <c r="K596">
        <f t="shared" si="47"/>
        <v>53.5</v>
      </c>
      <c r="L596">
        <f t="shared" si="48"/>
        <v>52.5</v>
      </c>
      <c r="M596">
        <f t="shared" si="49"/>
        <v>2756.25</v>
      </c>
    </row>
    <row r="597" spans="1:13" ht="13.2" x14ac:dyDescent="0.25">
      <c r="A597" s="1" t="s">
        <v>8</v>
      </c>
      <c r="B597" s="1" t="s">
        <v>18</v>
      </c>
      <c r="C597" s="1" t="s">
        <v>22</v>
      </c>
      <c r="D597" s="1" t="s">
        <v>23</v>
      </c>
      <c r="E597" s="1" t="s">
        <v>12</v>
      </c>
      <c r="F597" s="1">
        <v>47</v>
      </c>
      <c r="G597" s="1">
        <v>66</v>
      </c>
      <c r="H597" s="1">
        <v>59</v>
      </c>
      <c r="I597">
        <f t="shared" si="45"/>
        <v>172</v>
      </c>
      <c r="J597">
        <f t="shared" si="46"/>
        <v>0</v>
      </c>
      <c r="K597">
        <f t="shared" si="47"/>
        <v>445</v>
      </c>
      <c r="L597">
        <f t="shared" si="48"/>
        <v>445</v>
      </c>
      <c r="M597">
        <f t="shared" si="49"/>
        <v>198025</v>
      </c>
    </row>
    <row r="598" spans="1:13" ht="13.2" x14ac:dyDescent="0.25">
      <c r="A598" s="1" t="s">
        <v>19</v>
      </c>
      <c r="B598" s="1" t="s">
        <v>13</v>
      </c>
      <c r="C598" s="1" t="s">
        <v>16</v>
      </c>
      <c r="D598" s="1" t="s">
        <v>11</v>
      </c>
      <c r="E598" s="1" t="s">
        <v>17</v>
      </c>
      <c r="F598" s="1">
        <v>100</v>
      </c>
      <c r="G598" s="1">
        <v>96</v>
      </c>
      <c r="H598" s="1">
        <v>98</v>
      </c>
      <c r="I598">
        <f t="shared" si="45"/>
        <v>294</v>
      </c>
      <c r="J598">
        <f t="shared" si="46"/>
        <v>1</v>
      </c>
      <c r="K598">
        <f t="shared" si="47"/>
        <v>5.5</v>
      </c>
      <c r="L598">
        <f t="shared" si="48"/>
        <v>4.5</v>
      </c>
      <c r="M598">
        <f t="shared" si="49"/>
        <v>20.25</v>
      </c>
    </row>
    <row r="599" spans="1:13" ht="13.2" x14ac:dyDescent="0.25">
      <c r="A599" s="1" t="s">
        <v>8</v>
      </c>
      <c r="B599" s="1" t="s">
        <v>18</v>
      </c>
      <c r="C599" s="1" t="s">
        <v>16</v>
      </c>
      <c r="D599" s="1" t="s">
        <v>23</v>
      </c>
      <c r="E599" s="1" t="s">
        <v>17</v>
      </c>
      <c r="F599" s="1">
        <v>50</v>
      </c>
      <c r="G599" s="1">
        <v>55</v>
      </c>
      <c r="H599" s="1">
        <v>65</v>
      </c>
      <c r="I599">
        <f t="shared" si="45"/>
        <v>170</v>
      </c>
      <c r="J599">
        <f t="shared" si="46"/>
        <v>1</v>
      </c>
      <c r="K599">
        <f t="shared" si="47"/>
        <v>455.5</v>
      </c>
      <c r="L599">
        <f t="shared" si="48"/>
        <v>454.5</v>
      </c>
      <c r="M599">
        <f t="shared" si="49"/>
        <v>206570.25</v>
      </c>
    </row>
    <row r="600" spans="1:13" ht="13.2" x14ac:dyDescent="0.25">
      <c r="A600" s="1" t="s">
        <v>8</v>
      </c>
      <c r="B600" s="1" t="s">
        <v>21</v>
      </c>
      <c r="C600" s="1" t="s">
        <v>14</v>
      </c>
      <c r="D600" s="1" t="s">
        <v>11</v>
      </c>
      <c r="E600" s="1" t="s">
        <v>17</v>
      </c>
      <c r="F600" s="1">
        <v>80</v>
      </c>
      <c r="G600" s="1">
        <v>84</v>
      </c>
      <c r="H600" s="1">
        <v>91</v>
      </c>
      <c r="I600">
        <f t="shared" si="45"/>
        <v>255</v>
      </c>
      <c r="J600">
        <f t="shared" si="46"/>
        <v>1</v>
      </c>
      <c r="K600">
        <f t="shared" si="47"/>
        <v>80</v>
      </c>
      <c r="L600">
        <f t="shared" si="48"/>
        <v>79</v>
      </c>
      <c r="M600">
        <f t="shared" si="49"/>
        <v>6241</v>
      </c>
    </row>
    <row r="601" spans="1:13" ht="13.2" x14ac:dyDescent="0.25">
      <c r="A601" s="1" t="s">
        <v>8</v>
      </c>
      <c r="B601" s="1" t="s">
        <v>13</v>
      </c>
      <c r="C601" s="1" t="s">
        <v>14</v>
      </c>
      <c r="D601" s="1" t="s">
        <v>23</v>
      </c>
      <c r="E601" s="1" t="s">
        <v>12</v>
      </c>
      <c r="F601" s="1">
        <v>69</v>
      </c>
      <c r="G601" s="1">
        <v>72</v>
      </c>
      <c r="H601" s="1">
        <v>74</v>
      </c>
      <c r="I601">
        <f t="shared" si="45"/>
        <v>215</v>
      </c>
      <c r="J601">
        <f t="shared" si="46"/>
        <v>0</v>
      </c>
      <c r="K601">
        <f t="shared" si="47"/>
        <v>235.5</v>
      </c>
      <c r="L601">
        <f t="shared" si="48"/>
        <v>235.5</v>
      </c>
      <c r="M601">
        <f t="shared" si="49"/>
        <v>55460.25</v>
      </c>
    </row>
    <row r="602" spans="1:13" ht="13.2" x14ac:dyDescent="0.25">
      <c r="A602" s="1" t="s">
        <v>19</v>
      </c>
      <c r="B602" s="1" t="s">
        <v>9</v>
      </c>
      <c r="C602" s="1" t="s">
        <v>14</v>
      </c>
      <c r="D602" s="1" t="s">
        <v>11</v>
      </c>
      <c r="E602" s="1" t="s">
        <v>12</v>
      </c>
      <c r="F602" s="1">
        <v>70</v>
      </c>
      <c r="G602" s="1">
        <v>69</v>
      </c>
      <c r="H602" s="1">
        <v>58</v>
      </c>
      <c r="I602">
        <f t="shared" si="45"/>
        <v>197</v>
      </c>
      <c r="J602">
        <f t="shared" si="46"/>
        <v>0</v>
      </c>
      <c r="K602">
        <f t="shared" si="47"/>
        <v>317.5</v>
      </c>
      <c r="L602">
        <f t="shared" si="48"/>
        <v>317.5</v>
      </c>
      <c r="M602">
        <f t="shared" si="49"/>
        <v>100806.25</v>
      </c>
    </row>
    <row r="603" spans="1:13" ht="13.2" x14ac:dyDescent="0.25">
      <c r="A603" s="1" t="s">
        <v>19</v>
      </c>
      <c r="B603" s="1" t="s">
        <v>21</v>
      </c>
      <c r="C603" s="1" t="s">
        <v>14</v>
      </c>
      <c r="D603" s="1" t="s">
        <v>11</v>
      </c>
      <c r="E603" s="1" t="s">
        <v>12</v>
      </c>
      <c r="F603" s="1">
        <v>75</v>
      </c>
      <c r="G603" s="1">
        <v>69</v>
      </c>
      <c r="H603" s="1">
        <v>60</v>
      </c>
      <c r="I603">
        <f t="shared" si="45"/>
        <v>204</v>
      </c>
      <c r="J603">
        <f t="shared" si="46"/>
        <v>0</v>
      </c>
      <c r="K603">
        <f t="shared" si="47"/>
        <v>281.5</v>
      </c>
      <c r="L603">
        <f t="shared" si="48"/>
        <v>281.5</v>
      </c>
      <c r="M603">
        <f t="shared" si="49"/>
        <v>79242.25</v>
      </c>
    </row>
    <row r="604" spans="1:13" ht="13.2" x14ac:dyDescent="0.25">
      <c r="A604" s="1" t="s">
        <v>19</v>
      </c>
      <c r="B604" s="1" t="s">
        <v>9</v>
      </c>
      <c r="C604" s="1" t="s">
        <v>22</v>
      </c>
      <c r="D604" s="1" t="s">
        <v>11</v>
      </c>
      <c r="E604" s="1" t="s">
        <v>12</v>
      </c>
      <c r="F604" s="1">
        <v>57</v>
      </c>
      <c r="G604" s="1">
        <v>57</v>
      </c>
      <c r="H604" s="1">
        <v>53</v>
      </c>
      <c r="I604">
        <f t="shared" si="45"/>
        <v>167</v>
      </c>
      <c r="J604">
        <f t="shared" si="46"/>
        <v>0</v>
      </c>
      <c r="K604">
        <f t="shared" si="47"/>
        <v>466</v>
      </c>
      <c r="L604">
        <f t="shared" si="48"/>
        <v>466</v>
      </c>
      <c r="M604">
        <f t="shared" si="49"/>
        <v>217156</v>
      </c>
    </row>
    <row r="605" spans="1:13" ht="13.2" x14ac:dyDescent="0.25">
      <c r="A605" s="1" t="s">
        <v>8</v>
      </c>
      <c r="B605" s="1" t="s">
        <v>18</v>
      </c>
      <c r="C605" s="1" t="s">
        <v>22</v>
      </c>
      <c r="D605" s="1" t="s">
        <v>23</v>
      </c>
      <c r="E605" s="1" t="s">
        <v>17</v>
      </c>
      <c r="F605" s="1">
        <v>63</v>
      </c>
      <c r="G605" s="1">
        <v>64</v>
      </c>
      <c r="H605" s="1">
        <v>63</v>
      </c>
      <c r="I605">
        <f t="shared" si="45"/>
        <v>190</v>
      </c>
      <c r="J605">
        <f t="shared" si="46"/>
        <v>1</v>
      </c>
      <c r="K605">
        <f t="shared" si="47"/>
        <v>359.5</v>
      </c>
      <c r="L605">
        <f t="shared" si="48"/>
        <v>358.5</v>
      </c>
      <c r="M605">
        <f t="shared" si="49"/>
        <v>128522.25</v>
      </c>
    </row>
    <row r="606" spans="1:13" ht="13.2" x14ac:dyDescent="0.25">
      <c r="A606" s="1" t="s">
        <v>8</v>
      </c>
      <c r="B606" s="1" t="s">
        <v>13</v>
      </c>
      <c r="C606" s="1" t="s">
        <v>24</v>
      </c>
      <c r="D606" s="1" t="s">
        <v>11</v>
      </c>
      <c r="E606" s="1" t="s">
        <v>12</v>
      </c>
      <c r="F606" s="1">
        <v>79</v>
      </c>
      <c r="G606" s="1">
        <v>76</v>
      </c>
      <c r="H606" s="1">
        <v>76</v>
      </c>
      <c r="I606">
        <f t="shared" si="45"/>
        <v>231</v>
      </c>
      <c r="J606">
        <f t="shared" si="46"/>
        <v>0</v>
      </c>
      <c r="K606">
        <f t="shared" si="47"/>
        <v>168</v>
      </c>
      <c r="L606">
        <f t="shared" si="48"/>
        <v>168</v>
      </c>
      <c r="M606">
        <f t="shared" si="49"/>
        <v>28224</v>
      </c>
    </row>
    <row r="607" spans="1:13" ht="13.2" x14ac:dyDescent="0.25">
      <c r="A607" s="1" t="s">
        <v>8</v>
      </c>
      <c r="B607" s="1" t="s">
        <v>9</v>
      </c>
      <c r="C607" s="1" t="s">
        <v>24</v>
      </c>
      <c r="D607" s="1" t="s">
        <v>11</v>
      </c>
      <c r="E607" s="1" t="s">
        <v>12</v>
      </c>
      <c r="F607" s="1">
        <v>46</v>
      </c>
      <c r="G607" s="1">
        <v>62</v>
      </c>
      <c r="H607" s="1">
        <v>58</v>
      </c>
      <c r="I607">
        <f t="shared" si="45"/>
        <v>166</v>
      </c>
      <c r="J607">
        <f t="shared" si="46"/>
        <v>0</v>
      </c>
      <c r="K607">
        <f t="shared" si="47"/>
        <v>471</v>
      </c>
      <c r="L607">
        <f t="shared" si="48"/>
        <v>471</v>
      </c>
      <c r="M607">
        <f t="shared" si="49"/>
        <v>221841</v>
      </c>
    </row>
    <row r="608" spans="1:13" ht="13.2" x14ac:dyDescent="0.25">
      <c r="A608" s="1" t="s">
        <v>19</v>
      </c>
      <c r="B608" s="1" t="s">
        <v>13</v>
      </c>
      <c r="C608" s="1" t="s">
        <v>16</v>
      </c>
      <c r="D608" s="1" t="s">
        <v>11</v>
      </c>
      <c r="E608" s="1" t="s">
        <v>12</v>
      </c>
      <c r="F608" s="1">
        <v>46</v>
      </c>
      <c r="G608" s="1">
        <v>45</v>
      </c>
      <c r="H608" s="1">
        <v>44</v>
      </c>
      <c r="I608">
        <f t="shared" si="45"/>
        <v>135</v>
      </c>
      <c r="J608">
        <f t="shared" si="46"/>
        <v>0</v>
      </c>
      <c r="K608">
        <f t="shared" si="47"/>
        <v>564.5</v>
      </c>
      <c r="L608">
        <f t="shared" si="48"/>
        <v>564.5</v>
      </c>
      <c r="M608">
        <f t="shared" si="49"/>
        <v>318660.25</v>
      </c>
    </row>
    <row r="609" spans="1:13" ht="13.2" x14ac:dyDescent="0.25">
      <c r="A609" s="1" t="s">
        <v>19</v>
      </c>
      <c r="B609" s="1" t="s">
        <v>13</v>
      </c>
      <c r="C609" s="1" t="s">
        <v>16</v>
      </c>
      <c r="D609" s="1" t="s">
        <v>11</v>
      </c>
      <c r="E609" s="1" t="s">
        <v>12</v>
      </c>
      <c r="F609" s="1">
        <v>66</v>
      </c>
      <c r="G609" s="1">
        <v>60</v>
      </c>
      <c r="H609" s="1">
        <v>60</v>
      </c>
      <c r="I609">
        <f t="shared" si="45"/>
        <v>186</v>
      </c>
      <c r="J609">
        <f t="shared" si="46"/>
        <v>0</v>
      </c>
      <c r="K609">
        <f t="shared" si="47"/>
        <v>385.5</v>
      </c>
      <c r="L609">
        <f t="shared" si="48"/>
        <v>385.5</v>
      </c>
      <c r="M609">
        <f t="shared" si="49"/>
        <v>148610.25</v>
      </c>
    </row>
    <row r="610" spans="1:13" ht="13.2" x14ac:dyDescent="0.25">
      <c r="A610" s="1" t="s">
        <v>8</v>
      </c>
      <c r="B610" s="1" t="s">
        <v>9</v>
      </c>
      <c r="C610" s="1" t="s">
        <v>14</v>
      </c>
      <c r="D610" s="1" t="s">
        <v>11</v>
      </c>
      <c r="E610" s="1" t="s">
        <v>17</v>
      </c>
      <c r="F610" s="1">
        <v>91</v>
      </c>
      <c r="G610" s="1">
        <v>100</v>
      </c>
      <c r="H610" s="1">
        <v>100</v>
      </c>
      <c r="I610">
        <f t="shared" si="45"/>
        <v>291</v>
      </c>
      <c r="J610">
        <f t="shared" si="46"/>
        <v>1</v>
      </c>
      <c r="K610">
        <f t="shared" si="47"/>
        <v>10</v>
      </c>
      <c r="L610">
        <f t="shared" si="48"/>
        <v>9</v>
      </c>
      <c r="M610">
        <f t="shared" si="49"/>
        <v>81</v>
      </c>
    </row>
    <row r="611" spans="1:13" ht="13.2" x14ac:dyDescent="0.25">
      <c r="A611" s="1" t="s">
        <v>19</v>
      </c>
      <c r="B611" s="1" t="s">
        <v>18</v>
      </c>
      <c r="C611" s="1" t="s">
        <v>16</v>
      </c>
      <c r="D611" s="1" t="s">
        <v>11</v>
      </c>
      <c r="E611" s="1" t="s">
        <v>12</v>
      </c>
      <c r="F611" s="1">
        <v>63</v>
      </c>
      <c r="G611" s="1">
        <v>49</v>
      </c>
      <c r="H611" s="1">
        <v>52</v>
      </c>
      <c r="I611">
        <f t="shared" si="45"/>
        <v>164</v>
      </c>
      <c r="J611">
        <f t="shared" si="46"/>
        <v>0</v>
      </c>
      <c r="K611">
        <f t="shared" si="47"/>
        <v>478</v>
      </c>
      <c r="L611">
        <f t="shared" si="48"/>
        <v>478</v>
      </c>
      <c r="M611">
        <f t="shared" si="49"/>
        <v>228484</v>
      </c>
    </row>
    <row r="612" spans="1:13" ht="13.2" x14ac:dyDescent="0.25">
      <c r="A612" s="1" t="s">
        <v>8</v>
      </c>
      <c r="B612" s="1" t="s">
        <v>9</v>
      </c>
      <c r="C612" s="1" t="s">
        <v>14</v>
      </c>
      <c r="D612" s="1" t="s">
        <v>23</v>
      </c>
      <c r="E612" s="1" t="s">
        <v>12</v>
      </c>
      <c r="F612" s="1">
        <v>66</v>
      </c>
      <c r="G612" s="1">
        <v>73</v>
      </c>
      <c r="H612" s="1">
        <v>68</v>
      </c>
      <c r="I612">
        <f t="shared" si="45"/>
        <v>207</v>
      </c>
      <c r="J612">
        <f t="shared" si="46"/>
        <v>0</v>
      </c>
      <c r="K612">
        <f t="shared" si="47"/>
        <v>268</v>
      </c>
      <c r="L612">
        <f t="shared" si="48"/>
        <v>268</v>
      </c>
      <c r="M612">
        <f t="shared" si="49"/>
        <v>71824</v>
      </c>
    </row>
    <row r="613" spans="1:13" ht="13.2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17</v>
      </c>
      <c r="F613" s="1">
        <v>64</v>
      </c>
      <c r="G613" s="1">
        <v>78</v>
      </c>
      <c r="H613" s="1">
        <v>83</v>
      </c>
      <c r="I613">
        <f t="shared" si="45"/>
        <v>225</v>
      </c>
      <c r="J613">
        <f t="shared" si="46"/>
        <v>1</v>
      </c>
      <c r="K613">
        <f t="shared" si="47"/>
        <v>191</v>
      </c>
      <c r="L613">
        <f t="shared" si="48"/>
        <v>190</v>
      </c>
      <c r="M613">
        <f t="shared" si="49"/>
        <v>36100</v>
      </c>
    </row>
    <row r="614" spans="1:13" ht="13.2" x14ac:dyDescent="0.25">
      <c r="A614" s="1" t="s">
        <v>8</v>
      </c>
      <c r="B614" s="1" t="s">
        <v>18</v>
      </c>
      <c r="C614" s="1" t="s">
        <v>22</v>
      </c>
      <c r="D614" s="1" t="s">
        <v>11</v>
      </c>
      <c r="E614" s="1" t="s">
        <v>12</v>
      </c>
      <c r="F614" s="1">
        <v>70</v>
      </c>
      <c r="G614" s="1">
        <v>73</v>
      </c>
      <c r="H614" s="1">
        <v>71</v>
      </c>
      <c r="I614">
        <f t="shared" si="45"/>
        <v>214</v>
      </c>
      <c r="J614">
        <f t="shared" si="46"/>
        <v>0</v>
      </c>
      <c r="K614">
        <f t="shared" si="47"/>
        <v>238</v>
      </c>
      <c r="L614">
        <f t="shared" si="48"/>
        <v>238</v>
      </c>
      <c r="M614">
        <f t="shared" si="49"/>
        <v>56644</v>
      </c>
    </row>
    <row r="615" spans="1:13" ht="13.2" x14ac:dyDescent="0.25">
      <c r="A615" s="1" t="s">
        <v>19</v>
      </c>
      <c r="B615" s="1" t="s">
        <v>21</v>
      </c>
      <c r="C615" s="1" t="s">
        <v>16</v>
      </c>
      <c r="D615" s="1" t="s">
        <v>23</v>
      </c>
      <c r="E615" s="1" t="s">
        <v>12</v>
      </c>
      <c r="F615" s="1">
        <v>78</v>
      </c>
      <c r="G615" s="1">
        <v>75</v>
      </c>
      <c r="H615" s="1">
        <v>75</v>
      </c>
      <c r="I615">
        <f t="shared" si="45"/>
        <v>228</v>
      </c>
      <c r="J615">
        <f t="shared" si="46"/>
        <v>0</v>
      </c>
      <c r="K615">
        <f t="shared" si="47"/>
        <v>176.5</v>
      </c>
      <c r="L615">
        <f t="shared" si="48"/>
        <v>176.5</v>
      </c>
      <c r="M615">
        <f t="shared" si="49"/>
        <v>31152.25</v>
      </c>
    </row>
    <row r="616" spans="1:13" ht="13.2" x14ac:dyDescent="0.25">
      <c r="A616" s="1" t="s">
        <v>19</v>
      </c>
      <c r="B616" s="1" t="s">
        <v>21</v>
      </c>
      <c r="C616" s="1" t="s">
        <v>14</v>
      </c>
      <c r="D616" s="1" t="s">
        <v>11</v>
      </c>
      <c r="E616" s="1" t="s">
        <v>12</v>
      </c>
      <c r="F616" s="1">
        <v>87</v>
      </c>
      <c r="G616" s="1">
        <v>67</v>
      </c>
      <c r="H616" s="1">
        <v>69</v>
      </c>
      <c r="I616">
        <f t="shared" si="45"/>
        <v>223</v>
      </c>
      <c r="J616">
        <f t="shared" si="46"/>
        <v>0</v>
      </c>
      <c r="K616">
        <f t="shared" si="47"/>
        <v>200</v>
      </c>
      <c r="L616">
        <f t="shared" si="48"/>
        <v>200</v>
      </c>
      <c r="M616">
        <f t="shared" si="49"/>
        <v>40000</v>
      </c>
    </row>
    <row r="617" spans="1:13" ht="13.2" x14ac:dyDescent="0.25">
      <c r="A617" s="1" t="s">
        <v>19</v>
      </c>
      <c r="B617" s="1" t="s">
        <v>9</v>
      </c>
      <c r="C617" s="1" t="s">
        <v>22</v>
      </c>
      <c r="D617" s="1" t="s">
        <v>11</v>
      </c>
      <c r="E617" s="1" t="s">
        <v>17</v>
      </c>
      <c r="F617" s="1">
        <v>75</v>
      </c>
      <c r="G617" s="1">
        <v>77</v>
      </c>
      <c r="H617" s="1">
        <v>76</v>
      </c>
      <c r="I617">
        <f t="shared" si="45"/>
        <v>228</v>
      </c>
      <c r="J617">
        <f t="shared" si="46"/>
        <v>1</v>
      </c>
      <c r="K617">
        <f t="shared" si="47"/>
        <v>176.5</v>
      </c>
      <c r="L617">
        <f t="shared" si="48"/>
        <v>175.5</v>
      </c>
      <c r="M617">
        <f t="shared" si="49"/>
        <v>30800.25</v>
      </c>
    </row>
    <row r="618" spans="1:13" ht="13.2" x14ac:dyDescent="0.25">
      <c r="A618" s="1" t="s">
        <v>8</v>
      </c>
      <c r="B618" s="1" t="s">
        <v>13</v>
      </c>
      <c r="C618" s="1" t="s">
        <v>14</v>
      </c>
      <c r="D618" s="1" t="s">
        <v>11</v>
      </c>
      <c r="E618" s="1" t="s">
        <v>12</v>
      </c>
      <c r="F618" s="1">
        <v>58</v>
      </c>
      <c r="G618" s="1">
        <v>58</v>
      </c>
      <c r="H618" s="1">
        <v>56</v>
      </c>
      <c r="I618">
        <f t="shared" si="45"/>
        <v>172</v>
      </c>
      <c r="J618">
        <f t="shared" si="46"/>
        <v>0</v>
      </c>
      <c r="K618">
        <f t="shared" si="47"/>
        <v>445</v>
      </c>
      <c r="L618">
        <f t="shared" si="48"/>
        <v>445</v>
      </c>
      <c r="M618">
        <f t="shared" si="49"/>
        <v>198025</v>
      </c>
    </row>
    <row r="619" spans="1:13" ht="13.2" x14ac:dyDescent="0.25">
      <c r="A619" s="1" t="s">
        <v>8</v>
      </c>
      <c r="B619" s="1" t="s">
        <v>13</v>
      </c>
      <c r="C619" s="1" t="s">
        <v>10</v>
      </c>
      <c r="D619" s="1" t="s">
        <v>11</v>
      </c>
      <c r="E619" s="1" t="s">
        <v>17</v>
      </c>
      <c r="F619" s="1">
        <v>80</v>
      </c>
      <c r="G619" s="1">
        <v>89</v>
      </c>
      <c r="H619" s="1">
        <v>96</v>
      </c>
      <c r="I619">
        <f t="shared" si="45"/>
        <v>265</v>
      </c>
      <c r="J619">
        <f t="shared" si="46"/>
        <v>1</v>
      </c>
      <c r="K619">
        <f t="shared" si="47"/>
        <v>50.5</v>
      </c>
      <c r="L619">
        <f t="shared" si="48"/>
        <v>49.5</v>
      </c>
      <c r="M619">
        <f t="shared" si="49"/>
        <v>2450.25</v>
      </c>
    </row>
    <row r="620" spans="1:13" ht="13.2" x14ac:dyDescent="0.25">
      <c r="A620" s="1" t="s">
        <v>19</v>
      </c>
      <c r="B620" s="1" t="s">
        <v>9</v>
      </c>
      <c r="C620" s="1" t="s">
        <v>24</v>
      </c>
      <c r="D620" s="1" t="s">
        <v>11</v>
      </c>
      <c r="E620" s="1" t="s">
        <v>17</v>
      </c>
      <c r="F620" s="1">
        <v>63</v>
      </c>
      <c r="G620" s="1">
        <v>65</v>
      </c>
      <c r="H620" s="1">
        <v>70</v>
      </c>
      <c r="I620">
        <f t="shared" si="45"/>
        <v>198</v>
      </c>
      <c r="J620">
        <f t="shared" si="46"/>
        <v>1</v>
      </c>
      <c r="K620">
        <f t="shared" si="47"/>
        <v>313</v>
      </c>
      <c r="L620">
        <f t="shared" si="48"/>
        <v>312</v>
      </c>
      <c r="M620">
        <f t="shared" si="49"/>
        <v>97344</v>
      </c>
    </row>
    <row r="621" spans="1:13" ht="13.2" x14ac:dyDescent="0.25">
      <c r="A621" s="1" t="s">
        <v>19</v>
      </c>
      <c r="B621" s="1" t="s">
        <v>13</v>
      </c>
      <c r="C621" s="1" t="s">
        <v>14</v>
      </c>
      <c r="D621" s="1" t="s">
        <v>11</v>
      </c>
      <c r="E621" s="1" t="s">
        <v>17</v>
      </c>
      <c r="F621" s="1">
        <v>100</v>
      </c>
      <c r="G621" s="1">
        <v>100</v>
      </c>
      <c r="H621" s="1">
        <v>100</v>
      </c>
      <c r="I621">
        <f t="shared" si="45"/>
        <v>300</v>
      </c>
      <c r="J621">
        <f t="shared" si="46"/>
        <v>1</v>
      </c>
      <c r="K621">
        <f t="shared" si="47"/>
        <v>1</v>
      </c>
      <c r="L621">
        <f t="shared" si="48"/>
        <v>0</v>
      </c>
      <c r="M621">
        <f t="shared" si="49"/>
        <v>0</v>
      </c>
    </row>
    <row r="622" spans="1:13" ht="13.2" x14ac:dyDescent="0.25">
      <c r="A622" s="1" t="s">
        <v>8</v>
      </c>
      <c r="B622" s="1" t="s">
        <v>18</v>
      </c>
      <c r="C622" s="1" t="s">
        <v>22</v>
      </c>
      <c r="D622" s="1" t="s">
        <v>23</v>
      </c>
      <c r="E622" s="1" t="s">
        <v>17</v>
      </c>
      <c r="F622" s="1">
        <v>70</v>
      </c>
      <c r="G622" s="1">
        <v>82</v>
      </c>
      <c r="H622" s="1">
        <v>84</v>
      </c>
      <c r="I622">
        <f t="shared" si="45"/>
        <v>236</v>
      </c>
      <c r="J622">
        <f t="shared" si="46"/>
        <v>1</v>
      </c>
      <c r="K622">
        <f t="shared" si="47"/>
        <v>148.5</v>
      </c>
      <c r="L622">
        <f t="shared" si="48"/>
        <v>147.5</v>
      </c>
      <c r="M622">
        <f t="shared" si="49"/>
        <v>21756.25</v>
      </c>
    </row>
    <row r="623" spans="1:13" ht="13.2" x14ac:dyDescent="0.25">
      <c r="A623" s="1" t="s">
        <v>8</v>
      </c>
      <c r="B623" s="1" t="s">
        <v>13</v>
      </c>
      <c r="C623" s="1" t="s">
        <v>22</v>
      </c>
      <c r="D623" s="1" t="s">
        <v>11</v>
      </c>
      <c r="E623" s="1" t="s">
        <v>12</v>
      </c>
      <c r="F623" s="1">
        <v>53</v>
      </c>
      <c r="G623" s="1">
        <v>68</v>
      </c>
      <c r="H623" s="1">
        <v>63</v>
      </c>
      <c r="I623">
        <f t="shared" si="45"/>
        <v>184</v>
      </c>
      <c r="J623">
        <f t="shared" si="46"/>
        <v>0</v>
      </c>
      <c r="K623">
        <f t="shared" si="47"/>
        <v>393.5</v>
      </c>
      <c r="L623">
        <f t="shared" si="48"/>
        <v>393.5</v>
      </c>
      <c r="M623">
        <f t="shared" si="49"/>
        <v>154842.25</v>
      </c>
    </row>
    <row r="624" spans="1:13" ht="13.2" x14ac:dyDescent="0.25">
      <c r="A624" s="1" t="s">
        <v>8</v>
      </c>
      <c r="B624" s="1" t="s">
        <v>18</v>
      </c>
      <c r="C624" s="1" t="s">
        <v>10</v>
      </c>
      <c r="D624" s="1" t="s">
        <v>11</v>
      </c>
      <c r="E624" s="1" t="s">
        <v>12</v>
      </c>
      <c r="F624" s="1">
        <v>54</v>
      </c>
      <c r="G624" s="1">
        <v>65</v>
      </c>
      <c r="H624" s="1">
        <v>60</v>
      </c>
      <c r="I624">
        <f t="shared" si="45"/>
        <v>179</v>
      </c>
      <c r="J624">
        <f t="shared" si="46"/>
        <v>0</v>
      </c>
      <c r="K624" t="e">
        <f t="shared" si="47"/>
        <v>#N/A</v>
      </c>
      <c r="L624" t="e">
        <f t="shared" si="48"/>
        <v>#N/A</v>
      </c>
      <c r="M624" t="e">
        <f t="shared" si="49"/>
        <v>#N/A</v>
      </c>
    </row>
    <row r="625" spans="1:13" ht="13.2" x14ac:dyDescent="0.25">
      <c r="A625" s="1" t="s">
        <v>19</v>
      </c>
      <c r="B625" s="1" t="s">
        <v>18</v>
      </c>
      <c r="C625" s="1" t="s">
        <v>16</v>
      </c>
      <c r="D625" s="1" t="s">
        <v>11</v>
      </c>
      <c r="E625" s="1" t="s">
        <v>12</v>
      </c>
      <c r="F625" s="1">
        <v>81</v>
      </c>
      <c r="G625" s="1">
        <v>76</v>
      </c>
      <c r="H625" s="1">
        <v>80</v>
      </c>
      <c r="I625">
        <f t="shared" si="45"/>
        <v>237</v>
      </c>
      <c r="J625">
        <f t="shared" si="46"/>
        <v>0</v>
      </c>
      <c r="K625">
        <f t="shared" si="47"/>
        <v>144</v>
      </c>
      <c r="L625">
        <f t="shared" si="48"/>
        <v>144</v>
      </c>
      <c r="M625">
        <f t="shared" si="49"/>
        <v>20736</v>
      </c>
    </row>
    <row r="626" spans="1:13" ht="13.2" x14ac:dyDescent="0.25">
      <c r="A626" s="1" t="s">
        <v>19</v>
      </c>
      <c r="B626" s="1" t="s">
        <v>13</v>
      </c>
      <c r="C626" s="1" t="s">
        <v>22</v>
      </c>
      <c r="D626" s="1" t="s">
        <v>23</v>
      </c>
      <c r="E626" s="1" t="s">
        <v>17</v>
      </c>
      <c r="F626" s="1">
        <v>81</v>
      </c>
      <c r="G626" s="1">
        <v>79</v>
      </c>
      <c r="H626" s="1">
        <v>74</v>
      </c>
      <c r="I626">
        <f t="shared" si="45"/>
        <v>234</v>
      </c>
      <c r="J626">
        <f t="shared" si="46"/>
        <v>1</v>
      </c>
      <c r="K626">
        <f t="shared" si="47"/>
        <v>159</v>
      </c>
      <c r="L626">
        <f t="shared" si="48"/>
        <v>158</v>
      </c>
      <c r="M626">
        <f t="shared" si="49"/>
        <v>24964</v>
      </c>
    </row>
    <row r="627" spans="1:13" ht="13.2" x14ac:dyDescent="0.25">
      <c r="A627" s="1" t="s">
        <v>8</v>
      </c>
      <c r="B627" s="1" t="s">
        <v>18</v>
      </c>
      <c r="C627" s="1" t="s">
        <v>10</v>
      </c>
      <c r="D627" s="1" t="s">
        <v>11</v>
      </c>
      <c r="E627" s="1" t="s">
        <v>12</v>
      </c>
      <c r="F627" s="1">
        <v>64</v>
      </c>
      <c r="G627" s="1">
        <v>80</v>
      </c>
      <c r="H627" s="1">
        <v>77</v>
      </c>
      <c r="I627">
        <f t="shared" si="45"/>
        <v>221</v>
      </c>
      <c r="J627">
        <f t="shared" si="46"/>
        <v>0</v>
      </c>
      <c r="K627">
        <f t="shared" si="47"/>
        <v>209.5</v>
      </c>
      <c r="L627">
        <f t="shared" si="48"/>
        <v>209.5</v>
      </c>
      <c r="M627">
        <f t="shared" si="49"/>
        <v>43890.25</v>
      </c>
    </row>
    <row r="628" spans="1:13" ht="13.2" x14ac:dyDescent="0.25">
      <c r="A628" s="1" t="s">
        <v>19</v>
      </c>
      <c r="B628" s="1" t="s">
        <v>9</v>
      </c>
      <c r="C628" s="1" t="s">
        <v>10</v>
      </c>
      <c r="D628" s="1" t="s">
        <v>11</v>
      </c>
      <c r="E628" s="1" t="s">
        <v>17</v>
      </c>
      <c r="F628" s="1">
        <v>83</v>
      </c>
      <c r="G628" s="1">
        <v>80</v>
      </c>
      <c r="H628" s="1">
        <v>78</v>
      </c>
      <c r="I628">
        <f t="shared" si="45"/>
        <v>241</v>
      </c>
      <c r="J628">
        <f t="shared" si="46"/>
        <v>1</v>
      </c>
      <c r="K628">
        <f t="shared" si="47"/>
        <v>125</v>
      </c>
      <c r="L628">
        <f t="shared" si="48"/>
        <v>124</v>
      </c>
      <c r="M628">
        <f t="shared" si="49"/>
        <v>15376</v>
      </c>
    </row>
    <row r="629" spans="1:13" ht="13.2" x14ac:dyDescent="0.25">
      <c r="A629" s="1" t="s">
        <v>19</v>
      </c>
      <c r="B629" s="1" t="s">
        <v>9</v>
      </c>
      <c r="C629" s="1" t="s">
        <v>16</v>
      </c>
      <c r="D629" s="1" t="s">
        <v>11</v>
      </c>
      <c r="E629" s="1" t="s">
        <v>12</v>
      </c>
      <c r="F629" s="1">
        <v>60</v>
      </c>
      <c r="G629" s="1">
        <v>62</v>
      </c>
      <c r="H629" s="1">
        <v>56</v>
      </c>
      <c r="I629">
        <f t="shared" si="45"/>
        <v>178</v>
      </c>
      <c r="J629">
        <f t="shared" si="46"/>
        <v>0</v>
      </c>
      <c r="K629">
        <f t="shared" si="47"/>
        <v>414.5</v>
      </c>
      <c r="L629">
        <f t="shared" si="48"/>
        <v>414.5</v>
      </c>
      <c r="M629">
        <f t="shared" si="49"/>
        <v>171810.25</v>
      </c>
    </row>
    <row r="630" spans="1:13" ht="13.2" x14ac:dyDescent="0.25">
      <c r="A630" s="1" t="s">
        <v>8</v>
      </c>
      <c r="B630" s="1" t="s">
        <v>13</v>
      </c>
      <c r="C630" s="1" t="s">
        <v>22</v>
      </c>
      <c r="D630" s="1" t="s">
        <v>23</v>
      </c>
      <c r="E630" s="1" t="s">
        <v>17</v>
      </c>
      <c r="F630" s="1">
        <v>58</v>
      </c>
      <c r="G630" s="1">
        <v>70</v>
      </c>
      <c r="H630" s="1">
        <v>67</v>
      </c>
      <c r="I630">
        <f t="shared" si="45"/>
        <v>195</v>
      </c>
      <c r="J630">
        <f t="shared" si="46"/>
        <v>1</v>
      </c>
      <c r="K630">
        <f t="shared" si="47"/>
        <v>331.5</v>
      </c>
      <c r="L630">
        <f t="shared" si="48"/>
        <v>330.5</v>
      </c>
      <c r="M630">
        <f t="shared" si="49"/>
        <v>109230.25</v>
      </c>
    </row>
    <row r="631" spans="1:13" ht="13.2" x14ac:dyDescent="0.25">
      <c r="A631" s="1" t="s">
        <v>19</v>
      </c>
      <c r="B631" s="1" t="s">
        <v>15</v>
      </c>
      <c r="C631" s="1" t="s">
        <v>10</v>
      </c>
      <c r="D631" s="1" t="s">
        <v>11</v>
      </c>
      <c r="E631" s="1" t="s">
        <v>12</v>
      </c>
      <c r="F631" s="1">
        <v>75</v>
      </c>
      <c r="G631" s="1">
        <v>77</v>
      </c>
      <c r="H631" s="1">
        <v>71</v>
      </c>
      <c r="I631">
        <f t="shared" si="45"/>
        <v>223</v>
      </c>
      <c r="J631">
        <f t="shared" si="46"/>
        <v>0</v>
      </c>
      <c r="K631">
        <f t="shared" si="47"/>
        <v>200</v>
      </c>
      <c r="L631">
        <f t="shared" si="48"/>
        <v>200</v>
      </c>
      <c r="M631">
        <f t="shared" si="49"/>
        <v>40000</v>
      </c>
    </row>
    <row r="632" spans="1:13" ht="13.2" x14ac:dyDescent="0.25">
      <c r="A632" s="1" t="s">
        <v>8</v>
      </c>
      <c r="B632" s="1" t="s">
        <v>9</v>
      </c>
      <c r="C632" s="1" t="s">
        <v>20</v>
      </c>
      <c r="D632" s="1" t="s">
        <v>11</v>
      </c>
      <c r="E632" s="1" t="s">
        <v>17</v>
      </c>
      <c r="F632" s="1">
        <v>84</v>
      </c>
      <c r="G632" s="1">
        <v>86</v>
      </c>
      <c r="H632" s="1">
        <v>86</v>
      </c>
      <c r="I632">
        <f t="shared" si="45"/>
        <v>256</v>
      </c>
      <c r="J632">
        <f t="shared" si="46"/>
        <v>1</v>
      </c>
      <c r="K632">
        <f t="shared" si="47"/>
        <v>77</v>
      </c>
      <c r="L632">
        <f t="shared" si="48"/>
        <v>76</v>
      </c>
      <c r="M632">
        <f t="shared" si="49"/>
        <v>5776</v>
      </c>
    </row>
    <row r="633" spans="1:13" ht="13.2" x14ac:dyDescent="0.25">
      <c r="A633" s="1" t="s">
        <v>8</v>
      </c>
      <c r="B633" s="1" t="s">
        <v>18</v>
      </c>
      <c r="C633" s="1" t="s">
        <v>16</v>
      </c>
      <c r="D633" s="1" t="s">
        <v>11</v>
      </c>
      <c r="E633" s="1" t="s">
        <v>17</v>
      </c>
      <c r="F633" s="1">
        <v>91</v>
      </c>
      <c r="G633" s="1">
        <v>100</v>
      </c>
      <c r="H633" s="1">
        <v>100</v>
      </c>
      <c r="I633">
        <f t="shared" si="45"/>
        <v>291</v>
      </c>
      <c r="J633">
        <f t="shared" si="46"/>
        <v>1</v>
      </c>
      <c r="K633">
        <f t="shared" si="47"/>
        <v>10</v>
      </c>
      <c r="L633">
        <f t="shared" si="48"/>
        <v>9</v>
      </c>
      <c r="M633">
        <f t="shared" si="49"/>
        <v>81</v>
      </c>
    </row>
    <row r="634" spans="1:13" ht="13.2" x14ac:dyDescent="0.25">
      <c r="A634" s="1" t="s">
        <v>19</v>
      </c>
      <c r="B634" s="1" t="s">
        <v>13</v>
      </c>
      <c r="C634" s="1" t="s">
        <v>10</v>
      </c>
      <c r="D634" s="1" t="s">
        <v>11</v>
      </c>
      <c r="E634" s="1" t="s">
        <v>17</v>
      </c>
      <c r="F634" s="1">
        <v>47</v>
      </c>
      <c r="G634" s="1">
        <v>48</v>
      </c>
      <c r="H634" s="1">
        <v>47</v>
      </c>
      <c r="I634">
        <f t="shared" si="45"/>
        <v>142</v>
      </c>
      <c r="J634">
        <f t="shared" si="46"/>
        <v>1</v>
      </c>
      <c r="K634">
        <f t="shared" si="47"/>
        <v>547</v>
      </c>
      <c r="L634">
        <f t="shared" si="48"/>
        <v>546</v>
      </c>
      <c r="M634">
        <f t="shared" si="49"/>
        <v>298116</v>
      </c>
    </row>
    <row r="635" spans="1:13" ht="13.2" x14ac:dyDescent="0.25">
      <c r="A635" s="1" t="s">
        <v>19</v>
      </c>
      <c r="B635" s="1" t="s">
        <v>18</v>
      </c>
      <c r="C635" s="1" t="s">
        <v>22</v>
      </c>
      <c r="D635" s="1" t="s">
        <v>11</v>
      </c>
      <c r="E635" s="1" t="s">
        <v>12</v>
      </c>
      <c r="F635" s="1">
        <v>69</v>
      </c>
      <c r="G635" s="1">
        <v>66</v>
      </c>
      <c r="H635" s="1">
        <v>66</v>
      </c>
      <c r="I635">
        <f t="shared" si="45"/>
        <v>201</v>
      </c>
      <c r="J635">
        <f t="shared" si="46"/>
        <v>0</v>
      </c>
      <c r="K635">
        <f t="shared" si="47"/>
        <v>295.5</v>
      </c>
      <c r="L635">
        <f t="shared" si="48"/>
        <v>295.5</v>
      </c>
      <c r="M635">
        <f t="shared" si="49"/>
        <v>87320.25</v>
      </c>
    </row>
    <row r="636" spans="1:13" ht="13.2" x14ac:dyDescent="0.25">
      <c r="A636" s="1" t="s">
        <v>8</v>
      </c>
      <c r="B636" s="1" t="s">
        <v>13</v>
      </c>
      <c r="C636" s="1" t="s">
        <v>14</v>
      </c>
      <c r="D636" s="1" t="s">
        <v>11</v>
      </c>
      <c r="E636" s="1" t="s">
        <v>17</v>
      </c>
      <c r="F636" s="1">
        <v>82</v>
      </c>
      <c r="G636" s="1">
        <v>83</v>
      </c>
      <c r="H636" s="1">
        <v>91</v>
      </c>
      <c r="I636">
        <f t="shared" si="45"/>
        <v>256</v>
      </c>
      <c r="J636">
        <f t="shared" si="46"/>
        <v>1</v>
      </c>
      <c r="K636">
        <f t="shared" si="47"/>
        <v>77</v>
      </c>
      <c r="L636">
        <f t="shared" si="48"/>
        <v>76</v>
      </c>
      <c r="M636">
        <f t="shared" si="49"/>
        <v>5776</v>
      </c>
    </row>
    <row r="637" spans="1:13" ht="13.2" x14ac:dyDescent="0.25">
      <c r="A637" s="1" t="s">
        <v>8</v>
      </c>
      <c r="B637" s="1" t="s">
        <v>13</v>
      </c>
      <c r="C637" s="1" t="s">
        <v>22</v>
      </c>
      <c r="D637" s="1" t="s">
        <v>11</v>
      </c>
      <c r="E637" s="1" t="s">
        <v>17</v>
      </c>
      <c r="F637" s="1">
        <v>84</v>
      </c>
      <c r="G637" s="1">
        <v>97</v>
      </c>
      <c r="H637" s="1">
        <v>99</v>
      </c>
      <c r="I637">
        <f t="shared" si="45"/>
        <v>280</v>
      </c>
      <c r="J637">
        <f t="shared" si="46"/>
        <v>1</v>
      </c>
      <c r="K637">
        <f t="shared" si="47"/>
        <v>25.5</v>
      </c>
      <c r="L637">
        <f t="shared" si="48"/>
        <v>24.5</v>
      </c>
      <c r="M637">
        <f t="shared" si="49"/>
        <v>600.25</v>
      </c>
    </row>
    <row r="638" spans="1:13" ht="13.2" x14ac:dyDescent="0.25">
      <c r="A638" s="1" t="s">
        <v>8</v>
      </c>
      <c r="B638" s="1" t="s">
        <v>18</v>
      </c>
      <c r="C638" s="1" t="s">
        <v>24</v>
      </c>
      <c r="D638" s="1" t="s">
        <v>11</v>
      </c>
      <c r="E638" s="1" t="s">
        <v>12</v>
      </c>
      <c r="F638" s="1">
        <v>83</v>
      </c>
      <c r="G638" s="1">
        <v>90</v>
      </c>
      <c r="H638" s="1">
        <v>93</v>
      </c>
      <c r="I638">
        <f t="shared" si="45"/>
        <v>266</v>
      </c>
      <c r="J638">
        <f t="shared" si="46"/>
        <v>0</v>
      </c>
      <c r="K638">
        <f t="shared" si="47"/>
        <v>48.5</v>
      </c>
      <c r="L638">
        <f t="shared" si="48"/>
        <v>48.5</v>
      </c>
      <c r="M638">
        <f t="shared" si="49"/>
        <v>2352.25</v>
      </c>
    </row>
    <row r="639" spans="1:13" ht="13.2" x14ac:dyDescent="0.25">
      <c r="A639" s="1" t="s">
        <v>19</v>
      </c>
      <c r="B639" s="1" t="s">
        <v>18</v>
      </c>
      <c r="C639" s="1" t="s">
        <v>16</v>
      </c>
      <c r="D639" s="1" t="s">
        <v>11</v>
      </c>
      <c r="E639" s="1" t="s">
        <v>17</v>
      </c>
      <c r="F639" s="1">
        <v>66</v>
      </c>
      <c r="G639" s="1">
        <v>64</v>
      </c>
      <c r="H639" s="1">
        <v>64</v>
      </c>
      <c r="I639">
        <f t="shared" si="45"/>
        <v>194</v>
      </c>
      <c r="J639">
        <f t="shared" si="46"/>
        <v>1</v>
      </c>
      <c r="K639">
        <f t="shared" si="47"/>
        <v>338.5</v>
      </c>
      <c r="L639">
        <f t="shared" si="48"/>
        <v>337.5</v>
      </c>
      <c r="M639">
        <f t="shared" si="49"/>
        <v>113906.25</v>
      </c>
    </row>
    <row r="640" spans="1:13" ht="13.2" x14ac:dyDescent="0.25">
      <c r="A640" s="1" t="s">
        <v>19</v>
      </c>
      <c r="B640" s="1" t="s">
        <v>18</v>
      </c>
      <c r="C640" s="1" t="s">
        <v>24</v>
      </c>
      <c r="D640" s="1" t="s">
        <v>11</v>
      </c>
      <c r="E640" s="1" t="s">
        <v>12</v>
      </c>
      <c r="F640" s="1">
        <v>70</v>
      </c>
      <c r="G640" s="1">
        <v>70</v>
      </c>
      <c r="H640" s="1">
        <v>70</v>
      </c>
      <c r="I640">
        <f t="shared" si="45"/>
        <v>210</v>
      </c>
      <c r="J640">
        <f t="shared" si="46"/>
        <v>0</v>
      </c>
      <c r="K640">
        <f t="shared" si="47"/>
        <v>251</v>
      </c>
      <c r="L640">
        <f t="shared" si="48"/>
        <v>251</v>
      </c>
      <c r="M640">
        <f t="shared" si="49"/>
        <v>63001</v>
      </c>
    </row>
    <row r="641" spans="1:13" ht="13.2" x14ac:dyDescent="0.25">
      <c r="A641" s="1" t="s">
        <v>19</v>
      </c>
      <c r="B641" s="1" t="s">
        <v>18</v>
      </c>
      <c r="C641" s="1" t="s">
        <v>10</v>
      </c>
      <c r="D641" s="1" t="s">
        <v>23</v>
      </c>
      <c r="E641" s="1" t="s">
        <v>12</v>
      </c>
      <c r="F641" s="1">
        <v>72</v>
      </c>
      <c r="G641" s="1">
        <v>61</v>
      </c>
      <c r="H641" s="1">
        <v>61</v>
      </c>
      <c r="I641">
        <f t="shared" si="45"/>
        <v>194</v>
      </c>
      <c r="J641">
        <f t="shared" si="46"/>
        <v>0</v>
      </c>
      <c r="K641">
        <f t="shared" si="47"/>
        <v>338.5</v>
      </c>
      <c r="L641">
        <f t="shared" si="48"/>
        <v>338.5</v>
      </c>
      <c r="M641">
        <f t="shared" si="49"/>
        <v>114582.25</v>
      </c>
    </row>
    <row r="642" spans="1:13" ht="13.2" x14ac:dyDescent="0.25">
      <c r="A642" s="1" t="s">
        <v>8</v>
      </c>
      <c r="B642" s="1" t="s">
        <v>15</v>
      </c>
      <c r="C642" s="1" t="s">
        <v>20</v>
      </c>
      <c r="D642" s="1" t="s">
        <v>11</v>
      </c>
      <c r="E642" s="1" t="s">
        <v>12</v>
      </c>
      <c r="F642" s="1">
        <v>53</v>
      </c>
      <c r="G642" s="1">
        <v>54</v>
      </c>
      <c r="H642" s="1">
        <v>60</v>
      </c>
      <c r="I642">
        <f t="shared" si="45"/>
        <v>167</v>
      </c>
      <c r="J642">
        <f t="shared" si="46"/>
        <v>0</v>
      </c>
      <c r="K642">
        <f t="shared" si="47"/>
        <v>466</v>
      </c>
      <c r="L642">
        <f t="shared" si="48"/>
        <v>466</v>
      </c>
      <c r="M642">
        <f t="shared" si="49"/>
        <v>217156</v>
      </c>
    </row>
    <row r="643" spans="1:13" ht="13.2" x14ac:dyDescent="0.25">
      <c r="A643" s="1" t="s">
        <v>8</v>
      </c>
      <c r="B643" s="1" t="s">
        <v>15</v>
      </c>
      <c r="C643" s="1" t="s">
        <v>16</v>
      </c>
      <c r="D643" s="1" t="s">
        <v>11</v>
      </c>
      <c r="E643" s="1" t="s">
        <v>12</v>
      </c>
      <c r="F643" s="1">
        <v>66</v>
      </c>
      <c r="G643" s="1">
        <v>74</v>
      </c>
      <c r="H643" s="1">
        <v>70</v>
      </c>
      <c r="I643">
        <f t="shared" ref="I643:I706" si="50">SUM(F643:H643)</f>
        <v>210</v>
      </c>
      <c r="J643">
        <f t="shared" ref="J643:J706" si="51">IF(E643="completed", 1, IF(E643="none", 0, ""))</f>
        <v>0</v>
      </c>
      <c r="K643">
        <f t="shared" ref="K643:K706" si="52">_xlfn.RANK.AVG(I643, I$2:I$601, 0)</f>
        <v>251</v>
      </c>
      <c r="L643">
        <f t="shared" ref="L643:L706" si="53">K643-J643</f>
        <v>251</v>
      </c>
      <c r="M643">
        <f t="shared" ref="M643:M706" si="54">L643^2</f>
        <v>63001</v>
      </c>
    </row>
    <row r="644" spans="1:13" ht="13.2" x14ac:dyDescent="0.25">
      <c r="A644" s="1" t="s">
        <v>8</v>
      </c>
      <c r="B644" s="1" t="s">
        <v>21</v>
      </c>
      <c r="C644" s="1" t="s">
        <v>10</v>
      </c>
      <c r="D644" s="1" t="s">
        <v>11</v>
      </c>
      <c r="E644" s="1" t="s">
        <v>17</v>
      </c>
      <c r="F644" s="1">
        <v>89</v>
      </c>
      <c r="G644" s="1">
        <v>90</v>
      </c>
      <c r="H644" s="1">
        <v>91</v>
      </c>
      <c r="I644">
        <f t="shared" si="50"/>
        <v>270</v>
      </c>
      <c r="J644">
        <f t="shared" si="51"/>
        <v>1</v>
      </c>
      <c r="K644">
        <f t="shared" si="52"/>
        <v>42</v>
      </c>
      <c r="L644">
        <f t="shared" si="53"/>
        <v>41</v>
      </c>
      <c r="M644">
        <f t="shared" si="54"/>
        <v>1681</v>
      </c>
    </row>
    <row r="645" spans="1:13" ht="13.2" x14ac:dyDescent="0.25">
      <c r="A645" s="1" t="s">
        <v>19</v>
      </c>
      <c r="B645" s="1" t="s">
        <v>18</v>
      </c>
      <c r="C645" s="1" t="s">
        <v>10</v>
      </c>
      <c r="D645" s="1" t="s">
        <v>23</v>
      </c>
      <c r="E645" s="1" t="s">
        <v>17</v>
      </c>
      <c r="F645" s="1">
        <v>62</v>
      </c>
      <c r="G645" s="1">
        <v>59</v>
      </c>
      <c r="H645" s="1">
        <v>58</v>
      </c>
      <c r="I645">
        <f t="shared" si="50"/>
        <v>179</v>
      </c>
      <c r="J645">
        <f t="shared" si="51"/>
        <v>1</v>
      </c>
      <c r="K645" t="e">
        <f t="shared" si="52"/>
        <v>#N/A</v>
      </c>
      <c r="L645" t="e">
        <f t="shared" si="53"/>
        <v>#N/A</v>
      </c>
      <c r="M645" t="e">
        <f t="shared" si="54"/>
        <v>#N/A</v>
      </c>
    </row>
    <row r="646" spans="1:13" ht="13.2" x14ac:dyDescent="0.25">
      <c r="A646" s="1" t="s">
        <v>19</v>
      </c>
      <c r="B646" s="1" t="s">
        <v>13</v>
      </c>
      <c r="C646" s="1" t="s">
        <v>20</v>
      </c>
      <c r="D646" s="1" t="s">
        <v>11</v>
      </c>
      <c r="E646" s="1" t="s">
        <v>12</v>
      </c>
      <c r="F646" s="1">
        <v>89</v>
      </c>
      <c r="G646" s="1">
        <v>81</v>
      </c>
      <c r="H646" s="1">
        <v>72</v>
      </c>
      <c r="I646">
        <f t="shared" si="50"/>
        <v>242</v>
      </c>
      <c r="J646">
        <f t="shared" si="51"/>
        <v>0</v>
      </c>
      <c r="K646">
        <f t="shared" si="52"/>
        <v>122.5</v>
      </c>
      <c r="L646">
        <f t="shared" si="53"/>
        <v>122.5</v>
      </c>
      <c r="M646">
        <f t="shared" si="54"/>
        <v>15006.25</v>
      </c>
    </row>
    <row r="647" spans="1:13" ht="13.2" x14ac:dyDescent="0.25">
      <c r="A647" s="1" t="s">
        <v>19</v>
      </c>
      <c r="B647" s="1" t="s">
        <v>18</v>
      </c>
      <c r="C647" s="1" t="s">
        <v>22</v>
      </c>
      <c r="D647" s="1" t="s">
        <v>11</v>
      </c>
      <c r="E647" s="1" t="s">
        <v>12</v>
      </c>
      <c r="F647" s="1">
        <v>73</v>
      </c>
      <c r="G647" s="1">
        <v>71</v>
      </c>
      <c r="H647" s="1">
        <v>64</v>
      </c>
      <c r="I647">
        <f t="shared" si="50"/>
        <v>208</v>
      </c>
      <c r="J647">
        <f t="shared" si="51"/>
        <v>0</v>
      </c>
      <c r="K647">
        <f t="shared" si="52"/>
        <v>264</v>
      </c>
      <c r="L647">
        <f t="shared" si="53"/>
        <v>264</v>
      </c>
      <c r="M647">
        <f t="shared" si="54"/>
        <v>69696</v>
      </c>
    </row>
    <row r="648" spans="1:13" ht="13.2" x14ac:dyDescent="0.25">
      <c r="A648" s="1" t="s">
        <v>8</v>
      </c>
      <c r="B648" s="1" t="s">
        <v>9</v>
      </c>
      <c r="C648" s="1" t="s">
        <v>16</v>
      </c>
      <c r="D648" s="1" t="s">
        <v>11</v>
      </c>
      <c r="E648" s="1" t="s">
        <v>17</v>
      </c>
      <c r="F648" s="1">
        <v>78</v>
      </c>
      <c r="G648" s="1">
        <v>97</v>
      </c>
      <c r="H648" s="1">
        <v>87</v>
      </c>
      <c r="I648">
        <f t="shared" si="50"/>
        <v>262</v>
      </c>
      <c r="J648">
        <f t="shared" si="51"/>
        <v>1</v>
      </c>
      <c r="K648">
        <f t="shared" si="52"/>
        <v>57.5</v>
      </c>
      <c r="L648">
        <f t="shared" si="53"/>
        <v>56.5</v>
      </c>
      <c r="M648">
        <f t="shared" si="54"/>
        <v>3192.25</v>
      </c>
    </row>
    <row r="649" spans="1:13" ht="13.2" x14ac:dyDescent="0.25">
      <c r="A649" s="1" t="s">
        <v>19</v>
      </c>
      <c r="B649" s="1" t="s">
        <v>18</v>
      </c>
      <c r="C649" s="1" t="s">
        <v>10</v>
      </c>
      <c r="D649" s="1" t="s">
        <v>11</v>
      </c>
      <c r="E649" s="1" t="s">
        <v>12</v>
      </c>
      <c r="F649" s="1">
        <v>68</v>
      </c>
      <c r="G649" s="1">
        <v>68</v>
      </c>
      <c r="H649" s="1">
        <v>65</v>
      </c>
      <c r="I649">
        <f t="shared" si="50"/>
        <v>201</v>
      </c>
      <c r="J649">
        <f t="shared" si="51"/>
        <v>0</v>
      </c>
      <c r="K649">
        <f t="shared" si="52"/>
        <v>295.5</v>
      </c>
      <c r="L649">
        <f t="shared" si="53"/>
        <v>295.5</v>
      </c>
      <c r="M649">
        <f t="shared" si="54"/>
        <v>87320.25</v>
      </c>
    </row>
    <row r="650" spans="1:13" ht="13.2" x14ac:dyDescent="0.25">
      <c r="A650" s="1" t="s">
        <v>8</v>
      </c>
      <c r="B650" s="1" t="s">
        <v>18</v>
      </c>
      <c r="C650" s="1" t="s">
        <v>14</v>
      </c>
      <c r="D650" s="1" t="s">
        <v>11</v>
      </c>
      <c r="E650" s="1" t="s">
        <v>12</v>
      </c>
      <c r="F650" s="1">
        <v>66</v>
      </c>
      <c r="G650" s="1">
        <v>58</v>
      </c>
      <c r="H650" s="1">
        <v>69</v>
      </c>
      <c r="I650">
        <f t="shared" si="50"/>
        <v>193</v>
      </c>
      <c r="J650">
        <f t="shared" si="51"/>
        <v>0</v>
      </c>
      <c r="K650">
        <f t="shared" si="52"/>
        <v>344</v>
      </c>
      <c r="L650">
        <f t="shared" si="53"/>
        <v>344</v>
      </c>
      <c r="M650">
        <f t="shared" si="54"/>
        <v>118336</v>
      </c>
    </row>
    <row r="651" spans="1:13" ht="13.2" x14ac:dyDescent="0.25">
      <c r="A651" s="1" t="s">
        <v>8</v>
      </c>
      <c r="B651" s="1" t="s">
        <v>13</v>
      </c>
      <c r="C651" s="1" t="s">
        <v>14</v>
      </c>
      <c r="D651" s="1" t="s">
        <v>11</v>
      </c>
      <c r="E651" s="1" t="s">
        <v>12</v>
      </c>
      <c r="F651" s="1">
        <v>39</v>
      </c>
      <c r="G651" s="1">
        <v>52</v>
      </c>
      <c r="H651" s="1">
        <v>47</v>
      </c>
      <c r="I651">
        <f t="shared" si="50"/>
        <v>138</v>
      </c>
      <c r="J651">
        <f t="shared" si="51"/>
        <v>0</v>
      </c>
      <c r="K651">
        <f t="shared" si="52"/>
        <v>554.5</v>
      </c>
      <c r="L651">
        <f t="shared" si="53"/>
        <v>554.5</v>
      </c>
      <c r="M651">
        <f t="shared" si="54"/>
        <v>307470.25</v>
      </c>
    </row>
    <row r="652" spans="1:13" ht="13.2" x14ac:dyDescent="0.25">
      <c r="A652" s="1" t="s">
        <v>19</v>
      </c>
      <c r="B652" s="1" t="s">
        <v>18</v>
      </c>
      <c r="C652" s="1" t="s">
        <v>22</v>
      </c>
      <c r="D652" s="1" t="s">
        <v>23</v>
      </c>
      <c r="E652" s="1" t="s">
        <v>17</v>
      </c>
      <c r="F652" s="1">
        <v>73</v>
      </c>
      <c r="G652" s="1">
        <v>84</v>
      </c>
      <c r="H652" s="1">
        <v>78</v>
      </c>
      <c r="I652">
        <f t="shared" si="50"/>
        <v>235</v>
      </c>
      <c r="J652">
        <f t="shared" si="51"/>
        <v>1</v>
      </c>
      <c r="K652">
        <f t="shared" si="52"/>
        <v>154</v>
      </c>
      <c r="L652">
        <f t="shared" si="53"/>
        <v>153</v>
      </c>
      <c r="M652">
        <f t="shared" si="54"/>
        <v>23409</v>
      </c>
    </row>
    <row r="653" spans="1:13" ht="13.2" x14ac:dyDescent="0.25">
      <c r="A653" s="1" t="s">
        <v>19</v>
      </c>
      <c r="B653" s="1" t="s">
        <v>9</v>
      </c>
      <c r="C653" s="1" t="s">
        <v>22</v>
      </c>
      <c r="D653" s="1" t="s">
        <v>11</v>
      </c>
      <c r="E653" s="1" t="s">
        <v>17</v>
      </c>
      <c r="F653" s="1">
        <v>79</v>
      </c>
      <c r="G653" s="1">
        <v>75</v>
      </c>
      <c r="H653" s="1">
        <v>77</v>
      </c>
      <c r="I653">
        <f t="shared" si="50"/>
        <v>231</v>
      </c>
      <c r="J653">
        <f t="shared" si="51"/>
        <v>1</v>
      </c>
      <c r="K653">
        <f t="shared" si="52"/>
        <v>168</v>
      </c>
      <c r="L653">
        <f t="shared" si="53"/>
        <v>167</v>
      </c>
      <c r="M653">
        <f t="shared" si="54"/>
        <v>27889</v>
      </c>
    </row>
    <row r="654" spans="1:13" ht="13.2" x14ac:dyDescent="0.25">
      <c r="A654" s="1" t="s">
        <v>8</v>
      </c>
      <c r="B654" s="1" t="s">
        <v>13</v>
      </c>
      <c r="C654" s="1" t="s">
        <v>20</v>
      </c>
      <c r="D654" s="1" t="s">
        <v>11</v>
      </c>
      <c r="E654" s="1" t="s">
        <v>17</v>
      </c>
      <c r="F654" s="1">
        <v>67</v>
      </c>
      <c r="G654" s="1">
        <v>74</v>
      </c>
      <c r="H654" s="1">
        <v>75</v>
      </c>
      <c r="I654">
        <f t="shared" si="50"/>
        <v>216</v>
      </c>
      <c r="J654">
        <f t="shared" si="51"/>
        <v>1</v>
      </c>
      <c r="K654">
        <f t="shared" si="52"/>
        <v>231</v>
      </c>
      <c r="L654">
        <f t="shared" si="53"/>
        <v>230</v>
      </c>
      <c r="M654">
        <f t="shared" si="54"/>
        <v>52900</v>
      </c>
    </row>
    <row r="655" spans="1:13" ht="13.2" x14ac:dyDescent="0.25">
      <c r="A655" s="1" t="s">
        <v>19</v>
      </c>
      <c r="B655" s="1" t="s">
        <v>9</v>
      </c>
      <c r="C655" s="1" t="s">
        <v>16</v>
      </c>
      <c r="D655" s="1" t="s">
        <v>23</v>
      </c>
      <c r="E655" s="1" t="s">
        <v>12</v>
      </c>
      <c r="F655" s="1">
        <v>52</v>
      </c>
      <c r="G655" s="1">
        <v>38</v>
      </c>
      <c r="H655" s="1">
        <v>38</v>
      </c>
      <c r="I655">
        <f t="shared" si="50"/>
        <v>128</v>
      </c>
      <c r="J655">
        <f t="shared" si="51"/>
        <v>0</v>
      </c>
      <c r="K655">
        <f t="shared" si="52"/>
        <v>574</v>
      </c>
      <c r="L655">
        <f t="shared" si="53"/>
        <v>574</v>
      </c>
      <c r="M655">
        <f t="shared" si="54"/>
        <v>329476</v>
      </c>
    </row>
    <row r="656" spans="1:13" ht="13.2" x14ac:dyDescent="0.25">
      <c r="A656" s="1" t="s">
        <v>8</v>
      </c>
      <c r="B656" s="1" t="s">
        <v>18</v>
      </c>
      <c r="C656" s="1" t="s">
        <v>22</v>
      </c>
      <c r="D656" s="1" t="s">
        <v>23</v>
      </c>
      <c r="E656" s="1" t="s">
        <v>12</v>
      </c>
      <c r="F656" s="1">
        <v>22</v>
      </c>
      <c r="G656" s="1">
        <v>43</v>
      </c>
      <c r="H656" s="1">
        <v>44</v>
      </c>
      <c r="I656">
        <f t="shared" si="50"/>
        <v>109</v>
      </c>
      <c r="J656">
        <f t="shared" si="51"/>
        <v>0</v>
      </c>
      <c r="K656">
        <f t="shared" si="52"/>
        <v>590</v>
      </c>
      <c r="L656">
        <f t="shared" si="53"/>
        <v>590</v>
      </c>
      <c r="M656">
        <f t="shared" si="54"/>
        <v>348100</v>
      </c>
    </row>
    <row r="657" spans="1:13" ht="13.2" x14ac:dyDescent="0.25">
      <c r="A657" s="1" t="s">
        <v>19</v>
      </c>
      <c r="B657" s="1" t="s">
        <v>13</v>
      </c>
      <c r="C657" s="1" t="s">
        <v>22</v>
      </c>
      <c r="D657" s="1" t="s">
        <v>23</v>
      </c>
      <c r="E657" s="1" t="s">
        <v>12</v>
      </c>
      <c r="F657" s="1">
        <v>59</v>
      </c>
      <c r="G657" s="1">
        <v>60</v>
      </c>
      <c r="H657" s="1">
        <v>52</v>
      </c>
      <c r="I657">
        <f t="shared" si="50"/>
        <v>171</v>
      </c>
      <c r="J657">
        <f t="shared" si="51"/>
        <v>0</v>
      </c>
      <c r="K657">
        <f t="shared" si="52"/>
        <v>450</v>
      </c>
      <c r="L657">
        <f t="shared" si="53"/>
        <v>450</v>
      </c>
      <c r="M657">
        <f t="shared" si="54"/>
        <v>202500</v>
      </c>
    </row>
    <row r="658" spans="1:13" ht="13.2" x14ac:dyDescent="0.25">
      <c r="A658" s="1" t="s">
        <v>19</v>
      </c>
      <c r="B658" s="1" t="s">
        <v>15</v>
      </c>
      <c r="C658" s="1" t="s">
        <v>20</v>
      </c>
      <c r="D658" s="1" t="s">
        <v>23</v>
      </c>
      <c r="E658" s="1" t="s">
        <v>12</v>
      </c>
      <c r="F658" s="1">
        <v>64</v>
      </c>
      <c r="G658" s="1">
        <v>61</v>
      </c>
      <c r="H658" s="1">
        <v>57</v>
      </c>
      <c r="I658">
        <f t="shared" si="50"/>
        <v>182</v>
      </c>
      <c r="J658">
        <f t="shared" si="51"/>
        <v>0</v>
      </c>
      <c r="K658">
        <f t="shared" si="52"/>
        <v>399.5</v>
      </c>
      <c r="L658">
        <f t="shared" si="53"/>
        <v>399.5</v>
      </c>
      <c r="M658">
        <f t="shared" si="54"/>
        <v>159600.25</v>
      </c>
    </row>
    <row r="659" spans="1:13" ht="13.2" x14ac:dyDescent="0.25">
      <c r="A659" s="1" t="s">
        <v>19</v>
      </c>
      <c r="B659" s="1" t="s">
        <v>15</v>
      </c>
      <c r="C659" s="1" t="s">
        <v>16</v>
      </c>
      <c r="D659" s="1" t="s">
        <v>23</v>
      </c>
      <c r="E659" s="1" t="s">
        <v>17</v>
      </c>
      <c r="F659" s="1">
        <v>73</v>
      </c>
      <c r="G659" s="1">
        <v>74</v>
      </c>
      <c r="H659" s="1">
        <v>77</v>
      </c>
      <c r="I659">
        <f t="shared" si="50"/>
        <v>224</v>
      </c>
      <c r="J659">
        <f t="shared" si="51"/>
        <v>1</v>
      </c>
      <c r="K659">
        <f t="shared" si="52"/>
        <v>194</v>
      </c>
      <c r="L659">
        <f t="shared" si="53"/>
        <v>193</v>
      </c>
      <c r="M659">
        <f t="shared" si="54"/>
        <v>37249</v>
      </c>
    </row>
    <row r="660" spans="1:13" ht="13.2" x14ac:dyDescent="0.25">
      <c r="A660" s="1" t="s">
        <v>8</v>
      </c>
      <c r="B660" s="1" t="s">
        <v>9</v>
      </c>
      <c r="C660" s="1" t="s">
        <v>16</v>
      </c>
      <c r="D660" s="1" t="s">
        <v>11</v>
      </c>
      <c r="E660" s="1" t="s">
        <v>17</v>
      </c>
      <c r="F660" s="1">
        <v>71</v>
      </c>
      <c r="G660" s="1">
        <v>91</v>
      </c>
      <c r="H660" s="1">
        <v>89</v>
      </c>
      <c r="I660">
        <f t="shared" si="50"/>
        <v>251</v>
      </c>
      <c r="J660">
        <f t="shared" si="51"/>
        <v>1</v>
      </c>
      <c r="K660">
        <f t="shared" si="52"/>
        <v>92</v>
      </c>
      <c r="L660">
        <f t="shared" si="53"/>
        <v>91</v>
      </c>
      <c r="M660">
        <f t="shared" si="54"/>
        <v>8281</v>
      </c>
    </row>
    <row r="661" spans="1:13" ht="13.2" x14ac:dyDescent="0.25">
      <c r="A661" s="1" t="s">
        <v>19</v>
      </c>
      <c r="B661" s="1" t="s">
        <v>9</v>
      </c>
      <c r="C661" s="1" t="s">
        <v>22</v>
      </c>
      <c r="D661" s="1" t="s">
        <v>11</v>
      </c>
      <c r="E661" s="1" t="s">
        <v>17</v>
      </c>
      <c r="F661" s="1">
        <v>87</v>
      </c>
      <c r="G661" s="1">
        <v>81</v>
      </c>
      <c r="H661" s="1">
        <v>86</v>
      </c>
      <c r="I661">
        <f t="shared" si="50"/>
        <v>254</v>
      </c>
      <c r="J661">
        <f t="shared" si="51"/>
        <v>1</v>
      </c>
      <c r="K661" t="e">
        <f t="shared" si="52"/>
        <v>#N/A</v>
      </c>
      <c r="L661" t="e">
        <f t="shared" si="53"/>
        <v>#N/A</v>
      </c>
      <c r="M661" t="e">
        <f t="shared" si="54"/>
        <v>#N/A</v>
      </c>
    </row>
    <row r="662" spans="1:13" ht="13.2" x14ac:dyDescent="0.25">
      <c r="A662" s="1" t="s">
        <v>19</v>
      </c>
      <c r="B662" s="1" t="s">
        <v>18</v>
      </c>
      <c r="C662" s="1" t="s">
        <v>22</v>
      </c>
      <c r="D662" s="1" t="s">
        <v>23</v>
      </c>
      <c r="E662" s="1" t="s">
        <v>17</v>
      </c>
      <c r="F662" s="1">
        <v>71</v>
      </c>
      <c r="G662" s="1">
        <v>78</v>
      </c>
      <c r="H662" s="1">
        <v>74</v>
      </c>
      <c r="I662">
        <f t="shared" si="50"/>
        <v>223</v>
      </c>
      <c r="J662">
        <f t="shared" si="51"/>
        <v>1</v>
      </c>
      <c r="K662">
        <f t="shared" si="52"/>
        <v>200</v>
      </c>
      <c r="L662">
        <f t="shared" si="53"/>
        <v>199</v>
      </c>
      <c r="M662">
        <f t="shared" si="54"/>
        <v>39601</v>
      </c>
    </row>
    <row r="663" spans="1:13" ht="13.2" x14ac:dyDescent="0.25">
      <c r="A663" s="1" t="s">
        <v>19</v>
      </c>
      <c r="B663" s="1" t="s">
        <v>21</v>
      </c>
      <c r="C663" s="1" t="s">
        <v>16</v>
      </c>
      <c r="D663" s="1" t="s">
        <v>11</v>
      </c>
      <c r="E663" s="1" t="s">
        <v>12</v>
      </c>
      <c r="F663" s="1">
        <v>81</v>
      </c>
      <c r="G663" s="1">
        <v>74</v>
      </c>
      <c r="H663" s="1">
        <v>66</v>
      </c>
      <c r="I663">
        <f t="shared" si="50"/>
        <v>221</v>
      </c>
      <c r="J663">
        <f t="shared" si="51"/>
        <v>0</v>
      </c>
      <c r="K663">
        <f t="shared" si="52"/>
        <v>209.5</v>
      </c>
      <c r="L663">
        <f t="shared" si="53"/>
        <v>209.5</v>
      </c>
      <c r="M663">
        <f t="shared" si="54"/>
        <v>43890.25</v>
      </c>
    </row>
    <row r="664" spans="1:13" ht="13.2" x14ac:dyDescent="0.25">
      <c r="A664" s="1" t="s">
        <v>8</v>
      </c>
      <c r="B664" s="1" t="s">
        <v>13</v>
      </c>
      <c r="C664" s="1" t="s">
        <v>22</v>
      </c>
      <c r="D664" s="1" t="s">
        <v>23</v>
      </c>
      <c r="E664" s="1" t="s">
        <v>12</v>
      </c>
      <c r="F664" s="1">
        <v>60</v>
      </c>
      <c r="G664" s="1">
        <v>75</v>
      </c>
      <c r="H664" s="1">
        <v>70</v>
      </c>
      <c r="I664">
        <f t="shared" si="50"/>
        <v>205</v>
      </c>
      <c r="J664">
        <f t="shared" si="51"/>
        <v>0</v>
      </c>
      <c r="K664">
        <f t="shared" si="52"/>
        <v>277</v>
      </c>
      <c r="L664">
        <f t="shared" si="53"/>
        <v>277</v>
      </c>
      <c r="M664">
        <f t="shared" si="54"/>
        <v>76729</v>
      </c>
    </row>
    <row r="665" spans="1:13" ht="13.2" x14ac:dyDescent="0.25">
      <c r="A665" s="1" t="s">
        <v>8</v>
      </c>
      <c r="B665" s="1" t="s">
        <v>13</v>
      </c>
      <c r="C665" s="1" t="s">
        <v>16</v>
      </c>
      <c r="D665" s="1" t="s">
        <v>23</v>
      </c>
      <c r="E665" s="1" t="s">
        <v>12</v>
      </c>
      <c r="F665" s="1">
        <v>55</v>
      </c>
      <c r="G665" s="1">
        <v>73</v>
      </c>
      <c r="H665" s="1">
        <v>72</v>
      </c>
      <c r="I665">
        <f t="shared" si="50"/>
        <v>200</v>
      </c>
      <c r="J665">
        <f t="shared" si="51"/>
        <v>0</v>
      </c>
      <c r="K665">
        <f t="shared" si="52"/>
        <v>300.5</v>
      </c>
      <c r="L665">
        <f t="shared" si="53"/>
        <v>300.5</v>
      </c>
      <c r="M665">
        <f t="shared" si="54"/>
        <v>90300.25</v>
      </c>
    </row>
    <row r="666" spans="1:13" ht="13.2" x14ac:dyDescent="0.25">
      <c r="A666" s="1" t="s">
        <v>19</v>
      </c>
      <c r="B666" s="1" t="s">
        <v>9</v>
      </c>
      <c r="C666" s="1" t="s">
        <v>14</v>
      </c>
      <c r="D666" s="1" t="s">
        <v>11</v>
      </c>
      <c r="E666" s="1" t="s">
        <v>12</v>
      </c>
      <c r="F666" s="1">
        <v>43</v>
      </c>
      <c r="G666" s="1">
        <v>37</v>
      </c>
      <c r="H666" s="1">
        <v>31</v>
      </c>
      <c r="I666">
        <f t="shared" si="50"/>
        <v>111</v>
      </c>
      <c r="J666">
        <f t="shared" si="51"/>
        <v>0</v>
      </c>
      <c r="K666" t="e">
        <f t="shared" si="52"/>
        <v>#N/A</v>
      </c>
      <c r="L666" t="e">
        <f t="shared" si="53"/>
        <v>#N/A</v>
      </c>
      <c r="M666" t="e">
        <f t="shared" si="54"/>
        <v>#N/A</v>
      </c>
    </row>
    <row r="667" spans="1:13" ht="13.2" x14ac:dyDescent="0.25">
      <c r="A667" s="1" t="s">
        <v>19</v>
      </c>
      <c r="B667" s="1" t="s">
        <v>13</v>
      </c>
      <c r="C667" s="1" t="s">
        <v>16</v>
      </c>
      <c r="D667" s="1" t="s">
        <v>11</v>
      </c>
      <c r="E667" s="1" t="s">
        <v>17</v>
      </c>
      <c r="F667" s="1">
        <v>94</v>
      </c>
      <c r="G667" s="1">
        <v>85</v>
      </c>
      <c r="H667" s="1">
        <v>87</v>
      </c>
      <c r="I667">
        <f t="shared" si="50"/>
        <v>266</v>
      </c>
      <c r="J667">
        <f t="shared" si="51"/>
        <v>1</v>
      </c>
      <c r="K667">
        <f t="shared" si="52"/>
        <v>48.5</v>
      </c>
      <c r="L667">
        <f t="shared" si="53"/>
        <v>47.5</v>
      </c>
      <c r="M667">
        <f t="shared" si="54"/>
        <v>2256.25</v>
      </c>
    </row>
    <row r="668" spans="1:13" ht="13.2" x14ac:dyDescent="0.25">
      <c r="A668" s="1" t="s">
        <v>19</v>
      </c>
      <c r="B668" s="1" t="s">
        <v>18</v>
      </c>
      <c r="C668" s="1" t="s">
        <v>10</v>
      </c>
      <c r="D668" s="1" t="s">
        <v>11</v>
      </c>
      <c r="E668" s="1" t="s">
        <v>12</v>
      </c>
      <c r="F668" s="1">
        <v>55</v>
      </c>
      <c r="G668" s="1">
        <v>59</v>
      </c>
      <c r="H668" s="1">
        <v>53</v>
      </c>
      <c r="I668">
        <f t="shared" si="50"/>
        <v>167</v>
      </c>
      <c r="J668">
        <f t="shared" si="51"/>
        <v>0</v>
      </c>
      <c r="K668">
        <f t="shared" si="52"/>
        <v>466</v>
      </c>
      <c r="L668">
        <f t="shared" si="53"/>
        <v>466</v>
      </c>
      <c r="M668">
        <f t="shared" si="54"/>
        <v>217156</v>
      </c>
    </row>
    <row r="669" spans="1:13" ht="13.2" x14ac:dyDescent="0.25">
      <c r="A669" s="1" t="s">
        <v>8</v>
      </c>
      <c r="B669" s="1" t="s">
        <v>13</v>
      </c>
      <c r="C669" s="1" t="s">
        <v>20</v>
      </c>
      <c r="D669" s="1" t="s">
        <v>11</v>
      </c>
      <c r="E669" s="1" t="s">
        <v>12</v>
      </c>
      <c r="F669" s="1">
        <v>86</v>
      </c>
      <c r="G669" s="1">
        <v>93</v>
      </c>
      <c r="H669" s="1">
        <v>93</v>
      </c>
      <c r="I669">
        <f t="shared" si="50"/>
        <v>272</v>
      </c>
      <c r="J669">
        <f t="shared" si="51"/>
        <v>0</v>
      </c>
      <c r="K669">
        <f t="shared" si="52"/>
        <v>39</v>
      </c>
      <c r="L669">
        <f t="shared" si="53"/>
        <v>39</v>
      </c>
      <c r="M669">
        <f t="shared" si="54"/>
        <v>1521</v>
      </c>
    </row>
    <row r="670" spans="1:13" ht="13.2" x14ac:dyDescent="0.25">
      <c r="A670" s="1" t="s">
        <v>8</v>
      </c>
      <c r="B670" s="1" t="s">
        <v>13</v>
      </c>
      <c r="C670" s="1" t="s">
        <v>16</v>
      </c>
      <c r="D670" s="1" t="s">
        <v>23</v>
      </c>
      <c r="E670" s="1" t="s">
        <v>12</v>
      </c>
      <c r="F670" s="1">
        <v>56</v>
      </c>
      <c r="G670" s="1">
        <v>67</v>
      </c>
      <c r="H670" s="1">
        <v>70</v>
      </c>
      <c r="I670">
        <f t="shared" si="50"/>
        <v>193</v>
      </c>
      <c r="J670">
        <f t="shared" si="51"/>
        <v>0</v>
      </c>
      <c r="K670">
        <f t="shared" si="52"/>
        <v>344</v>
      </c>
      <c r="L670">
        <f t="shared" si="53"/>
        <v>344</v>
      </c>
      <c r="M670">
        <f t="shared" si="54"/>
        <v>118336</v>
      </c>
    </row>
    <row r="671" spans="1:13" ht="13.2" x14ac:dyDescent="0.25">
      <c r="A671" s="1" t="s">
        <v>19</v>
      </c>
      <c r="B671" s="1" t="s">
        <v>13</v>
      </c>
      <c r="C671" s="1" t="s">
        <v>14</v>
      </c>
      <c r="D671" s="1" t="s">
        <v>11</v>
      </c>
      <c r="E671" s="1" t="s">
        <v>17</v>
      </c>
      <c r="F671" s="1">
        <v>88</v>
      </c>
      <c r="G671" s="1">
        <v>90</v>
      </c>
      <c r="H671" s="1">
        <v>85</v>
      </c>
      <c r="I671">
        <f t="shared" si="50"/>
        <v>263</v>
      </c>
      <c r="J671">
        <f t="shared" si="51"/>
        <v>1</v>
      </c>
      <c r="K671">
        <f t="shared" si="52"/>
        <v>56</v>
      </c>
      <c r="L671">
        <f t="shared" si="53"/>
        <v>55</v>
      </c>
      <c r="M671">
        <f t="shared" si="54"/>
        <v>3025</v>
      </c>
    </row>
    <row r="672" spans="1:13" ht="13.2" x14ac:dyDescent="0.25">
      <c r="A672" s="1" t="s">
        <v>8</v>
      </c>
      <c r="B672" s="1" t="s">
        <v>21</v>
      </c>
      <c r="C672" s="1" t="s">
        <v>16</v>
      </c>
      <c r="D672" s="1" t="s">
        <v>11</v>
      </c>
      <c r="E672" s="1" t="s">
        <v>12</v>
      </c>
      <c r="F672" s="1">
        <v>92</v>
      </c>
      <c r="G672" s="1">
        <v>95</v>
      </c>
      <c r="H672" s="1">
        <v>90</v>
      </c>
      <c r="I672">
        <f t="shared" si="50"/>
        <v>277</v>
      </c>
      <c r="J672">
        <f t="shared" si="51"/>
        <v>0</v>
      </c>
      <c r="K672">
        <f t="shared" si="52"/>
        <v>32.5</v>
      </c>
      <c r="L672">
        <f t="shared" si="53"/>
        <v>32.5</v>
      </c>
      <c r="M672">
        <f t="shared" si="54"/>
        <v>1056.25</v>
      </c>
    </row>
    <row r="673" spans="1:13" ht="13.2" x14ac:dyDescent="0.25">
      <c r="A673" s="1" t="s">
        <v>8</v>
      </c>
      <c r="B673" s="1" t="s">
        <v>18</v>
      </c>
      <c r="C673" s="1" t="s">
        <v>14</v>
      </c>
      <c r="D673" s="1" t="s">
        <v>11</v>
      </c>
      <c r="E673" s="1" t="s">
        <v>17</v>
      </c>
      <c r="F673" s="1">
        <v>64</v>
      </c>
      <c r="G673" s="1">
        <v>82</v>
      </c>
      <c r="H673" s="1">
        <v>77</v>
      </c>
      <c r="I673">
        <f t="shared" si="50"/>
        <v>223</v>
      </c>
      <c r="J673">
        <f t="shared" si="51"/>
        <v>1</v>
      </c>
      <c r="K673">
        <f t="shared" si="52"/>
        <v>200</v>
      </c>
      <c r="L673">
        <f t="shared" si="53"/>
        <v>199</v>
      </c>
      <c r="M673">
        <f t="shared" si="54"/>
        <v>39601</v>
      </c>
    </row>
    <row r="674" spans="1:13" ht="13.2" x14ac:dyDescent="0.25">
      <c r="A674" s="1" t="s">
        <v>19</v>
      </c>
      <c r="B674" s="1" t="s">
        <v>21</v>
      </c>
      <c r="C674" s="1" t="s">
        <v>22</v>
      </c>
      <c r="D674" s="1" t="s">
        <v>11</v>
      </c>
      <c r="E674" s="1" t="s">
        <v>12</v>
      </c>
      <c r="F674" s="1">
        <v>68</v>
      </c>
      <c r="G674" s="1">
        <v>68</v>
      </c>
      <c r="H674" s="1">
        <v>60</v>
      </c>
      <c r="I674">
        <f t="shared" si="50"/>
        <v>196</v>
      </c>
      <c r="J674">
        <f t="shared" si="51"/>
        <v>0</v>
      </c>
      <c r="K674">
        <f t="shared" si="52"/>
        <v>323.5</v>
      </c>
      <c r="L674">
        <f t="shared" si="53"/>
        <v>323.5</v>
      </c>
      <c r="M674">
        <f t="shared" si="54"/>
        <v>104652.25</v>
      </c>
    </row>
    <row r="675" spans="1:13" ht="13.2" x14ac:dyDescent="0.25">
      <c r="A675" s="1" t="s">
        <v>8</v>
      </c>
      <c r="B675" s="1" t="s">
        <v>18</v>
      </c>
      <c r="C675" s="1" t="s">
        <v>16</v>
      </c>
      <c r="D675" s="1" t="s">
        <v>23</v>
      </c>
      <c r="E675" s="1" t="s">
        <v>17</v>
      </c>
      <c r="F675" s="1">
        <v>52</v>
      </c>
      <c r="G675" s="1">
        <v>72</v>
      </c>
      <c r="H675" s="1">
        <v>67</v>
      </c>
      <c r="I675">
        <f t="shared" si="50"/>
        <v>191</v>
      </c>
      <c r="J675">
        <f t="shared" si="51"/>
        <v>1</v>
      </c>
      <c r="K675">
        <f t="shared" si="52"/>
        <v>353.5</v>
      </c>
      <c r="L675">
        <f t="shared" si="53"/>
        <v>352.5</v>
      </c>
      <c r="M675">
        <f t="shared" si="54"/>
        <v>124256.25</v>
      </c>
    </row>
    <row r="676" spans="1:13" ht="13.2" x14ac:dyDescent="0.25">
      <c r="A676" s="1" t="s">
        <v>8</v>
      </c>
      <c r="B676" s="1" t="s">
        <v>13</v>
      </c>
      <c r="C676" s="1" t="s">
        <v>14</v>
      </c>
      <c r="D676" s="1" t="s">
        <v>23</v>
      </c>
      <c r="E676" s="1" t="s">
        <v>17</v>
      </c>
      <c r="F676" s="1">
        <v>82</v>
      </c>
      <c r="G676" s="1">
        <v>98</v>
      </c>
      <c r="H676" s="1">
        <v>96</v>
      </c>
      <c r="I676">
        <f t="shared" si="50"/>
        <v>276</v>
      </c>
      <c r="J676">
        <f t="shared" si="51"/>
        <v>1</v>
      </c>
      <c r="K676" t="e">
        <f t="shared" si="52"/>
        <v>#N/A</v>
      </c>
      <c r="L676" t="e">
        <f t="shared" si="53"/>
        <v>#N/A</v>
      </c>
      <c r="M676" t="e">
        <f t="shared" si="54"/>
        <v>#N/A</v>
      </c>
    </row>
    <row r="677" spans="1:13" ht="13.2" x14ac:dyDescent="0.25">
      <c r="A677" s="1" t="s">
        <v>8</v>
      </c>
      <c r="B677" s="1" t="s">
        <v>13</v>
      </c>
      <c r="C677" s="1" t="s">
        <v>10</v>
      </c>
      <c r="D677" s="1" t="s">
        <v>11</v>
      </c>
      <c r="E677" s="1" t="s">
        <v>12</v>
      </c>
      <c r="F677" s="1">
        <v>85</v>
      </c>
      <c r="G677" s="1">
        <v>96</v>
      </c>
      <c r="H677" s="1">
        <v>95</v>
      </c>
      <c r="I677">
        <f t="shared" si="50"/>
        <v>276</v>
      </c>
      <c r="J677">
        <f t="shared" si="51"/>
        <v>0</v>
      </c>
      <c r="K677" t="e">
        <f t="shared" si="52"/>
        <v>#N/A</v>
      </c>
      <c r="L677" t="e">
        <f t="shared" si="53"/>
        <v>#N/A</v>
      </c>
      <c r="M677" t="e">
        <f t="shared" si="54"/>
        <v>#N/A</v>
      </c>
    </row>
    <row r="678" spans="1:13" ht="13.2" x14ac:dyDescent="0.25">
      <c r="A678" s="1" t="s">
        <v>19</v>
      </c>
      <c r="B678" s="1" t="s">
        <v>18</v>
      </c>
      <c r="C678" s="1" t="s">
        <v>16</v>
      </c>
      <c r="D678" s="1" t="s">
        <v>11</v>
      </c>
      <c r="E678" s="1" t="s">
        <v>12</v>
      </c>
      <c r="F678" s="1">
        <v>94</v>
      </c>
      <c r="G678" s="1">
        <v>84</v>
      </c>
      <c r="H678" s="1">
        <v>79</v>
      </c>
      <c r="I678">
        <f t="shared" si="50"/>
        <v>257</v>
      </c>
      <c r="J678">
        <f t="shared" si="51"/>
        <v>0</v>
      </c>
      <c r="K678">
        <f t="shared" si="52"/>
        <v>74.5</v>
      </c>
      <c r="L678">
        <f t="shared" si="53"/>
        <v>74.5</v>
      </c>
      <c r="M678">
        <f t="shared" si="54"/>
        <v>5550.25</v>
      </c>
    </row>
    <row r="679" spans="1:13" ht="13.2" x14ac:dyDescent="0.25">
      <c r="A679" s="1" t="s">
        <v>8</v>
      </c>
      <c r="B679" s="1" t="s">
        <v>15</v>
      </c>
      <c r="C679" s="1" t="s">
        <v>10</v>
      </c>
      <c r="D679" s="1" t="s">
        <v>11</v>
      </c>
      <c r="E679" s="1" t="s">
        <v>12</v>
      </c>
      <c r="F679" s="1">
        <v>54</v>
      </c>
      <c r="G679" s="1">
        <v>65</v>
      </c>
      <c r="H679" s="1">
        <v>62</v>
      </c>
      <c r="I679">
        <f t="shared" si="50"/>
        <v>181</v>
      </c>
      <c r="J679">
        <f t="shared" si="51"/>
        <v>0</v>
      </c>
      <c r="K679">
        <f t="shared" si="52"/>
        <v>405.5</v>
      </c>
      <c r="L679">
        <f t="shared" si="53"/>
        <v>405.5</v>
      </c>
      <c r="M679">
        <f t="shared" si="54"/>
        <v>164430.25</v>
      </c>
    </row>
    <row r="680" spans="1:13" ht="13.2" x14ac:dyDescent="0.25">
      <c r="A680" s="1" t="s">
        <v>19</v>
      </c>
      <c r="B680" s="1" t="s">
        <v>9</v>
      </c>
      <c r="C680" s="1" t="s">
        <v>20</v>
      </c>
      <c r="D680" s="1" t="s">
        <v>23</v>
      </c>
      <c r="E680" s="1" t="s">
        <v>12</v>
      </c>
      <c r="F680" s="1">
        <v>28</v>
      </c>
      <c r="G680" s="1">
        <v>32</v>
      </c>
      <c r="H680" s="1">
        <v>30</v>
      </c>
      <c r="I680">
        <f t="shared" si="50"/>
        <v>90</v>
      </c>
      <c r="J680">
        <f t="shared" si="51"/>
        <v>0</v>
      </c>
      <c r="K680" t="e">
        <f t="shared" si="52"/>
        <v>#N/A</v>
      </c>
      <c r="L680" t="e">
        <f t="shared" si="53"/>
        <v>#N/A</v>
      </c>
      <c r="M680" t="e">
        <f t="shared" si="54"/>
        <v>#N/A</v>
      </c>
    </row>
    <row r="681" spans="1:13" ht="13.2" x14ac:dyDescent="0.25">
      <c r="A681" s="1" t="s">
        <v>8</v>
      </c>
      <c r="B681" s="1" t="s">
        <v>18</v>
      </c>
      <c r="C681" s="1" t="s">
        <v>22</v>
      </c>
      <c r="D681" s="1" t="s">
        <v>23</v>
      </c>
      <c r="E681" s="1" t="s">
        <v>17</v>
      </c>
      <c r="F681" s="1">
        <v>36</v>
      </c>
      <c r="G681" s="1">
        <v>56</v>
      </c>
      <c r="H681" s="1">
        <v>59</v>
      </c>
      <c r="I681">
        <f t="shared" si="50"/>
        <v>151</v>
      </c>
      <c r="J681">
        <f t="shared" si="51"/>
        <v>1</v>
      </c>
      <c r="K681">
        <f t="shared" si="52"/>
        <v>524.5</v>
      </c>
      <c r="L681">
        <f t="shared" si="53"/>
        <v>523.5</v>
      </c>
      <c r="M681">
        <f t="shared" si="54"/>
        <v>274052.25</v>
      </c>
    </row>
    <row r="682" spans="1:13" ht="13.2" x14ac:dyDescent="0.25">
      <c r="A682" s="1" t="s">
        <v>19</v>
      </c>
      <c r="B682" s="1" t="s">
        <v>13</v>
      </c>
      <c r="C682" s="1" t="s">
        <v>20</v>
      </c>
      <c r="D682" s="1" t="s">
        <v>11</v>
      </c>
      <c r="E682" s="1" t="s">
        <v>12</v>
      </c>
      <c r="F682" s="1">
        <v>78</v>
      </c>
      <c r="G682" s="1">
        <v>80</v>
      </c>
      <c r="H682" s="1">
        <v>80</v>
      </c>
      <c r="I682">
        <f t="shared" si="50"/>
        <v>238</v>
      </c>
      <c r="J682">
        <f t="shared" si="51"/>
        <v>0</v>
      </c>
      <c r="K682">
        <f t="shared" si="52"/>
        <v>140.5</v>
      </c>
      <c r="L682">
        <f t="shared" si="53"/>
        <v>140.5</v>
      </c>
      <c r="M682">
        <f t="shared" si="54"/>
        <v>19740.25</v>
      </c>
    </row>
    <row r="683" spans="1:13" ht="13.2" x14ac:dyDescent="0.25">
      <c r="A683" s="1" t="s">
        <v>19</v>
      </c>
      <c r="B683" s="1" t="s">
        <v>9</v>
      </c>
      <c r="C683" s="1" t="s">
        <v>20</v>
      </c>
      <c r="D683" s="1" t="s">
        <v>11</v>
      </c>
      <c r="E683" s="1" t="s">
        <v>17</v>
      </c>
      <c r="F683" s="1">
        <v>80</v>
      </c>
      <c r="G683" s="1">
        <v>77</v>
      </c>
      <c r="H683" s="1">
        <v>79</v>
      </c>
      <c r="I683">
        <f t="shared" si="50"/>
        <v>236</v>
      </c>
      <c r="J683">
        <f t="shared" si="51"/>
        <v>1</v>
      </c>
      <c r="K683">
        <f t="shared" si="52"/>
        <v>148.5</v>
      </c>
      <c r="L683">
        <f t="shared" si="53"/>
        <v>147.5</v>
      </c>
      <c r="M683">
        <f t="shared" si="54"/>
        <v>21756.25</v>
      </c>
    </row>
    <row r="684" spans="1:13" ht="13.2" x14ac:dyDescent="0.25">
      <c r="A684" s="1" t="s">
        <v>8</v>
      </c>
      <c r="B684" s="1" t="s">
        <v>21</v>
      </c>
      <c r="C684" s="1" t="s">
        <v>22</v>
      </c>
      <c r="D684" s="1" t="s">
        <v>11</v>
      </c>
      <c r="E684" s="1" t="s">
        <v>12</v>
      </c>
      <c r="F684" s="1">
        <v>75</v>
      </c>
      <c r="G684" s="1">
        <v>79</v>
      </c>
      <c r="H684" s="1">
        <v>79</v>
      </c>
      <c r="I684">
        <f t="shared" si="50"/>
        <v>233</v>
      </c>
      <c r="J684">
        <f t="shared" si="51"/>
        <v>0</v>
      </c>
      <c r="K684">
        <f t="shared" si="52"/>
        <v>163</v>
      </c>
      <c r="L684">
        <f t="shared" si="53"/>
        <v>163</v>
      </c>
      <c r="M684">
        <f t="shared" si="54"/>
        <v>26569</v>
      </c>
    </row>
    <row r="685" spans="1:13" ht="13.2" x14ac:dyDescent="0.25">
      <c r="A685" s="1" t="s">
        <v>8</v>
      </c>
      <c r="B685" s="1" t="s">
        <v>13</v>
      </c>
      <c r="C685" s="1" t="s">
        <v>14</v>
      </c>
      <c r="D685" s="1" t="s">
        <v>23</v>
      </c>
      <c r="E685" s="1" t="s">
        <v>12</v>
      </c>
      <c r="F685" s="1">
        <v>74</v>
      </c>
      <c r="G685" s="1">
        <v>92</v>
      </c>
      <c r="H685" s="1">
        <v>88</v>
      </c>
      <c r="I685">
        <f t="shared" si="50"/>
        <v>254</v>
      </c>
      <c r="J685">
        <f t="shared" si="51"/>
        <v>0</v>
      </c>
      <c r="K685" t="e">
        <f t="shared" si="52"/>
        <v>#N/A</v>
      </c>
      <c r="L685" t="e">
        <f t="shared" si="53"/>
        <v>#N/A</v>
      </c>
      <c r="M685" t="e">
        <f t="shared" si="54"/>
        <v>#N/A</v>
      </c>
    </row>
    <row r="686" spans="1:13" ht="13.2" x14ac:dyDescent="0.25">
      <c r="A686" s="1" t="s">
        <v>8</v>
      </c>
      <c r="B686" s="1" t="s">
        <v>13</v>
      </c>
      <c r="C686" s="1" t="s">
        <v>10</v>
      </c>
      <c r="D686" s="1" t="s">
        <v>11</v>
      </c>
      <c r="E686" s="1" t="s">
        <v>12</v>
      </c>
      <c r="F686" s="1">
        <v>67</v>
      </c>
      <c r="G686" s="1">
        <v>79</v>
      </c>
      <c r="H686" s="1">
        <v>75</v>
      </c>
      <c r="I686">
        <f t="shared" si="50"/>
        <v>221</v>
      </c>
      <c r="J686">
        <f t="shared" si="51"/>
        <v>0</v>
      </c>
      <c r="K686">
        <f t="shared" si="52"/>
        <v>209.5</v>
      </c>
      <c r="L686">
        <f t="shared" si="53"/>
        <v>209.5</v>
      </c>
      <c r="M686">
        <f t="shared" si="54"/>
        <v>43890.25</v>
      </c>
    </row>
    <row r="687" spans="1:13" ht="13.2" x14ac:dyDescent="0.25">
      <c r="A687" s="1" t="s">
        <v>19</v>
      </c>
      <c r="B687" s="1" t="s">
        <v>9</v>
      </c>
      <c r="C687" s="1" t="s">
        <v>24</v>
      </c>
      <c r="D687" s="1" t="s">
        <v>11</v>
      </c>
      <c r="E687" s="1" t="s">
        <v>17</v>
      </c>
      <c r="F687" s="1">
        <v>92</v>
      </c>
      <c r="G687" s="1">
        <v>86</v>
      </c>
      <c r="H687" s="1">
        <v>90</v>
      </c>
      <c r="I687">
        <f t="shared" si="50"/>
        <v>268</v>
      </c>
      <c r="J687">
        <f t="shared" si="51"/>
        <v>1</v>
      </c>
      <c r="K687" t="e">
        <f t="shared" si="52"/>
        <v>#N/A</v>
      </c>
      <c r="L687" t="e">
        <f t="shared" si="53"/>
        <v>#N/A</v>
      </c>
      <c r="M687" t="e">
        <f t="shared" si="54"/>
        <v>#N/A</v>
      </c>
    </row>
    <row r="688" spans="1:13" ht="13.2" x14ac:dyDescent="0.25">
      <c r="A688" s="1" t="s">
        <v>19</v>
      </c>
      <c r="B688" s="1" t="s">
        <v>13</v>
      </c>
      <c r="C688" s="1" t="s">
        <v>24</v>
      </c>
      <c r="D688" s="1" t="s">
        <v>11</v>
      </c>
      <c r="E688" s="1" t="s">
        <v>12</v>
      </c>
      <c r="F688" s="1">
        <v>73</v>
      </c>
      <c r="G688" s="1">
        <v>77</v>
      </c>
      <c r="H688" s="1">
        <v>75</v>
      </c>
      <c r="I688">
        <f t="shared" si="50"/>
        <v>225</v>
      </c>
      <c r="J688">
        <f t="shared" si="51"/>
        <v>0</v>
      </c>
      <c r="K688">
        <f t="shared" si="52"/>
        <v>191</v>
      </c>
      <c r="L688">
        <f t="shared" si="53"/>
        <v>191</v>
      </c>
      <c r="M688">
        <f t="shared" si="54"/>
        <v>36481</v>
      </c>
    </row>
    <row r="689" spans="1:13" ht="13.2" x14ac:dyDescent="0.25">
      <c r="A689" s="1" t="s">
        <v>19</v>
      </c>
      <c r="B689" s="1" t="s">
        <v>18</v>
      </c>
      <c r="C689" s="1" t="s">
        <v>22</v>
      </c>
      <c r="D689" s="1" t="s">
        <v>23</v>
      </c>
      <c r="E689" s="1" t="s">
        <v>12</v>
      </c>
      <c r="F689" s="1">
        <v>53</v>
      </c>
      <c r="G689" s="1">
        <v>58</v>
      </c>
      <c r="H689" s="1">
        <v>47</v>
      </c>
      <c r="I689">
        <f t="shared" si="50"/>
        <v>158</v>
      </c>
      <c r="J689">
        <f t="shared" si="51"/>
        <v>0</v>
      </c>
      <c r="K689">
        <f t="shared" si="52"/>
        <v>499</v>
      </c>
      <c r="L689">
        <f t="shared" si="53"/>
        <v>499</v>
      </c>
      <c r="M689">
        <f t="shared" si="54"/>
        <v>249001</v>
      </c>
    </row>
    <row r="690" spans="1:13" ht="13.2" x14ac:dyDescent="0.25">
      <c r="A690" s="1" t="s">
        <v>19</v>
      </c>
      <c r="B690" s="1" t="s">
        <v>13</v>
      </c>
      <c r="C690" s="1" t="s">
        <v>10</v>
      </c>
      <c r="D690" s="1" t="s">
        <v>11</v>
      </c>
      <c r="E690" s="1" t="s">
        <v>12</v>
      </c>
      <c r="F690" s="1">
        <v>46</v>
      </c>
      <c r="G690" s="1">
        <v>39</v>
      </c>
      <c r="H690" s="1">
        <v>41</v>
      </c>
      <c r="I690">
        <f t="shared" si="50"/>
        <v>126</v>
      </c>
      <c r="J690">
        <f t="shared" si="51"/>
        <v>0</v>
      </c>
      <c r="K690">
        <f t="shared" si="52"/>
        <v>575.5</v>
      </c>
      <c r="L690">
        <f t="shared" si="53"/>
        <v>575.5</v>
      </c>
      <c r="M690">
        <f t="shared" si="54"/>
        <v>331200.25</v>
      </c>
    </row>
    <row r="691" spans="1:13" ht="13.2" x14ac:dyDescent="0.25">
      <c r="A691" s="1" t="s">
        <v>8</v>
      </c>
      <c r="B691" s="1" t="s">
        <v>13</v>
      </c>
      <c r="C691" s="1" t="s">
        <v>10</v>
      </c>
      <c r="D691" s="1" t="s">
        <v>23</v>
      </c>
      <c r="E691" s="1" t="s">
        <v>12</v>
      </c>
      <c r="F691" s="1">
        <v>54</v>
      </c>
      <c r="G691" s="1">
        <v>54</v>
      </c>
      <c r="H691" s="1">
        <v>51</v>
      </c>
      <c r="I691">
        <f t="shared" si="50"/>
        <v>159</v>
      </c>
      <c r="J691">
        <f t="shared" si="51"/>
        <v>0</v>
      </c>
      <c r="K691">
        <f t="shared" si="52"/>
        <v>495.5</v>
      </c>
      <c r="L691">
        <f t="shared" si="53"/>
        <v>495.5</v>
      </c>
      <c r="M691">
        <f t="shared" si="54"/>
        <v>245520.25</v>
      </c>
    </row>
    <row r="692" spans="1:13" ht="13.2" x14ac:dyDescent="0.25">
      <c r="A692" s="1" t="s">
        <v>8</v>
      </c>
      <c r="B692" s="1" t="s">
        <v>18</v>
      </c>
      <c r="C692" s="1" t="s">
        <v>22</v>
      </c>
      <c r="D692" s="1" t="s">
        <v>11</v>
      </c>
      <c r="E692" s="1" t="s">
        <v>12</v>
      </c>
      <c r="F692" s="1">
        <v>72</v>
      </c>
      <c r="G692" s="1">
        <v>84</v>
      </c>
      <c r="H692" s="1">
        <v>79</v>
      </c>
      <c r="I692">
        <f t="shared" si="50"/>
        <v>235</v>
      </c>
      <c r="J692">
        <f t="shared" si="51"/>
        <v>0</v>
      </c>
      <c r="K692">
        <f t="shared" si="52"/>
        <v>154</v>
      </c>
      <c r="L692">
        <f t="shared" si="53"/>
        <v>154</v>
      </c>
      <c r="M692">
        <f t="shared" si="54"/>
        <v>23716</v>
      </c>
    </row>
    <row r="693" spans="1:13" ht="13.2" x14ac:dyDescent="0.25">
      <c r="A693" s="1" t="s">
        <v>19</v>
      </c>
      <c r="B693" s="1" t="s">
        <v>18</v>
      </c>
      <c r="C693" s="1" t="s">
        <v>10</v>
      </c>
      <c r="D693" s="1" t="s">
        <v>23</v>
      </c>
      <c r="E693" s="1" t="s">
        <v>12</v>
      </c>
      <c r="F693" s="1">
        <v>63</v>
      </c>
      <c r="G693" s="1">
        <v>63</v>
      </c>
      <c r="H693" s="1">
        <v>62</v>
      </c>
      <c r="I693">
        <f t="shared" si="50"/>
        <v>188</v>
      </c>
      <c r="J693">
        <f t="shared" si="51"/>
        <v>0</v>
      </c>
      <c r="K693">
        <f t="shared" si="52"/>
        <v>373</v>
      </c>
      <c r="L693">
        <f t="shared" si="53"/>
        <v>373</v>
      </c>
      <c r="M693">
        <f t="shared" si="54"/>
        <v>139129</v>
      </c>
    </row>
    <row r="694" spans="1:13" ht="13.2" x14ac:dyDescent="0.25">
      <c r="A694" s="1" t="s">
        <v>19</v>
      </c>
      <c r="B694" s="1" t="s">
        <v>21</v>
      </c>
      <c r="C694" s="1" t="s">
        <v>14</v>
      </c>
      <c r="D694" s="1" t="s">
        <v>11</v>
      </c>
      <c r="E694" s="1" t="s">
        <v>17</v>
      </c>
      <c r="F694" s="1">
        <v>90</v>
      </c>
      <c r="G694" s="1">
        <v>91</v>
      </c>
      <c r="H694" s="1">
        <v>94</v>
      </c>
      <c r="I694">
        <f t="shared" si="50"/>
        <v>275</v>
      </c>
      <c r="J694">
        <f t="shared" si="51"/>
        <v>1</v>
      </c>
      <c r="K694">
        <f t="shared" si="52"/>
        <v>34</v>
      </c>
      <c r="L694">
        <f t="shared" si="53"/>
        <v>33</v>
      </c>
      <c r="M694">
        <f t="shared" si="54"/>
        <v>1089</v>
      </c>
    </row>
    <row r="695" spans="1:13" ht="13.2" x14ac:dyDescent="0.25">
      <c r="A695" s="1" t="s">
        <v>19</v>
      </c>
      <c r="B695" s="1" t="s">
        <v>18</v>
      </c>
      <c r="C695" s="1" t="s">
        <v>16</v>
      </c>
      <c r="D695" s="1" t="s">
        <v>23</v>
      </c>
      <c r="E695" s="1" t="s">
        <v>17</v>
      </c>
      <c r="F695" s="1">
        <v>83</v>
      </c>
      <c r="G695" s="1">
        <v>77</v>
      </c>
      <c r="H695" s="1">
        <v>81</v>
      </c>
      <c r="I695">
        <f t="shared" si="50"/>
        <v>241</v>
      </c>
      <c r="J695">
        <f t="shared" si="51"/>
        <v>1</v>
      </c>
      <c r="K695">
        <f t="shared" si="52"/>
        <v>125</v>
      </c>
      <c r="L695">
        <f t="shared" si="53"/>
        <v>124</v>
      </c>
      <c r="M695">
        <f t="shared" si="54"/>
        <v>15376</v>
      </c>
    </row>
    <row r="696" spans="1:13" ht="13.2" x14ac:dyDescent="0.25">
      <c r="A696" s="1" t="s">
        <v>8</v>
      </c>
      <c r="B696" s="1" t="s">
        <v>13</v>
      </c>
      <c r="C696" s="1" t="s">
        <v>20</v>
      </c>
      <c r="D696" s="1" t="s">
        <v>11</v>
      </c>
      <c r="E696" s="1" t="s">
        <v>17</v>
      </c>
      <c r="F696" s="1">
        <v>85</v>
      </c>
      <c r="G696" s="1">
        <v>100</v>
      </c>
      <c r="H696" s="1">
        <v>100</v>
      </c>
      <c r="I696">
        <f t="shared" si="50"/>
        <v>285</v>
      </c>
      <c r="J696">
        <f t="shared" si="51"/>
        <v>1</v>
      </c>
      <c r="K696">
        <f t="shared" si="52"/>
        <v>21</v>
      </c>
      <c r="L696">
        <f t="shared" si="53"/>
        <v>20</v>
      </c>
      <c r="M696">
        <f t="shared" si="54"/>
        <v>400</v>
      </c>
    </row>
    <row r="697" spans="1:13" ht="13.2" x14ac:dyDescent="0.25">
      <c r="A697" s="1" t="s">
        <v>19</v>
      </c>
      <c r="B697" s="1" t="s">
        <v>21</v>
      </c>
      <c r="C697" s="1" t="s">
        <v>16</v>
      </c>
      <c r="D697" s="1" t="s">
        <v>23</v>
      </c>
      <c r="E697" s="1" t="s">
        <v>17</v>
      </c>
      <c r="F697" s="1">
        <v>41</v>
      </c>
      <c r="G697" s="1">
        <v>40</v>
      </c>
      <c r="H697" s="1">
        <v>46</v>
      </c>
      <c r="I697">
        <f t="shared" si="50"/>
        <v>127</v>
      </c>
      <c r="J697">
        <f t="shared" si="51"/>
        <v>1</v>
      </c>
      <c r="K697" t="e">
        <f t="shared" si="52"/>
        <v>#N/A</v>
      </c>
      <c r="L697" t="e">
        <f t="shared" si="53"/>
        <v>#N/A</v>
      </c>
      <c r="M697" t="e">
        <f t="shared" si="54"/>
        <v>#N/A</v>
      </c>
    </row>
    <row r="698" spans="1:13" ht="13.2" x14ac:dyDescent="0.25">
      <c r="A698" s="1" t="s">
        <v>8</v>
      </c>
      <c r="B698" s="1" t="s">
        <v>21</v>
      </c>
      <c r="C698" s="1" t="s">
        <v>22</v>
      </c>
      <c r="D698" s="1" t="s">
        <v>11</v>
      </c>
      <c r="E698" s="1" t="s">
        <v>12</v>
      </c>
      <c r="F698" s="1">
        <v>92</v>
      </c>
      <c r="G698" s="1">
        <v>91</v>
      </c>
      <c r="H698" s="1">
        <v>91</v>
      </c>
      <c r="I698">
        <f t="shared" si="50"/>
        <v>274</v>
      </c>
      <c r="J698">
        <f t="shared" si="51"/>
        <v>0</v>
      </c>
      <c r="K698">
        <f t="shared" si="52"/>
        <v>35</v>
      </c>
      <c r="L698">
        <f t="shared" si="53"/>
        <v>35</v>
      </c>
      <c r="M698">
        <f t="shared" si="54"/>
        <v>1225</v>
      </c>
    </row>
    <row r="699" spans="1:13" ht="13.2" x14ac:dyDescent="0.25">
      <c r="A699" s="1" t="s">
        <v>8</v>
      </c>
      <c r="B699" s="1" t="s">
        <v>9</v>
      </c>
      <c r="C699" s="1" t="s">
        <v>16</v>
      </c>
      <c r="D699" s="1" t="s">
        <v>11</v>
      </c>
      <c r="E699" s="1" t="s">
        <v>17</v>
      </c>
      <c r="F699" s="1">
        <v>66</v>
      </c>
      <c r="G699" s="1">
        <v>88</v>
      </c>
      <c r="H699" s="1">
        <v>80</v>
      </c>
      <c r="I699">
        <f t="shared" si="50"/>
        <v>234</v>
      </c>
      <c r="J699">
        <f t="shared" si="51"/>
        <v>1</v>
      </c>
      <c r="K699">
        <f t="shared" si="52"/>
        <v>159</v>
      </c>
      <c r="L699">
        <f t="shared" si="53"/>
        <v>158</v>
      </c>
      <c r="M699">
        <f t="shared" si="54"/>
        <v>24964</v>
      </c>
    </row>
    <row r="700" spans="1:13" ht="13.2" x14ac:dyDescent="0.25">
      <c r="A700" s="1" t="s">
        <v>19</v>
      </c>
      <c r="B700" s="1" t="s">
        <v>13</v>
      </c>
      <c r="C700" s="1" t="s">
        <v>22</v>
      </c>
      <c r="D700" s="1" t="s">
        <v>23</v>
      </c>
      <c r="E700" s="1" t="s">
        <v>17</v>
      </c>
      <c r="F700" s="1">
        <v>69</v>
      </c>
      <c r="G700" s="1">
        <v>76</v>
      </c>
      <c r="H700" s="1">
        <v>77</v>
      </c>
      <c r="I700">
        <f t="shared" si="50"/>
        <v>222</v>
      </c>
      <c r="J700">
        <f t="shared" si="51"/>
        <v>1</v>
      </c>
      <c r="K700">
        <f t="shared" si="52"/>
        <v>206</v>
      </c>
      <c r="L700">
        <f t="shared" si="53"/>
        <v>205</v>
      </c>
      <c r="M700">
        <f t="shared" si="54"/>
        <v>42025</v>
      </c>
    </row>
    <row r="701" spans="1:13" ht="13.2" x14ac:dyDescent="0.25">
      <c r="A701" s="1" t="s">
        <v>8</v>
      </c>
      <c r="B701" s="1" t="s">
        <v>9</v>
      </c>
      <c r="C701" s="1" t="s">
        <v>20</v>
      </c>
      <c r="D701" s="1" t="s">
        <v>23</v>
      </c>
      <c r="E701" s="1" t="s">
        <v>12</v>
      </c>
      <c r="F701" s="1">
        <v>41</v>
      </c>
      <c r="G701" s="1">
        <v>61</v>
      </c>
      <c r="H701" s="1">
        <v>57</v>
      </c>
      <c r="I701">
        <f t="shared" si="50"/>
        <v>159</v>
      </c>
      <c r="J701">
        <f t="shared" si="51"/>
        <v>0</v>
      </c>
      <c r="K701">
        <f t="shared" si="52"/>
        <v>495.5</v>
      </c>
      <c r="L701">
        <f t="shared" si="53"/>
        <v>495.5</v>
      </c>
      <c r="M701">
        <f t="shared" si="54"/>
        <v>245520.25</v>
      </c>
    </row>
    <row r="702" spans="1:13" ht="13.2" x14ac:dyDescent="0.25">
      <c r="A702" s="1" t="s">
        <v>19</v>
      </c>
      <c r="B702" s="1" t="s">
        <v>15</v>
      </c>
      <c r="C702" s="1" t="s">
        <v>20</v>
      </c>
      <c r="D702" s="1" t="s">
        <v>11</v>
      </c>
      <c r="E702" s="1" t="s">
        <v>17</v>
      </c>
      <c r="F702" s="1">
        <v>61</v>
      </c>
      <c r="G702" s="1">
        <v>65</v>
      </c>
      <c r="H702" s="1">
        <v>60</v>
      </c>
      <c r="I702">
        <f t="shared" si="50"/>
        <v>186</v>
      </c>
      <c r="J702">
        <f t="shared" si="51"/>
        <v>1</v>
      </c>
      <c r="K702">
        <f t="shared" si="52"/>
        <v>385.5</v>
      </c>
      <c r="L702">
        <f t="shared" si="53"/>
        <v>384.5</v>
      </c>
      <c r="M702">
        <f t="shared" si="54"/>
        <v>147840.25</v>
      </c>
    </row>
    <row r="703" spans="1:13" ht="13.2" x14ac:dyDescent="0.25">
      <c r="A703" s="1" t="s">
        <v>8</v>
      </c>
      <c r="B703" s="1" t="s">
        <v>21</v>
      </c>
      <c r="C703" s="1" t="s">
        <v>10</v>
      </c>
      <c r="D703" s="1" t="s">
        <v>23</v>
      </c>
      <c r="E703" s="1" t="s">
        <v>12</v>
      </c>
      <c r="F703" s="1">
        <v>38</v>
      </c>
      <c r="G703" s="1">
        <v>51</v>
      </c>
      <c r="H703" s="1">
        <v>47</v>
      </c>
      <c r="I703">
        <f t="shared" si="50"/>
        <v>136</v>
      </c>
      <c r="J703">
        <f t="shared" si="51"/>
        <v>0</v>
      </c>
      <c r="K703">
        <f t="shared" si="52"/>
        <v>561</v>
      </c>
      <c r="L703">
        <f t="shared" si="53"/>
        <v>561</v>
      </c>
      <c r="M703">
        <f t="shared" si="54"/>
        <v>314721</v>
      </c>
    </row>
    <row r="704" spans="1:13" ht="13.2" x14ac:dyDescent="0.25">
      <c r="A704" s="1" t="s">
        <v>8</v>
      </c>
      <c r="B704" s="1" t="s">
        <v>13</v>
      </c>
      <c r="C704" s="1" t="s">
        <v>22</v>
      </c>
      <c r="D704" s="1" t="s">
        <v>11</v>
      </c>
      <c r="E704" s="1" t="s">
        <v>17</v>
      </c>
      <c r="F704" s="1">
        <v>72</v>
      </c>
      <c r="G704" s="1">
        <v>75</v>
      </c>
      <c r="H704" s="1">
        <v>81</v>
      </c>
      <c r="I704">
        <f t="shared" si="50"/>
        <v>228</v>
      </c>
      <c r="J704">
        <f t="shared" si="51"/>
        <v>1</v>
      </c>
      <c r="K704">
        <f t="shared" si="52"/>
        <v>176.5</v>
      </c>
      <c r="L704">
        <f t="shared" si="53"/>
        <v>175.5</v>
      </c>
      <c r="M704">
        <f t="shared" si="54"/>
        <v>30800.25</v>
      </c>
    </row>
    <row r="705" spans="1:13" ht="13.2" x14ac:dyDescent="0.25">
      <c r="A705" s="1" t="s">
        <v>19</v>
      </c>
      <c r="B705" s="1" t="s">
        <v>9</v>
      </c>
      <c r="C705" s="1" t="s">
        <v>14</v>
      </c>
      <c r="D705" s="1" t="s">
        <v>23</v>
      </c>
      <c r="E705" s="1" t="s">
        <v>17</v>
      </c>
      <c r="F705" s="1">
        <v>81</v>
      </c>
      <c r="G705" s="1">
        <v>73</v>
      </c>
      <c r="H705" s="1">
        <v>75</v>
      </c>
      <c r="I705">
        <f t="shared" si="50"/>
        <v>229</v>
      </c>
      <c r="J705">
        <f t="shared" si="51"/>
        <v>1</v>
      </c>
      <c r="K705" t="e">
        <f t="shared" si="52"/>
        <v>#N/A</v>
      </c>
      <c r="L705" t="e">
        <f t="shared" si="53"/>
        <v>#N/A</v>
      </c>
      <c r="M705" t="e">
        <f t="shared" si="54"/>
        <v>#N/A</v>
      </c>
    </row>
    <row r="706" spans="1:13" ht="13.2" x14ac:dyDescent="0.25">
      <c r="A706" s="1" t="s">
        <v>19</v>
      </c>
      <c r="B706" s="1" t="s">
        <v>18</v>
      </c>
      <c r="C706" s="1" t="s">
        <v>14</v>
      </c>
      <c r="D706" s="1" t="s">
        <v>23</v>
      </c>
      <c r="E706" s="1" t="s">
        <v>12</v>
      </c>
      <c r="F706" s="1">
        <v>60</v>
      </c>
      <c r="G706" s="1">
        <v>55</v>
      </c>
      <c r="H706" s="1">
        <v>54</v>
      </c>
      <c r="I706">
        <f t="shared" si="50"/>
        <v>169</v>
      </c>
      <c r="J706">
        <f t="shared" si="51"/>
        <v>0</v>
      </c>
      <c r="K706">
        <f t="shared" si="52"/>
        <v>460</v>
      </c>
      <c r="L706">
        <f t="shared" si="53"/>
        <v>460</v>
      </c>
      <c r="M706">
        <f t="shared" si="54"/>
        <v>211600</v>
      </c>
    </row>
    <row r="707" spans="1:13" ht="13.2" x14ac:dyDescent="0.25">
      <c r="A707" s="1" t="s">
        <v>19</v>
      </c>
      <c r="B707" s="1" t="s">
        <v>21</v>
      </c>
      <c r="C707" s="1" t="s">
        <v>24</v>
      </c>
      <c r="D707" s="1" t="s">
        <v>11</v>
      </c>
      <c r="E707" s="1" t="s">
        <v>17</v>
      </c>
      <c r="F707" s="1">
        <v>89</v>
      </c>
      <c r="G707" s="1">
        <v>83</v>
      </c>
      <c r="H707" s="1">
        <v>79</v>
      </c>
      <c r="I707">
        <f t="shared" ref="I707:I770" si="55">SUM(F707:H707)</f>
        <v>251</v>
      </c>
      <c r="J707">
        <f t="shared" ref="J707:J770" si="56">IF(E707="completed", 1, IF(E707="none", 0, ""))</f>
        <v>1</v>
      </c>
      <c r="K707">
        <f t="shared" ref="K707:K770" si="57">_xlfn.RANK.AVG(I707, I$2:I$601, 0)</f>
        <v>92</v>
      </c>
      <c r="L707">
        <f t="shared" ref="L707:L770" si="58">K707-J707</f>
        <v>91</v>
      </c>
      <c r="M707">
        <f t="shared" ref="M707:M770" si="59">L707^2</f>
        <v>8281</v>
      </c>
    </row>
    <row r="708" spans="1:13" ht="13.2" x14ac:dyDescent="0.25">
      <c r="A708" s="1" t="s">
        <v>8</v>
      </c>
      <c r="B708" s="1" t="s">
        <v>13</v>
      </c>
      <c r="C708" s="1" t="s">
        <v>14</v>
      </c>
      <c r="D708" s="1" t="s">
        <v>11</v>
      </c>
      <c r="E708" s="1" t="s">
        <v>12</v>
      </c>
      <c r="F708" s="1">
        <v>74</v>
      </c>
      <c r="G708" s="1">
        <v>77</v>
      </c>
      <c r="H708" s="1">
        <v>75</v>
      </c>
      <c r="I708">
        <f t="shared" si="55"/>
        <v>226</v>
      </c>
      <c r="J708">
        <f t="shared" si="56"/>
        <v>0</v>
      </c>
      <c r="K708">
        <f t="shared" si="57"/>
        <v>186.5</v>
      </c>
      <c r="L708">
        <f t="shared" si="58"/>
        <v>186.5</v>
      </c>
      <c r="M708">
        <f t="shared" si="59"/>
        <v>34782.25</v>
      </c>
    </row>
    <row r="709" spans="1:13" ht="13.2" x14ac:dyDescent="0.25">
      <c r="A709" s="1" t="s">
        <v>19</v>
      </c>
      <c r="B709" s="1" t="s">
        <v>13</v>
      </c>
      <c r="C709" s="1" t="s">
        <v>10</v>
      </c>
      <c r="D709" s="1" t="s">
        <v>11</v>
      </c>
      <c r="E709" s="1" t="s">
        <v>17</v>
      </c>
      <c r="F709" s="1">
        <v>84</v>
      </c>
      <c r="G709" s="1">
        <v>86</v>
      </c>
      <c r="H709" s="1">
        <v>80</v>
      </c>
      <c r="I709">
        <f t="shared" si="55"/>
        <v>250</v>
      </c>
      <c r="J709">
        <f t="shared" si="56"/>
        <v>1</v>
      </c>
      <c r="K709">
        <f t="shared" si="57"/>
        <v>94.5</v>
      </c>
      <c r="L709">
        <f t="shared" si="58"/>
        <v>93.5</v>
      </c>
      <c r="M709">
        <f t="shared" si="59"/>
        <v>8742.25</v>
      </c>
    </row>
    <row r="710" spans="1:13" ht="13.2" x14ac:dyDescent="0.25">
      <c r="A710" s="1" t="s">
        <v>19</v>
      </c>
      <c r="B710" s="1" t="s">
        <v>9</v>
      </c>
      <c r="C710" s="1" t="s">
        <v>22</v>
      </c>
      <c r="D710" s="1" t="s">
        <v>11</v>
      </c>
      <c r="E710" s="1" t="s">
        <v>12</v>
      </c>
      <c r="F710" s="1">
        <v>61</v>
      </c>
      <c r="G710" s="1">
        <v>55</v>
      </c>
      <c r="H710" s="1">
        <v>49</v>
      </c>
      <c r="I710">
        <f t="shared" si="55"/>
        <v>165</v>
      </c>
      <c r="J710">
        <f t="shared" si="56"/>
        <v>0</v>
      </c>
      <c r="K710">
        <f t="shared" si="57"/>
        <v>476</v>
      </c>
      <c r="L710">
        <f t="shared" si="58"/>
        <v>476</v>
      </c>
      <c r="M710">
        <f t="shared" si="59"/>
        <v>226576</v>
      </c>
    </row>
    <row r="711" spans="1:13" ht="13.2" x14ac:dyDescent="0.25">
      <c r="A711" s="1" t="s">
        <v>8</v>
      </c>
      <c r="B711" s="1" t="s">
        <v>18</v>
      </c>
      <c r="C711" s="1" t="s">
        <v>10</v>
      </c>
      <c r="D711" s="1" t="s">
        <v>11</v>
      </c>
      <c r="E711" s="1" t="s">
        <v>17</v>
      </c>
      <c r="F711" s="1">
        <v>63</v>
      </c>
      <c r="G711" s="1">
        <v>71</v>
      </c>
      <c r="H711" s="1">
        <v>75</v>
      </c>
      <c r="I711">
        <f t="shared" si="55"/>
        <v>209</v>
      </c>
      <c r="J711">
        <f t="shared" si="56"/>
        <v>1</v>
      </c>
      <c r="K711">
        <f t="shared" si="57"/>
        <v>257.5</v>
      </c>
      <c r="L711">
        <f t="shared" si="58"/>
        <v>256.5</v>
      </c>
      <c r="M711">
        <f t="shared" si="59"/>
        <v>65792.25</v>
      </c>
    </row>
    <row r="712" spans="1:13" ht="13.2" x14ac:dyDescent="0.25">
      <c r="A712" s="1" t="s">
        <v>19</v>
      </c>
      <c r="B712" s="1" t="s">
        <v>9</v>
      </c>
      <c r="C712" s="1" t="s">
        <v>10</v>
      </c>
      <c r="D712" s="1" t="s">
        <v>11</v>
      </c>
      <c r="E712" s="1" t="s">
        <v>12</v>
      </c>
      <c r="F712" s="1">
        <v>54</v>
      </c>
      <c r="G712" s="1">
        <v>58</v>
      </c>
      <c r="H712" s="1">
        <v>55</v>
      </c>
      <c r="I712">
        <f t="shared" si="55"/>
        <v>167</v>
      </c>
      <c r="J712">
        <f t="shared" si="56"/>
        <v>0</v>
      </c>
      <c r="K712">
        <f t="shared" si="57"/>
        <v>466</v>
      </c>
      <c r="L712">
        <f t="shared" si="58"/>
        <v>466</v>
      </c>
      <c r="M712">
        <f t="shared" si="59"/>
        <v>217156</v>
      </c>
    </row>
    <row r="713" spans="1:13" ht="13.2" x14ac:dyDescent="0.25">
      <c r="A713" s="1" t="s">
        <v>19</v>
      </c>
      <c r="B713" s="1" t="s">
        <v>13</v>
      </c>
      <c r="C713" s="1" t="s">
        <v>20</v>
      </c>
      <c r="D713" s="1" t="s">
        <v>23</v>
      </c>
      <c r="E713" s="1" t="s">
        <v>12</v>
      </c>
      <c r="F713" s="1">
        <v>78</v>
      </c>
      <c r="G713" s="1">
        <v>78</v>
      </c>
      <c r="H713" s="1">
        <v>79</v>
      </c>
      <c r="I713">
        <f t="shared" si="55"/>
        <v>235</v>
      </c>
      <c r="J713">
        <f t="shared" si="56"/>
        <v>0</v>
      </c>
      <c r="K713">
        <f t="shared" si="57"/>
        <v>154</v>
      </c>
      <c r="L713">
        <f t="shared" si="58"/>
        <v>154</v>
      </c>
      <c r="M713">
        <f t="shared" si="59"/>
        <v>23716</v>
      </c>
    </row>
    <row r="714" spans="1:13" ht="13.2" x14ac:dyDescent="0.25">
      <c r="A714" s="1" t="s">
        <v>19</v>
      </c>
      <c r="B714" s="1" t="s">
        <v>18</v>
      </c>
      <c r="C714" s="1" t="s">
        <v>16</v>
      </c>
      <c r="D714" s="1" t="s">
        <v>23</v>
      </c>
      <c r="E714" s="1" t="s">
        <v>12</v>
      </c>
      <c r="F714" s="1">
        <v>73</v>
      </c>
      <c r="G714" s="1">
        <v>63</v>
      </c>
      <c r="H714" s="1">
        <v>61</v>
      </c>
      <c r="I714">
        <f t="shared" si="55"/>
        <v>197</v>
      </c>
      <c r="J714">
        <f t="shared" si="56"/>
        <v>0</v>
      </c>
      <c r="K714">
        <f t="shared" si="57"/>
        <v>317.5</v>
      </c>
      <c r="L714">
        <f t="shared" si="58"/>
        <v>317.5</v>
      </c>
      <c r="M714">
        <f t="shared" si="59"/>
        <v>100806.25</v>
      </c>
    </row>
    <row r="715" spans="1:13" ht="13.2" x14ac:dyDescent="0.25">
      <c r="A715" s="1" t="s">
        <v>19</v>
      </c>
      <c r="B715" s="1" t="s">
        <v>21</v>
      </c>
      <c r="C715" s="1" t="s">
        <v>16</v>
      </c>
      <c r="D715" s="1" t="s">
        <v>23</v>
      </c>
      <c r="E715" s="1" t="s">
        <v>17</v>
      </c>
      <c r="F715" s="1">
        <v>63</v>
      </c>
      <c r="G715" s="1">
        <v>70</v>
      </c>
      <c r="H715" s="1">
        <v>64</v>
      </c>
      <c r="I715">
        <f t="shared" si="55"/>
        <v>197</v>
      </c>
      <c r="J715">
        <f t="shared" si="56"/>
        <v>1</v>
      </c>
      <c r="K715">
        <f t="shared" si="57"/>
        <v>317.5</v>
      </c>
      <c r="L715">
        <f t="shared" si="58"/>
        <v>316.5</v>
      </c>
      <c r="M715">
        <f t="shared" si="59"/>
        <v>100172.25</v>
      </c>
    </row>
    <row r="716" spans="1:13" ht="13.2" x14ac:dyDescent="0.25">
      <c r="A716" s="1" t="s">
        <v>19</v>
      </c>
      <c r="B716" s="1" t="s">
        <v>13</v>
      </c>
      <c r="C716" s="1" t="s">
        <v>10</v>
      </c>
      <c r="D716" s="1" t="s">
        <v>23</v>
      </c>
      <c r="E716" s="1" t="s">
        <v>12</v>
      </c>
      <c r="F716" s="1">
        <v>59</v>
      </c>
      <c r="G716" s="1">
        <v>50</v>
      </c>
      <c r="H716" s="1">
        <v>48</v>
      </c>
      <c r="I716">
        <f t="shared" si="55"/>
        <v>157</v>
      </c>
      <c r="J716">
        <f t="shared" si="56"/>
        <v>0</v>
      </c>
      <c r="K716">
        <f t="shared" si="57"/>
        <v>502.5</v>
      </c>
      <c r="L716">
        <f t="shared" si="58"/>
        <v>502.5</v>
      </c>
      <c r="M716">
        <f t="shared" si="59"/>
        <v>252506.25</v>
      </c>
    </row>
    <row r="717" spans="1:13" ht="13.2" x14ac:dyDescent="0.25">
      <c r="A717" s="1" t="s">
        <v>19</v>
      </c>
      <c r="B717" s="1" t="s">
        <v>18</v>
      </c>
      <c r="C717" s="1" t="s">
        <v>16</v>
      </c>
      <c r="D717" s="1" t="s">
        <v>11</v>
      </c>
      <c r="E717" s="1" t="s">
        <v>17</v>
      </c>
      <c r="F717" s="1">
        <v>89</v>
      </c>
      <c r="G717" s="1">
        <v>91</v>
      </c>
      <c r="H717" s="1">
        <v>96</v>
      </c>
      <c r="I717">
        <f t="shared" si="55"/>
        <v>276</v>
      </c>
      <c r="J717">
        <f t="shared" si="56"/>
        <v>1</v>
      </c>
      <c r="K717" t="e">
        <f t="shared" si="57"/>
        <v>#N/A</v>
      </c>
      <c r="L717" t="e">
        <f t="shared" si="58"/>
        <v>#N/A</v>
      </c>
      <c r="M717" t="e">
        <f t="shared" si="59"/>
        <v>#N/A</v>
      </c>
    </row>
    <row r="718" spans="1:13" ht="13.2" x14ac:dyDescent="0.25">
      <c r="A718" s="1" t="s">
        <v>19</v>
      </c>
      <c r="B718" s="1" t="s">
        <v>18</v>
      </c>
      <c r="C718" s="1" t="s">
        <v>14</v>
      </c>
      <c r="D718" s="1" t="s">
        <v>11</v>
      </c>
      <c r="E718" s="1" t="s">
        <v>17</v>
      </c>
      <c r="F718" s="1">
        <v>52</v>
      </c>
      <c r="G718" s="1">
        <v>60</v>
      </c>
      <c r="H718" s="1">
        <v>57</v>
      </c>
      <c r="I718">
        <f t="shared" si="55"/>
        <v>169</v>
      </c>
      <c r="J718">
        <f t="shared" si="56"/>
        <v>1</v>
      </c>
      <c r="K718">
        <f t="shared" si="57"/>
        <v>460</v>
      </c>
      <c r="L718">
        <f t="shared" si="58"/>
        <v>459</v>
      </c>
      <c r="M718">
        <f t="shared" si="59"/>
        <v>210681</v>
      </c>
    </row>
    <row r="719" spans="1:13" ht="13.2" x14ac:dyDescent="0.25">
      <c r="A719" s="1" t="s">
        <v>8</v>
      </c>
      <c r="B719" s="1" t="s">
        <v>13</v>
      </c>
      <c r="C719" s="1" t="s">
        <v>22</v>
      </c>
      <c r="D719" s="1" t="s">
        <v>11</v>
      </c>
      <c r="E719" s="1" t="s">
        <v>12</v>
      </c>
      <c r="F719" s="1">
        <v>72</v>
      </c>
      <c r="G719" s="1">
        <v>66</v>
      </c>
      <c r="H719" s="1">
        <v>69</v>
      </c>
      <c r="I719">
        <f t="shared" si="55"/>
        <v>207</v>
      </c>
      <c r="J719">
        <f t="shared" si="56"/>
        <v>0</v>
      </c>
      <c r="K719">
        <f t="shared" si="57"/>
        <v>268</v>
      </c>
      <c r="L719">
        <f t="shared" si="58"/>
        <v>268</v>
      </c>
      <c r="M719">
        <f t="shared" si="59"/>
        <v>71824</v>
      </c>
    </row>
    <row r="720" spans="1:13" ht="13.2" x14ac:dyDescent="0.25">
      <c r="A720" s="1" t="s">
        <v>19</v>
      </c>
      <c r="B720" s="1" t="s">
        <v>9</v>
      </c>
      <c r="C720" s="1" t="s">
        <v>22</v>
      </c>
      <c r="D720" s="1" t="s">
        <v>11</v>
      </c>
      <c r="E720" s="1" t="s">
        <v>17</v>
      </c>
      <c r="F720" s="1">
        <v>60</v>
      </c>
      <c r="G720" s="1">
        <v>52</v>
      </c>
      <c r="H720" s="1">
        <v>58</v>
      </c>
      <c r="I720">
        <f t="shared" si="55"/>
        <v>170</v>
      </c>
      <c r="J720">
        <f t="shared" si="56"/>
        <v>1</v>
      </c>
      <c r="K720">
        <f t="shared" si="57"/>
        <v>455.5</v>
      </c>
      <c r="L720">
        <f t="shared" si="58"/>
        <v>454.5</v>
      </c>
      <c r="M720">
        <f t="shared" si="59"/>
        <v>206570.25</v>
      </c>
    </row>
    <row r="721" spans="1:13" ht="13.2" x14ac:dyDescent="0.25">
      <c r="A721" s="1" t="s">
        <v>8</v>
      </c>
      <c r="B721" s="1" t="s">
        <v>18</v>
      </c>
      <c r="C721" s="1" t="s">
        <v>22</v>
      </c>
      <c r="D721" s="1" t="s">
        <v>11</v>
      </c>
      <c r="E721" s="1" t="s">
        <v>12</v>
      </c>
      <c r="F721" s="1">
        <v>72</v>
      </c>
      <c r="G721" s="1">
        <v>84</v>
      </c>
      <c r="H721" s="1">
        <v>71</v>
      </c>
      <c r="I721">
        <f t="shared" si="55"/>
        <v>227</v>
      </c>
      <c r="J721">
        <f t="shared" si="56"/>
        <v>0</v>
      </c>
      <c r="K721">
        <f t="shared" si="57"/>
        <v>180</v>
      </c>
      <c r="L721">
        <f t="shared" si="58"/>
        <v>180</v>
      </c>
      <c r="M721">
        <f t="shared" si="59"/>
        <v>32400</v>
      </c>
    </row>
    <row r="722" spans="1:13" ht="13.2" x14ac:dyDescent="0.25">
      <c r="A722" s="1" t="s">
        <v>19</v>
      </c>
      <c r="B722" s="1" t="s">
        <v>13</v>
      </c>
      <c r="C722" s="1" t="s">
        <v>10</v>
      </c>
      <c r="D722" s="1" t="s">
        <v>23</v>
      </c>
      <c r="E722" s="1" t="s">
        <v>12</v>
      </c>
      <c r="F722" s="1">
        <v>72</v>
      </c>
      <c r="G722" s="1">
        <v>71</v>
      </c>
      <c r="H722" s="1">
        <v>67</v>
      </c>
      <c r="I722">
        <f t="shared" si="55"/>
        <v>210</v>
      </c>
      <c r="J722">
        <f t="shared" si="56"/>
        <v>0</v>
      </c>
      <c r="K722">
        <f t="shared" si="57"/>
        <v>251</v>
      </c>
      <c r="L722">
        <f t="shared" si="58"/>
        <v>251</v>
      </c>
      <c r="M722">
        <f t="shared" si="59"/>
        <v>63001</v>
      </c>
    </row>
    <row r="723" spans="1:13" ht="13.2" x14ac:dyDescent="0.25">
      <c r="A723" s="1" t="s">
        <v>19</v>
      </c>
      <c r="B723" s="1" t="s">
        <v>18</v>
      </c>
      <c r="C723" s="1" t="s">
        <v>10</v>
      </c>
      <c r="D723" s="1" t="s">
        <v>23</v>
      </c>
      <c r="E723" s="1" t="s">
        <v>12</v>
      </c>
      <c r="F723" s="1">
        <v>66</v>
      </c>
      <c r="G723" s="1">
        <v>64</v>
      </c>
      <c r="H723" s="1">
        <v>58</v>
      </c>
      <c r="I723">
        <f t="shared" si="55"/>
        <v>188</v>
      </c>
      <c r="J723">
        <f t="shared" si="56"/>
        <v>0</v>
      </c>
      <c r="K723">
        <f t="shared" si="57"/>
        <v>373</v>
      </c>
      <c r="L723">
        <f t="shared" si="58"/>
        <v>373</v>
      </c>
      <c r="M723">
        <f t="shared" si="59"/>
        <v>139129</v>
      </c>
    </row>
    <row r="724" spans="1:13" ht="13.2" x14ac:dyDescent="0.25">
      <c r="A724" s="1" t="s">
        <v>8</v>
      </c>
      <c r="B724" s="1" t="s">
        <v>9</v>
      </c>
      <c r="C724" s="1" t="s">
        <v>22</v>
      </c>
      <c r="D724" s="1" t="s">
        <v>11</v>
      </c>
      <c r="E724" s="1" t="s">
        <v>12</v>
      </c>
      <c r="F724" s="1">
        <v>43</v>
      </c>
      <c r="G724" s="1">
        <v>47</v>
      </c>
      <c r="H724" s="1">
        <v>44</v>
      </c>
      <c r="I724">
        <f t="shared" si="55"/>
        <v>134</v>
      </c>
      <c r="J724">
        <f t="shared" si="56"/>
        <v>0</v>
      </c>
      <c r="K724">
        <f t="shared" si="57"/>
        <v>567</v>
      </c>
      <c r="L724">
        <f t="shared" si="58"/>
        <v>567</v>
      </c>
      <c r="M724">
        <f t="shared" si="59"/>
        <v>321489</v>
      </c>
    </row>
    <row r="725" spans="1:13" ht="13.2" x14ac:dyDescent="0.25">
      <c r="A725" s="1" t="s">
        <v>19</v>
      </c>
      <c r="B725" s="1" t="s">
        <v>13</v>
      </c>
      <c r="C725" s="1" t="s">
        <v>22</v>
      </c>
      <c r="D725" s="1" t="s">
        <v>11</v>
      </c>
      <c r="E725" s="1" t="s">
        <v>17</v>
      </c>
      <c r="F725" s="1">
        <v>56</v>
      </c>
      <c r="G725" s="1">
        <v>50</v>
      </c>
      <c r="H725" s="1">
        <v>57</v>
      </c>
      <c r="I725">
        <f t="shared" si="55"/>
        <v>163</v>
      </c>
      <c r="J725">
        <f t="shared" si="56"/>
        <v>1</v>
      </c>
      <c r="K725">
        <f t="shared" si="57"/>
        <v>481</v>
      </c>
      <c r="L725">
        <f t="shared" si="58"/>
        <v>480</v>
      </c>
      <c r="M725">
        <f t="shared" si="59"/>
        <v>230400</v>
      </c>
    </row>
    <row r="726" spans="1:13" ht="13.2" x14ac:dyDescent="0.25">
      <c r="A726" s="1" t="s">
        <v>19</v>
      </c>
      <c r="B726" s="1" t="s">
        <v>18</v>
      </c>
      <c r="C726" s="1" t="s">
        <v>16</v>
      </c>
      <c r="D726" s="1" t="s">
        <v>11</v>
      </c>
      <c r="E726" s="1" t="s">
        <v>12</v>
      </c>
      <c r="F726" s="1">
        <v>94</v>
      </c>
      <c r="G726" s="1">
        <v>94</v>
      </c>
      <c r="H726" s="1">
        <v>87</v>
      </c>
      <c r="I726">
        <f t="shared" si="55"/>
        <v>275</v>
      </c>
      <c r="J726">
        <f t="shared" si="56"/>
        <v>0</v>
      </c>
      <c r="K726">
        <f t="shared" si="57"/>
        <v>34</v>
      </c>
      <c r="L726">
        <f t="shared" si="58"/>
        <v>34</v>
      </c>
      <c r="M726">
        <f t="shared" si="59"/>
        <v>1156</v>
      </c>
    </row>
    <row r="727" spans="1:13" ht="13.2" x14ac:dyDescent="0.25">
      <c r="A727" s="1" t="s">
        <v>8</v>
      </c>
      <c r="B727" s="1" t="s">
        <v>9</v>
      </c>
      <c r="C727" s="1" t="s">
        <v>14</v>
      </c>
      <c r="D727" s="1" t="s">
        <v>23</v>
      </c>
      <c r="E727" s="1" t="s">
        <v>17</v>
      </c>
      <c r="F727" s="1">
        <v>70</v>
      </c>
      <c r="G727" s="1">
        <v>85</v>
      </c>
      <c r="H727" s="1">
        <v>87</v>
      </c>
      <c r="I727">
        <f t="shared" si="55"/>
        <v>242</v>
      </c>
      <c r="J727">
        <f t="shared" si="56"/>
        <v>1</v>
      </c>
      <c r="K727">
        <f t="shared" si="57"/>
        <v>122.5</v>
      </c>
      <c r="L727">
        <f t="shared" si="58"/>
        <v>121.5</v>
      </c>
      <c r="M727">
        <f t="shared" si="59"/>
        <v>14762.25</v>
      </c>
    </row>
    <row r="728" spans="1:13" ht="13.2" x14ac:dyDescent="0.25">
      <c r="A728" s="1" t="s">
        <v>19</v>
      </c>
      <c r="B728" s="1" t="s">
        <v>9</v>
      </c>
      <c r="C728" s="1" t="s">
        <v>22</v>
      </c>
      <c r="D728" s="1" t="s">
        <v>11</v>
      </c>
      <c r="E728" s="1" t="s">
        <v>12</v>
      </c>
      <c r="F728" s="1">
        <v>71</v>
      </c>
      <c r="G728" s="1">
        <v>65</v>
      </c>
      <c r="H728" s="1">
        <v>60</v>
      </c>
      <c r="I728">
        <f t="shared" si="55"/>
        <v>196</v>
      </c>
      <c r="J728">
        <f t="shared" si="56"/>
        <v>0</v>
      </c>
      <c r="K728">
        <f t="shared" si="57"/>
        <v>323.5</v>
      </c>
      <c r="L728">
        <f t="shared" si="58"/>
        <v>323.5</v>
      </c>
      <c r="M728">
        <f t="shared" si="59"/>
        <v>104652.25</v>
      </c>
    </row>
    <row r="729" spans="1:13" ht="13.2" x14ac:dyDescent="0.25">
      <c r="A729" s="1" t="s">
        <v>8</v>
      </c>
      <c r="B729" s="1" t="s">
        <v>18</v>
      </c>
      <c r="C729" s="1" t="s">
        <v>16</v>
      </c>
      <c r="D729" s="1" t="s">
        <v>11</v>
      </c>
      <c r="E729" s="1" t="s">
        <v>12</v>
      </c>
      <c r="F729" s="1">
        <v>36</v>
      </c>
      <c r="G729" s="1">
        <v>48</v>
      </c>
      <c r="H729" s="1">
        <v>48</v>
      </c>
      <c r="I729">
        <f t="shared" si="55"/>
        <v>132</v>
      </c>
      <c r="J729">
        <f t="shared" si="56"/>
        <v>0</v>
      </c>
      <c r="K729">
        <f t="shared" si="57"/>
        <v>571.5</v>
      </c>
      <c r="L729">
        <f t="shared" si="58"/>
        <v>571.5</v>
      </c>
      <c r="M729">
        <f t="shared" si="59"/>
        <v>326612.25</v>
      </c>
    </row>
    <row r="730" spans="1:13" ht="13.2" x14ac:dyDescent="0.25">
      <c r="A730" s="1" t="s">
        <v>19</v>
      </c>
      <c r="B730" s="1" t="s">
        <v>18</v>
      </c>
      <c r="C730" s="1" t="s">
        <v>14</v>
      </c>
      <c r="D730" s="1" t="s">
        <v>11</v>
      </c>
      <c r="E730" s="1" t="s">
        <v>12</v>
      </c>
      <c r="F730" s="1">
        <v>65</v>
      </c>
      <c r="G730" s="1">
        <v>58</v>
      </c>
      <c r="H730" s="1">
        <v>52</v>
      </c>
      <c r="I730">
        <f t="shared" si="55"/>
        <v>175</v>
      </c>
      <c r="J730">
        <f t="shared" si="56"/>
        <v>0</v>
      </c>
      <c r="K730">
        <f t="shared" si="57"/>
        <v>426.5</v>
      </c>
      <c r="L730">
        <f t="shared" si="58"/>
        <v>426.5</v>
      </c>
      <c r="M730">
        <f t="shared" si="59"/>
        <v>181902.25</v>
      </c>
    </row>
    <row r="731" spans="1:13" ht="13.2" x14ac:dyDescent="0.25">
      <c r="A731" s="1" t="s">
        <v>19</v>
      </c>
      <c r="B731" s="1" t="s">
        <v>18</v>
      </c>
      <c r="C731" s="1" t="s">
        <v>24</v>
      </c>
      <c r="D731" s="1" t="s">
        <v>11</v>
      </c>
      <c r="E731" s="1" t="s">
        <v>12</v>
      </c>
      <c r="F731" s="1">
        <v>100</v>
      </c>
      <c r="G731" s="1">
        <v>89</v>
      </c>
      <c r="H731" s="1">
        <v>94</v>
      </c>
      <c r="I731">
        <f t="shared" si="55"/>
        <v>283</v>
      </c>
      <c r="J731">
        <f t="shared" si="56"/>
        <v>0</v>
      </c>
      <c r="K731">
        <f t="shared" si="57"/>
        <v>23.5</v>
      </c>
      <c r="L731">
        <f t="shared" si="58"/>
        <v>23.5</v>
      </c>
      <c r="M731">
        <f t="shared" si="59"/>
        <v>552.25</v>
      </c>
    </row>
    <row r="732" spans="1:13" ht="13.2" x14ac:dyDescent="0.25">
      <c r="A732" s="1" t="s">
        <v>8</v>
      </c>
      <c r="B732" s="1" t="s">
        <v>21</v>
      </c>
      <c r="C732" s="1" t="s">
        <v>24</v>
      </c>
      <c r="D732" s="1" t="s">
        <v>23</v>
      </c>
      <c r="E732" s="1" t="s">
        <v>17</v>
      </c>
      <c r="F732" s="1">
        <v>75</v>
      </c>
      <c r="G732" s="1">
        <v>77</v>
      </c>
      <c r="H732" s="1">
        <v>84</v>
      </c>
      <c r="I732">
        <f t="shared" si="55"/>
        <v>236</v>
      </c>
      <c r="J732">
        <f t="shared" si="56"/>
        <v>1</v>
      </c>
      <c r="K732">
        <f t="shared" si="57"/>
        <v>148.5</v>
      </c>
      <c r="L732">
        <f t="shared" si="58"/>
        <v>147.5</v>
      </c>
      <c r="M732">
        <f t="shared" si="59"/>
        <v>21756.25</v>
      </c>
    </row>
    <row r="733" spans="1:13" ht="13.2" x14ac:dyDescent="0.25">
      <c r="A733" s="1" t="s">
        <v>19</v>
      </c>
      <c r="B733" s="1" t="s">
        <v>9</v>
      </c>
      <c r="C733" s="1" t="s">
        <v>22</v>
      </c>
      <c r="D733" s="1" t="s">
        <v>11</v>
      </c>
      <c r="E733" s="1" t="s">
        <v>17</v>
      </c>
      <c r="F733" s="1">
        <v>91</v>
      </c>
      <c r="G733" s="1">
        <v>85</v>
      </c>
      <c r="H733" s="1">
        <v>83</v>
      </c>
      <c r="I733">
        <f t="shared" si="55"/>
        <v>259</v>
      </c>
      <c r="J733">
        <f t="shared" si="56"/>
        <v>1</v>
      </c>
      <c r="K733">
        <f t="shared" si="57"/>
        <v>66</v>
      </c>
      <c r="L733">
        <f t="shared" si="58"/>
        <v>65</v>
      </c>
      <c r="M733">
        <f t="shared" si="59"/>
        <v>4225</v>
      </c>
    </row>
    <row r="734" spans="1:13" ht="13.2" x14ac:dyDescent="0.25">
      <c r="A734" s="1" t="s">
        <v>19</v>
      </c>
      <c r="B734" s="1" t="s">
        <v>9</v>
      </c>
      <c r="C734" s="1" t="s">
        <v>10</v>
      </c>
      <c r="D734" s="1" t="s">
        <v>11</v>
      </c>
      <c r="E734" s="1" t="s">
        <v>12</v>
      </c>
      <c r="F734" s="1">
        <v>56</v>
      </c>
      <c r="G734" s="1">
        <v>50</v>
      </c>
      <c r="H734" s="1">
        <v>45</v>
      </c>
      <c r="I734">
        <f t="shared" si="55"/>
        <v>151</v>
      </c>
      <c r="J734">
        <f t="shared" si="56"/>
        <v>0</v>
      </c>
      <c r="K734">
        <f t="shared" si="57"/>
        <v>524.5</v>
      </c>
      <c r="L734">
        <f t="shared" si="58"/>
        <v>524.5</v>
      </c>
      <c r="M734">
        <f t="shared" si="59"/>
        <v>275100.25</v>
      </c>
    </row>
    <row r="735" spans="1:13" ht="13.2" x14ac:dyDescent="0.25">
      <c r="A735" s="1" t="s">
        <v>19</v>
      </c>
      <c r="B735" s="1" t="s">
        <v>18</v>
      </c>
      <c r="C735" s="1" t="s">
        <v>14</v>
      </c>
      <c r="D735" s="1" t="s">
        <v>11</v>
      </c>
      <c r="E735" s="1" t="s">
        <v>17</v>
      </c>
      <c r="F735" s="1">
        <v>84</v>
      </c>
      <c r="G735" s="1">
        <v>79</v>
      </c>
      <c r="H735" s="1">
        <v>78</v>
      </c>
      <c r="I735">
        <f t="shared" si="55"/>
        <v>241</v>
      </c>
      <c r="J735">
        <f t="shared" si="56"/>
        <v>1</v>
      </c>
      <c r="K735">
        <f t="shared" si="57"/>
        <v>125</v>
      </c>
      <c r="L735">
        <f t="shared" si="58"/>
        <v>124</v>
      </c>
      <c r="M735">
        <f t="shared" si="59"/>
        <v>15376</v>
      </c>
    </row>
    <row r="736" spans="1:13" ht="13.2" x14ac:dyDescent="0.25">
      <c r="A736" s="1" t="s">
        <v>8</v>
      </c>
      <c r="B736" s="1" t="s">
        <v>13</v>
      </c>
      <c r="C736" s="1" t="s">
        <v>22</v>
      </c>
      <c r="D736" s="1" t="s">
        <v>11</v>
      </c>
      <c r="E736" s="1" t="s">
        <v>12</v>
      </c>
      <c r="F736" s="1">
        <v>69</v>
      </c>
      <c r="G736" s="1">
        <v>85</v>
      </c>
      <c r="H736" s="1">
        <v>78</v>
      </c>
      <c r="I736">
        <f t="shared" si="55"/>
        <v>232</v>
      </c>
      <c r="J736">
        <f t="shared" si="56"/>
        <v>0</v>
      </c>
      <c r="K736">
        <f t="shared" si="57"/>
        <v>165.5</v>
      </c>
      <c r="L736">
        <f t="shared" si="58"/>
        <v>165.5</v>
      </c>
      <c r="M736">
        <f t="shared" si="59"/>
        <v>27390.25</v>
      </c>
    </row>
    <row r="737" spans="1:13" ht="13.2" x14ac:dyDescent="0.25">
      <c r="A737" s="1" t="s">
        <v>19</v>
      </c>
      <c r="B737" s="1" t="s">
        <v>18</v>
      </c>
      <c r="C737" s="1" t="s">
        <v>20</v>
      </c>
      <c r="D737" s="1" t="s">
        <v>11</v>
      </c>
      <c r="E737" s="1" t="s">
        <v>12</v>
      </c>
      <c r="F737" s="1">
        <v>71</v>
      </c>
      <c r="G737" s="1">
        <v>67</v>
      </c>
      <c r="H737" s="1">
        <v>66</v>
      </c>
      <c r="I737">
        <f t="shared" si="55"/>
        <v>204</v>
      </c>
      <c r="J737">
        <f t="shared" si="56"/>
        <v>0</v>
      </c>
      <c r="K737">
        <f t="shared" si="57"/>
        <v>281.5</v>
      </c>
      <c r="L737">
        <f t="shared" si="58"/>
        <v>281.5</v>
      </c>
      <c r="M737">
        <f t="shared" si="59"/>
        <v>79242.25</v>
      </c>
    </row>
    <row r="738" spans="1:13" ht="13.2" x14ac:dyDescent="0.25">
      <c r="A738" s="1" t="s">
        <v>8</v>
      </c>
      <c r="B738" s="1" t="s">
        <v>15</v>
      </c>
      <c r="C738" s="1" t="s">
        <v>10</v>
      </c>
      <c r="D738" s="1" t="s">
        <v>23</v>
      </c>
      <c r="E738" s="1" t="s">
        <v>12</v>
      </c>
      <c r="F738" s="1">
        <v>24</v>
      </c>
      <c r="G738" s="1">
        <v>38</v>
      </c>
      <c r="H738" s="1">
        <v>33</v>
      </c>
      <c r="I738">
        <f t="shared" si="55"/>
        <v>95</v>
      </c>
      <c r="J738">
        <f t="shared" si="56"/>
        <v>0</v>
      </c>
      <c r="K738" t="e">
        <f t="shared" si="57"/>
        <v>#N/A</v>
      </c>
      <c r="L738" t="e">
        <f t="shared" si="58"/>
        <v>#N/A</v>
      </c>
      <c r="M738" t="e">
        <f t="shared" si="59"/>
        <v>#N/A</v>
      </c>
    </row>
    <row r="739" spans="1:13" ht="13.2" x14ac:dyDescent="0.25">
      <c r="A739" s="1" t="s">
        <v>8</v>
      </c>
      <c r="B739" s="1" t="s">
        <v>21</v>
      </c>
      <c r="C739" s="1" t="s">
        <v>24</v>
      </c>
      <c r="D739" s="1" t="s">
        <v>11</v>
      </c>
      <c r="E739" s="1" t="s">
        <v>12</v>
      </c>
      <c r="F739" s="1">
        <v>89</v>
      </c>
      <c r="G739" s="1">
        <v>93</v>
      </c>
      <c r="H739" s="1">
        <v>88</v>
      </c>
      <c r="I739">
        <f t="shared" si="55"/>
        <v>270</v>
      </c>
      <c r="J739">
        <f t="shared" si="56"/>
        <v>0</v>
      </c>
      <c r="K739">
        <f t="shared" si="57"/>
        <v>42</v>
      </c>
      <c r="L739">
        <f t="shared" si="58"/>
        <v>42</v>
      </c>
      <c r="M739">
        <f t="shared" si="59"/>
        <v>1764</v>
      </c>
    </row>
    <row r="740" spans="1:13" ht="13.2" x14ac:dyDescent="0.25">
      <c r="A740" s="1" t="s">
        <v>19</v>
      </c>
      <c r="B740" s="1" t="s">
        <v>13</v>
      </c>
      <c r="C740" s="1" t="s">
        <v>20</v>
      </c>
      <c r="D740" s="1" t="s">
        <v>23</v>
      </c>
      <c r="E740" s="1" t="s">
        <v>12</v>
      </c>
      <c r="F740" s="1">
        <v>60</v>
      </c>
      <c r="G740" s="1">
        <v>57</v>
      </c>
      <c r="H740" s="1">
        <v>55</v>
      </c>
      <c r="I740">
        <f t="shared" si="55"/>
        <v>172</v>
      </c>
      <c r="J740">
        <f t="shared" si="56"/>
        <v>0</v>
      </c>
      <c r="K740">
        <f t="shared" si="57"/>
        <v>445</v>
      </c>
      <c r="L740">
        <f t="shared" si="58"/>
        <v>445</v>
      </c>
      <c r="M740">
        <f t="shared" si="59"/>
        <v>198025</v>
      </c>
    </row>
    <row r="741" spans="1:13" ht="13.2" x14ac:dyDescent="0.25">
      <c r="A741" s="1" t="s">
        <v>8</v>
      </c>
      <c r="B741" s="1" t="s">
        <v>21</v>
      </c>
      <c r="C741" s="1" t="s">
        <v>24</v>
      </c>
      <c r="D741" s="1" t="s">
        <v>11</v>
      </c>
      <c r="E741" s="1" t="s">
        <v>17</v>
      </c>
      <c r="F741" s="1">
        <v>89</v>
      </c>
      <c r="G741" s="1">
        <v>93</v>
      </c>
      <c r="H741" s="1">
        <v>92</v>
      </c>
      <c r="I741">
        <f t="shared" si="55"/>
        <v>274</v>
      </c>
      <c r="J741">
        <f t="shared" si="56"/>
        <v>1</v>
      </c>
      <c r="K741">
        <f t="shared" si="57"/>
        <v>35</v>
      </c>
      <c r="L741">
        <f t="shared" si="58"/>
        <v>34</v>
      </c>
      <c r="M741">
        <f t="shared" si="59"/>
        <v>1156</v>
      </c>
    </row>
    <row r="742" spans="1:13" ht="13.2" x14ac:dyDescent="0.25">
      <c r="A742" s="1" t="s">
        <v>19</v>
      </c>
      <c r="B742" s="1" t="s">
        <v>18</v>
      </c>
      <c r="C742" s="1" t="s">
        <v>14</v>
      </c>
      <c r="D742" s="1" t="s">
        <v>23</v>
      </c>
      <c r="E742" s="1" t="s">
        <v>12</v>
      </c>
      <c r="F742" s="1">
        <v>42</v>
      </c>
      <c r="G742" s="1">
        <v>51</v>
      </c>
      <c r="H742" s="1">
        <v>47</v>
      </c>
      <c r="I742">
        <f t="shared" si="55"/>
        <v>140</v>
      </c>
      <c r="J742">
        <f t="shared" si="56"/>
        <v>0</v>
      </c>
      <c r="K742">
        <f t="shared" si="57"/>
        <v>551</v>
      </c>
      <c r="L742">
        <f t="shared" si="58"/>
        <v>551</v>
      </c>
      <c r="M742">
        <f t="shared" si="59"/>
        <v>303601</v>
      </c>
    </row>
    <row r="743" spans="1:13" ht="13.2" x14ac:dyDescent="0.25">
      <c r="A743" s="1" t="s">
        <v>8</v>
      </c>
      <c r="B743" s="1" t="s">
        <v>18</v>
      </c>
      <c r="C743" s="1" t="s">
        <v>10</v>
      </c>
      <c r="D743" s="1" t="s">
        <v>23</v>
      </c>
      <c r="E743" s="1" t="s">
        <v>12</v>
      </c>
      <c r="F743" s="1">
        <v>56</v>
      </c>
      <c r="G743" s="1">
        <v>69</v>
      </c>
      <c r="H743" s="1">
        <v>67</v>
      </c>
      <c r="I743">
        <f t="shared" si="55"/>
        <v>192</v>
      </c>
      <c r="J743">
        <f t="shared" si="56"/>
        <v>0</v>
      </c>
      <c r="K743">
        <f t="shared" si="57"/>
        <v>349</v>
      </c>
      <c r="L743">
        <f t="shared" si="58"/>
        <v>349</v>
      </c>
      <c r="M743">
        <f t="shared" si="59"/>
        <v>121801</v>
      </c>
    </row>
    <row r="744" spans="1:13" ht="13.2" x14ac:dyDescent="0.25">
      <c r="A744" s="1" t="s">
        <v>19</v>
      </c>
      <c r="B744" s="1" t="s">
        <v>18</v>
      </c>
      <c r="C744" s="1" t="s">
        <v>14</v>
      </c>
      <c r="D744" s="1" t="s">
        <v>11</v>
      </c>
      <c r="E744" s="1" t="s">
        <v>12</v>
      </c>
      <c r="F744" s="1">
        <v>75</v>
      </c>
      <c r="G744" s="1">
        <v>72</v>
      </c>
      <c r="H744" s="1">
        <v>73</v>
      </c>
      <c r="I744">
        <f t="shared" si="55"/>
        <v>220</v>
      </c>
      <c r="J744">
        <f t="shared" si="56"/>
        <v>0</v>
      </c>
      <c r="K744">
        <f t="shared" si="57"/>
        <v>213.5</v>
      </c>
      <c r="L744">
        <f t="shared" si="58"/>
        <v>213.5</v>
      </c>
      <c r="M744">
        <f t="shared" si="59"/>
        <v>45582.25</v>
      </c>
    </row>
    <row r="745" spans="1:13" ht="13.2" x14ac:dyDescent="0.25">
      <c r="A745" s="1" t="s">
        <v>19</v>
      </c>
      <c r="B745" s="1" t="s">
        <v>21</v>
      </c>
      <c r="C745" s="1" t="s">
        <v>20</v>
      </c>
      <c r="D745" s="1" t="s">
        <v>23</v>
      </c>
      <c r="E745" s="1" t="s">
        <v>12</v>
      </c>
      <c r="F745" s="1">
        <v>61</v>
      </c>
      <c r="G745" s="1">
        <v>63</v>
      </c>
      <c r="H745" s="1">
        <v>60</v>
      </c>
      <c r="I745">
        <f t="shared" si="55"/>
        <v>184</v>
      </c>
      <c r="J745">
        <f t="shared" si="56"/>
        <v>0</v>
      </c>
      <c r="K745">
        <f t="shared" si="57"/>
        <v>393.5</v>
      </c>
      <c r="L745">
        <f t="shared" si="58"/>
        <v>393.5</v>
      </c>
      <c r="M745">
        <f t="shared" si="59"/>
        <v>154842.25</v>
      </c>
    </row>
    <row r="746" spans="1:13" ht="13.2" x14ac:dyDescent="0.25">
      <c r="A746" s="1" t="s">
        <v>19</v>
      </c>
      <c r="B746" s="1" t="s">
        <v>13</v>
      </c>
      <c r="C746" s="1" t="s">
        <v>22</v>
      </c>
      <c r="D746" s="1" t="s">
        <v>11</v>
      </c>
      <c r="E746" s="1" t="s">
        <v>17</v>
      </c>
      <c r="F746" s="1">
        <v>62</v>
      </c>
      <c r="G746" s="1">
        <v>60</v>
      </c>
      <c r="H746" s="1">
        <v>56</v>
      </c>
      <c r="I746">
        <f t="shared" si="55"/>
        <v>178</v>
      </c>
      <c r="J746">
        <f t="shared" si="56"/>
        <v>1</v>
      </c>
      <c r="K746">
        <f t="shared" si="57"/>
        <v>414.5</v>
      </c>
      <c r="L746">
        <f t="shared" si="58"/>
        <v>413.5</v>
      </c>
      <c r="M746">
        <f t="shared" si="59"/>
        <v>170982.25</v>
      </c>
    </row>
    <row r="747" spans="1:13" ht="13.2" x14ac:dyDescent="0.25">
      <c r="A747" s="1" t="s">
        <v>19</v>
      </c>
      <c r="B747" s="1" t="s">
        <v>9</v>
      </c>
      <c r="C747" s="1" t="s">
        <v>16</v>
      </c>
      <c r="D747" s="1" t="s">
        <v>11</v>
      </c>
      <c r="E747" s="1" t="s">
        <v>12</v>
      </c>
      <c r="F747" s="1">
        <v>70</v>
      </c>
      <c r="G747" s="1">
        <v>64</v>
      </c>
      <c r="H747" s="1">
        <v>58</v>
      </c>
      <c r="I747">
        <f t="shared" si="55"/>
        <v>192</v>
      </c>
      <c r="J747">
        <f t="shared" si="56"/>
        <v>0</v>
      </c>
      <c r="K747">
        <f t="shared" si="57"/>
        <v>349</v>
      </c>
      <c r="L747">
        <f t="shared" si="58"/>
        <v>349</v>
      </c>
      <c r="M747">
        <f t="shared" si="59"/>
        <v>121801</v>
      </c>
    </row>
    <row r="748" spans="1:13" ht="13.2" x14ac:dyDescent="0.25">
      <c r="A748" s="1" t="s">
        <v>8</v>
      </c>
      <c r="B748" s="1" t="s">
        <v>21</v>
      </c>
      <c r="C748" s="1" t="s">
        <v>20</v>
      </c>
      <c r="D748" s="1" t="s">
        <v>11</v>
      </c>
      <c r="E748" s="1" t="s">
        <v>17</v>
      </c>
      <c r="F748" s="1">
        <v>100</v>
      </c>
      <c r="G748" s="1">
        <v>100</v>
      </c>
      <c r="H748" s="1">
        <v>100</v>
      </c>
      <c r="I748">
        <f t="shared" si="55"/>
        <v>300</v>
      </c>
      <c r="J748">
        <f t="shared" si="56"/>
        <v>1</v>
      </c>
      <c r="K748">
        <f t="shared" si="57"/>
        <v>1</v>
      </c>
      <c r="L748">
        <f t="shared" si="58"/>
        <v>0</v>
      </c>
      <c r="M748">
        <f t="shared" si="59"/>
        <v>0</v>
      </c>
    </row>
    <row r="749" spans="1:13" ht="13.2" x14ac:dyDescent="0.25">
      <c r="A749" s="1" t="s">
        <v>19</v>
      </c>
      <c r="B749" s="1" t="s">
        <v>15</v>
      </c>
      <c r="C749" s="1" t="s">
        <v>14</v>
      </c>
      <c r="D749" s="1" t="s">
        <v>23</v>
      </c>
      <c r="E749" s="1" t="s">
        <v>17</v>
      </c>
      <c r="F749" s="1">
        <v>85</v>
      </c>
      <c r="G749" s="1">
        <v>78</v>
      </c>
      <c r="H749" s="1">
        <v>80</v>
      </c>
      <c r="I749">
        <f t="shared" si="55"/>
        <v>243</v>
      </c>
      <c r="J749">
        <f t="shared" si="56"/>
        <v>1</v>
      </c>
      <c r="K749">
        <f t="shared" si="57"/>
        <v>119.5</v>
      </c>
      <c r="L749">
        <f t="shared" si="58"/>
        <v>118.5</v>
      </c>
      <c r="M749">
        <f t="shared" si="59"/>
        <v>14042.25</v>
      </c>
    </row>
    <row r="750" spans="1:13" ht="13.2" x14ac:dyDescent="0.25">
      <c r="A750" s="1" t="s">
        <v>19</v>
      </c>
      <c r="B750" s="1" t="s">
        <v>21</v>
      </c>
      <c r="C750" s="1" t="s">
        <v>10</v>
      </c>
      <c r="D750" s="1" t="s">
        <v>11</v>
      </c>
      <c r="E750" s="1" t="s">
        <v>12</v>
      </c>
      <c r="F750" s="1">
        <v>87</v>
      </c>
      <c r="G750" s="1">
        <v>77</v>
      </c>
      <c r="H750" s="1">
        <v>74</v>
      </c>
      <c r="I750">
        <f t="shared" si="55"/>
        <v>238</v>
      </c>
      <c r="J750">
        <f t="shared" si="56"/>
        <v>0</v>
      </c>
      <c r="K750">
        <f t="shared" si="57"/>
        <v>140.5</v>
      </c>
      <c r="L750">
        <f t="shared" si="58"/>
        <v>140.5</v>
      </c>
      <c r="M750">
        <f t="shared" si="59"/>
        <v>19740.25</v>
      </c>
    </row>
    <row r="751" spans="1:13" ht="13.2" x14ac:dyDescent="0.25">
      <c r="A751" s="1" t="s">
        <v>8</v>
      </c>
      <c r="B751" s="1" t="s">
        <v>15</v>
      </c>
      <c r="C751" s="1" t="s">
        <v>24</v>
      </c>
      <c r="D751" s="1" t="s">
        <v>11</v>
      </c>
      <c r="E751" s="1" t="s">
        <v>12</v>
      </c>
      <c r="F751" s="1">
        <v>59</v>
      </c>
      <c r="G751" s="1">
        <v>69</v>
      </c>
      <c r="H751" s="1">
        <v>66</v>
      </c>
      <c r="I751">
        <f t="shared" si="55"/>
        <v>194</v>
      </c>
      <c r="J751">
        <f t="shared" si="56"/>
        <v>0</v>
      </c>
      <c r="K751">
        <f t="shared" si="57"/>
        <v>338.5</v>
      </c>
      <c r="L751">
        <f t="shared" si="58"/>
        <v>338.5</v>
      </c>
      <c r="M751">
        <f t="shared" si="59"/>
        <v>114582.25</v>
      </c>
    </row>
    <row r="752" spans="1:13" ht="13.2" x14ac:dyDescent="0.25">
      <c r="A752" s="1" t="s">
        <v>19</v>
      </c>
      <c r="B752" s="1" t="s">
        <v>18</v>
      </c>
      <c r="C752" s="1" t="s">
        <v>20</v>
      </c>
      <c r="D752" s="1" t="s">
        <v>23</v>
      </c>
      <c r="E752" s="1" t="s">
        <v>17</v>
      </c>
      <c r="F752" s="1">
        <v>74</v>
      </c>
      <c r="G752" s="1">
        <v>80</v>
      </c>
      <c r="H752" s="1">
        <v>81</v>
      </c>
      <c r="I752">
        <f t="shared" si="55"/>
        <v>235</v>
      </c>
      <c r="J752">
        <f t="shared" si="56"/>
        <v>1</v>
      </c>
      <c r="K752">
        <f t="shared" si="57"/>
        <v>154</v>
      </c>
      <c r="L752">
        <f t="shared" si="58"/>
        <v>153</v>
      </c>
      <c r="M752">
        <f t="shared" si="59"/>
        <v>23409</v>
      </c>
    </row>
    <row r="753" spans="1:13" ht="13.2" x14ac:dyDescent="0.25">
      <c r="A753" s="1" t="s">
        <v>19</v>
      </c>
      <c r="B753" s="1" t="s">
        <v>18</v>
      </c>
      <c r="C753" s="1" t="s">
        <v>24</v>
      </c>
      <c r="D753" s="1" t="s">
        <v>23</v>
      </c>
      <c r="E753" s="1" t="s">
        <v>12</v>
      </c>
      <c r="F753" s="1">
        <v>40</v>
      </c>
      <c r="G753" s="1">
        <v>47</v>
      </c>
      <c r="H753" s="1">
        <v>51</v>
      </c>
      <c r="I753">
        <f t="shared" si="55"/>
        <v>138</v>
      </c>
      <c r="J753">
        <f t="shared" si="56"/>
        <v>0</v>
      </c>
      <c r="K753">
        <f t="shared" si="57"/>
        <v>554.5</v>
      </c>
      <c r="L753">
        <f t="shared" si="58"/>
        <v>554.5</v>
      </c>
      <c r="M753">
        <f t="shared" si="59"/>
        <v>307470.25</v>
      </c>
    </row>
    <row r="754" spans="1:13" ht="13.2" x14ac:dyDescent="0.25">
      <c r="A754" s="1" t="s">
        <v>19</v>
      </c>
      <c r="B754" s="1" t="s">
        <v>9</v>
      </c>
      <c r="C754" s="1" t="s">
        <v>10</v>
      </c>
      <c r="D754" s="1" t="s">
        <v>11</v>
      </c>
      <c r="E754" s="1" t="s">
        <v>17</v>
      </c>
      <c r="F754" s="1">
        <v>62</v>
      </c>
      <c r="G754" s="1">
        <v>71</v>
      </c>
      <c r="H754" s="1">
        <v>68</v>
      </c>
      <c r="I754">
        <f t="shared" si="55"/>
        <v>201</v>
      </c>
      <c r="J754">
        <f t="shared" si="56"/>
        <v>1</v>
      </c>
      <c r="K754">
        <f t="shared" si="57"/>
        <v>295.5</v>
      </c>
      <c r="L754">
        <f t="shared" si="58"/>
        <v>294.5</v>
      </c>
      <c r="M754">
        <f t="shared" si="59"/>
        <v>86730.25</v>
      </c>
    </row>
    <row r="755" spans="1:13" ht="13.2" x14ac:dyDescent="0.25">
      <c r="A755" s="1" t="s">
        <v>19</v>
      </c>
      <c r="B755" s="1" t="s">
        <v>9</v>
      </c>
      <c r="C755" s="1" t="s">
        <v>10</v>
      </c>
      <c r="D755" s="1" t="s">
        <v>23</v>
      </c>
      <c r="E755" s="1" t="s">
        <v>12</v>
      </c>
      <c r="F755" s="1">
        <v>75</v>
      </c>
      <c r="G755" s="1">
        <v>80</v>
      </c>
      <c r="H755" s="1">
        <v>67</v>
      </c>
      <c r="I755">
        <f t="shared" si="55"/>
        <v>222</v>
      </c>
      <c r="J755">
        <f t="shared" si="56"/>
        <v>0</v>
      </c>
      <c r="K755">
        <f t="shared" si="57"/>
        <v>206</v>
      </c>
      <c r="L755">
        <f t="shared" si="58"/>
        <v>206</v>
      </c>
      <c r="M755">
        <f t="shared" si="59"/>
        <v>42436</v>
      </c>
    </row>
    <row r="756" spans="1:13" ht="13.2" x14ac:dyDescent="0.25">
      <c r="A756" s="1" t="s">
        <v>19</v>
      </c>
      <c r="B756" s="1" t="s">
        <v>13</v>
      </c>
      <c r="C756" s="1" t="s">
        <v>14</v>
      </c>
      <c r="D756" s="1" t="s">
        <v>11</v>
      </c>
      <c r="E756" s="1" t="s">
        <v>12</v>
      </c>
      <c r="F756" s="1">
        <v>67</v>
      </c>
      <c r="G756" s="1">
        <v>55</v>
      </c>
      <c r="H756" s="1">
        <v>54</v>
      </c>
      <c r="I756">
        <f t="shared" si="55"/>
        <v>176</v>
      </c>
      <c r="J756">
        <f t="shared" si="56"/>
        <v>0</v>
      </c>
      <c r="K756">
        <f t="shared" si="57"/>
        <v>422.5</v>
      </c>
      <c r="L756">
        <f t="shared" si="58"/>
        <v>422.5</v>
      </c>
      <c r="M756">
        <f t="shared" si="59"/>
        <v>178506.25</v>
      </c>
    </row>
    <row r="757" spans="1:13" ht="13.2" x14ac:dyDescent="0.25">
      <c r="A757" s="1" t="s">
        <v>19</v>
      </c>
      <c r="B757" s="1" t="s">
        <v>9</v>
      </c>
      <c r="C757" s="1" t="s">
        <v>22</v>
      </c>
      <c r="D757" s="1" t="s">
        <v>23</v>
      </c>
      <c r="E757" s="1" t="s">
        <v>12</v>
      </c>
      <c r="F757" s="1">
        <v>50</v>
      </c>
      <c r="G757" s="1">
        <v>42</v>
      </c>
      <c r="H757" s="1">
        <v>34</v>
      </c>
      <c r="I757">
        <f t="shared" si="55"/>
        <v>126</v>
      </c>
      <c r="J757">
        <f t="shared" si="56"/>
        <v>0</v>
      </c>
      <c r="K757">
        <f t="shared" si="57"/>
        <v>575.5</v>
      </c>
      <c r="L757">
        <f t="shared" si="58"/>
        <v>575.5</v>
      </c>
      <c r="M757">
        <f t="shared" si="59"/>
        <v>331200.25</v>
      </c>
    </row>
    <row r="758" spans="1:13" ht="13.2" x14ac:dyDescent="0.25">
      <c r="A758" s="1" t="s">
        <v>19</v>
      </c>
      <c r="B758" s="1" t="s">
        <v>18</v>
      </c>
      <c r="C758" s="1" t="s">
        <v>22</v>
      </c>
      <c r="D758" s="1" t="s">
        <v>11</v>
      </c>
      <c r="E758" s="1" t="s">
        <v>12</v>
      </c>
      <c r="F758" s="1">
        <v>56</v>
      </c>
      <c r="G758" s="1">
        <v>49</v>
      </c>
      <c r="H758" s="1">
        <v>48</v>
      </c>
      <c r="I758">
        <f t="shared" si="55"/>
        <v>153</v>
      </c>
      <c r="J758">
        <f t="shared" si="56"/>
        <v>0</v>
      </c>
      <c r="K758">
        <f t="shared" si="57"/>
        <v>520</v>
      </c>
      <c r="L758">
        <f t="shared" si="58"/>
        <v>520</v>
      </c>
      <c r="M758">
        <f t="shared" si="59"/>
        <v>270400</v>
      </c>
    </row>
    <row r="759" spans="1:13" ht="13.2" x14ac:dyDescent="0.25">
      <c r="A759" s="1" t="s">
        <v>19</v>
      </c>
      <c r="B759" s="1" t="s">
        <v>13</v>
      </c>
      <c r="C759" s="1" t="s">
        <v>14</v>
      </c>
      <c r="D759" s="1" t="s">
        <v>11</v>
      </c>
      <c r="E759" s="1" t="s">
        <v>12</v>
      </c>
      <c r="F759" s="1">
        <v>57</v>
      </c>
      <c r="G759" s="1">
        <v>53</v>
      </c>
      <c r="H759" s="1">
        <v>43</v>
      </c>
      <c r="I759">
        <f t="shared" si="55"/>
        <v>153</v>
      </c>
      <c r="J759">
        <f t="shared" si="56"/>
        <v>0</v>
      </c>
      <c r="K759">
        <f t="shared" si="57"/>
        <v>520</v>
      </c>
      <c r="L759">
        <f t="shared" si="58"/>
        <v>520</v>
      </c>
      <c r="M759">
        <f t="shared" si="59"/>
        <v>270400</v>
      </c>
    </row>
    <row r="760" spans="1:13" ht="13.2" x14ac:dyDescent="0.25">
      <c r="A760" s="1" t="s">
        <v>8</v>
      </c>
      <c r="B760" s="1" t="s">
        <v>18</v>
      </c>
      <c r="C760" s="1" t="s">
        <v>10</v>
      </c>
      <c r="D760" s="1" t="s">
        <v>11</v>
      </c>
      <c r="E760" s="1" t="s">
        <v>12</v>
      </c>
      <c r="F760" s="1">
        <v>58</v>
      </c>
      <c r="G760" s="1">
        <v>67</v>
      </c>
      <c r="H760" s="1">
        <v>67</v>
      </c>
      <c r="I760">
        <f t="shared" si="55"/>
        <v>192</v>
      </c>
      <c r="J760">
        <f t="shared" si="56"/>
        <v>0</v>
      </c>
      <c r="K760">
        <f t="shared" si="57"/>
        <v>349</v>
      </c>
      <c r="L760">
        <f t="shared" si="58"/>
        <v>349</v>
      </c>
      <c r="M760">
        <f t="shared" si="59"/>
        <v>121801</v>
      </c>
    </row>
    <row r="761" spans="1:13" ht="13.2" x14ac:dyDescent="0.25">
      <c r="A761" s="1" t="s">
        <v>8</v>
      </c>
      <c r="B761" s="1" t="s">
        <v>13</v>
      </c>
      <c r="C761" s="1" t="s">
        <v>20</v>
      </c>
      <c r="D761" s="1" t="s">
        <v>11</v>
      </c>
      <c r="E761" s="1" t="s">
        <v>12</v>
      </c>
      <c r="F761" s="1">
        <v>98</v>
      </c>
      <c r="G761" s="1">
        <v>100</v>
      </c>
      <c r="H761" s="1">
        <v>100</v>
      </c>
      <c r="I761">
        <f t="shared" si="55"/>
        <v>298</v>
      </c>
      <c r="J761">
        <f t="shared" si="56"/>
        <v>0</v>
      </c>
      <c r="K761" t="e">
        <f t="shared" si="57"/>
        <v>#N/A</v>
      </c>
      <c r="L761" t="e">
        <f t="shared" si="58"/>
        <v>#N/A</v>
      </c>
      <c r="M761" t="e">
        <f t="shared" si="59"/>
        <v>#N/A</v>
      </c>
    </row>
    <row r="762" spans="1:13" ht="13.2" x14ac:dyDescent="0.25">
      <c r="A762" s="1" t="s">
        <v>8</v>
      </c>
      <c r="B762" s="1" t="s">
        <v>13</v>
      </c>
      <c r="C762" s="1" t="s">
        <v>22</v>
      </c>
      <c r="D762" s="1" t="s">
        <v>11</v>
      </c>
      <c r="E762" s="1" t="s">
        <v>12</v>
      </c>
      <c r="F762" s="1">
        <v>76</v>
      </c>
      <c r="G762" s="1">
        <v>66</v>
      </c>
      <c r="H762" s="1">
        <v>72</v>
      </c>
      <c r="I762">
        <f t="shared" si="55"/>
        <v>214</v>
      </c>
      <c r="J762">
        <f t="shared" si="56"/>
        <v>0</v>
      </c>
      <c r="K762">
        <f t="shared" si="57"/>
        <v>238</v>
      </c>
      <c r="L762">
        <f t="shared" si="58"/>
        <v>238</v>
      </c>
      <c r="M762">
        <f t="shared" si="59"/>
        <v>56644</v>
      </c>
    </row>
    <row r="763" spans="1:13" ht="13.2" x14ac:dyDescent="0.25">
      <c r="A763" s="1" t="s">
        <v>19</v>
      </c>
      <c r="B763" s="1" t="s">
        <v>18</v>
      </c>
      <c r="C763" s="1" t="s">
        <v>22</v>
      </c>
      <c r="D763" s="1" t="s">
        <v>23</v>
      </c>
      <c r="E763" s="1" t="s">
        <v>17</v>
      </c>
      <c r="F763" s="1">
        <v>58</v>
      </c>
      <c r="G763" s="1">
        <v>59</v>
      </c>
      <c r="H763" s="1">
        <v>60</v>
      </c>
      <c r="I763">
        <f t="shared" si="55"/>
        <v>177</v>
      </c>
      <c r="J763">
        <f t="shared" si="56"/>
        <v>1</v>
      </c>
      <c r="K763">
        <f t="shared" si="57"/>
        <v>419.5</v>
      </c>
      <c r="L763">
        <f t="shared" si="58"/>
        <v>418.5</v>
      </c>
      <c r="M763">
        <f t="shared" si="59"/>
        <v>175142.25</v>
      </c>
    </row>
    <row r="764" spans="1:13" ht="13.2" x14ac:dyDescent="0.25">
      <c r="A764" s="1" t="s">
        <v>19</v>
      </c>
      <c r="B764" s="1" t="s">
        <v>15</v>
      </c>
      <c r="C764" s="1" t="s">
        <v>10</v>
      </c>
      <c r="D764" s="1" t="s">
        <v>11</v>
      </c>
      <c r="E764" s="1" t="s">
        <v>12</v>
      </c>
      <c r="F764" s="1">
        <v>40</v>
      </c>
      <c r="G764" s="1">
        <v>43</v>
      </c>
      <c r="H764" s="1">
        <v>39</v>
      </c>
      <c r="I764">
        <f t="shared" si="55"/>
        <v>122</v>
      </c>
      <c r="J764">
        <f t="shared" si="56"/>
        <v>0</v>
      </c>
      <c r="K764" t="e">
        <f t="shared" si="57"/>
        <v>#N/A</v>
      </c>
      <c r="L764" t="e">
        <f t="shared" si="58"/>
        <v>#N/A</v>
      </c>
      <c r="M764" t="e">
        <f t="shared" si="59"/>
        <v>#N/A</v>
      </c>
    </row>
    <row r="765" spans="1:13" ht="13.2" x14ac:dyDescent="0.25">
      <c r="A765" s="1" t="s">
        <v>8</v>
      </c>
      <c r="B765" s="1" t="s">
        <v>15</v>
      </c>
      <c r="C765" s="1" t="s">
        <v>10</v>
      </c>
      <c r="D765" s="1" t="s">
        <v>11</v>
      </c>
      <c r="E765" s="1" t="s">
        <v>12</v>
      </c>
      <c r="F765" s="1">
        <v>51</v>
      </c>
      <c r="G765" s="1">
        <v>48</v>
      </c>
      <c r="H765" s="1">
        <v>47</v>
      </c>
      <c r="I765">
        <f t="shared" si="55"/>
        <v>146</v>
      </c>
      <c r="J765">
        <f t="shared" si="56"/>
        <v>0</v>
      </c>
      <c r="K765">
        <f t="shared" si="57"/>
        <v>532</v>
      </c>
      <c r="L765">
        <f t="shared" si="58"/>
        <v>532</v>
      </c>
      <c r="M765">
        <f t="shared" si="59"/>
        <v>283024</v>
      </c>
    </row>
    <row r="766" spans="1:13" ht="13.2" x14ac:dyDescent="0.25">
      <c r="A766" s="1" t="s">
        <v>8</v>
      </c>
      <c r="B766" s="1" t="s">
        <v>21</v>
      </c>
      <c r="C766" s="1" t="s">
        <v>24</v>
      </c>
      <c r="D766" s="1" t="s">
        <v>23</v>
      </c>
      <c r="E766" s="1" t="s">
        <v>12</v>
      </c>
      <c r="F766" s="1">
        <v>60</v>
      </c>
      <c r="G766" s="1">
        <v>64</v>
      </c>
      <c r="H766" s="1">
        <v>67</v>
      </c>
      <c r="I766">
        <f t="shared" si="55"/>
        <v>191</v>
      </c>
      <c r="J766">
        <f t="shared" si="56"/>
        <v>0</v>
      </c>
      <c r="K766">
        <f t="shared" si="57"/>
        <v>353.5</v>
      </c>
      <c r="L766">
        <f t="shared" si="58"/>
        <v>353.5</v>
      </c>
      <c r="M766">
        <f t="shared" si="59"/>
        <v>124962.25</v>
      </c>
    </row>
    <row r="767" spans="1:13" ht="13.2" x14ac:dyDescent="0.25">
      <c r="A767" s="1" t="s">
        <v>8</v>
      </c>
      <c r="B767" s="1" t="s">
        <v>9</v>
      </c>
      <c r="C767" s="1" t="s">
        <v>14</v>
      </c>
      <c r="D767" s="1" t="s">
        <v>23</v>
      </c>
      <c r="E767" s="1" t="s">
        <v>17</v>
      </c>
      <c r="F767" s="1">
        <v>70</v>
      </c>
      <c r="G767" s="1">
        <v>78</v>
      </c>
      <c r="H767" s="1">
        <v>78</v>
      </c>
      <c r="I767">
        <f t="shared" si="55"/>
        <v>226</v>
      </c>
      <c r="J767">
        <f t="shared" si="56"/>
        <v>1</v>
      </c>
      <c r="K767">
        <f t="shared" si="57"/>
        <v>186.5</v>
      </c>
      <c r="L767">
        <f t="shared" si="58"/>
        <v>185.5</v>
      </c>
      <c r="M767">
        <f t="shared" si="59"/>
        <v>34410.25</v>
      </c>
    </row>
    <row r="768" spans="1:13" ht="13.2" x14ac:dyDescent="0.25">
      <c r="A768" s="1" t="s">
        <v>8</v>
      </c>
      <c r="B768" s="1" t="s">
        <v>18</v>
      </c>
      <c r="C768" s="1" t="s">
        <v>22</v>
      </c>
      <c r="D768" s="1" t="s">
        <v>23</v>
      </c>
      <c r="E768" s="1" t="s">
        <v>12</v>
      </c>
      <c r="F768" s="1">
        <v>2</v>
      </c>
      <c r="G768" s="1">
        <v>19</v>
      </c>
      <c r="H768" s="1">
        <v>14</v>
      </c>
      <c r="I768">
        <f t="shared" si="55"/>
        <v>35</v>
      </c>
      <c r="J768">
        <f t="shared" si="56"/>
        <v>0</v>
      </c>
      <c r="K768" t="e">
        <f t="shared" si="57"/>
        <v>#N/A</v>
      </c>
      <c r="L768" t="e">
        <f t="shared" si="58"/>
        <v>#N/A</v>
      </c>
      <c r="M768" t="e">
        <f t="shared" si="59"/>
        <v>#N/A</v>
      </c>
    </row>
    <row r="769" spans="1:13" ht="13.2" x14ac:dyDescent="0.25">
      <c r="A769" s="1" t="s">
        <v>19</v>
      </c>
      <c r="B769" s="1" t="s">
        <v>13</v>
      </c>
      <c r="C769" s="1" t="s">
        <v>22</v>
      </c>
      <c r="D769" s="1" t="s">
        <v>11</v>
      </c>
      <c r="E769" s="1" t="s">
        <v>12</v>
      </c>
      <c r="F769" s="1">
        <v>74</v>
      </c>
      <c r="G769" s="1">
        <v>68</v>
      </c>
      <c r="H769" s="1">
        <v>70</v>
      </c>
      <c r="I769">
        <f t="shared" si="55"/>
        <v>212</v>
      </c>
      <c r="J769">
        <f t="shared" si="56"/>
        <v>0</v>
      </c>
      <c r="K769">
        <f t="shared" si="57"/>
        <v>245.5</v>
      </c>
      <c r="L769">
        <f t="shared" si="58"/>
        <v>245.5</v>
      </c>
      <c r="M769">
        <f t="shared" si="59"/>
        <v>60270.25</v>
      </c>
    </row>
    <row r="770" spans="1:13" ht="13.2" x14ac:dyDescent="0.25">
      <c r="A770" s="1" t="s">
        <v>8</v>
      </c>
      <c r="B770" s="1" t="s">
        <v>18</v>
      </c>
      <c r="C770" s="1" t="s">
        <v>16</v>
      </c>
      <c r="D770" s="1" t="s">
        <v>23</v>
      </c>
      <c r="E770" s="1" t="s">
        <v>12</v>
      </c>
      <c r="F770" s="1">
        <v>11</v>
      </c>
      <c r="G770" s="1">
        <v>21</v>
      </c>
      <c r="H770" s="1">
        <v>18</v>
      </c>
      <c r="I770">
        <f t="shared" si="55"/>
        <v>50</v>
      </c>
      <c r="J770">
        <f t="shared" si="56"/>
        <v>0</v>
      </c>
      <c r="K770" t="e">
        <f t="shared" si="57"/>
        <v>#N/A</v>
      </c>
      <c r="L770" t="e">
        <f t="shared" si="58"/>
        <v>#N/A</v>
      </c>
      <c r="M770" t="e">
        <f t="shared" si="59"/>
        <v>#N/A</v>
      </c>
    </row>
    <row r="771" spans="1:13" ht="13.2" x14ac:dyDescent="0.25">
      <c r="A771" s="1" t="s">
        <v>19</v>
      </c>
      <c r="B771" s="1" t="s">
        <v>18</v>
      </c>
      <c r="C771" s="1" t="s">
        <v>10</v>
      </c>
      <c r="D771" s="1" t="s">
        <v>23</v>
      </c>
      <c r="E771" s="1" t="s">
        <v>17</v>
      </c>
      <c r="F771" s="1">
        <v>75</v>
      </c>
      <c r="G771" s="1">
        <v>74</v>
      </c>
      <c r="H771" s="1">
        <v>71</v>
      </c>
      <c r="I771">
        <f t="shared" ref="I771:I834" si="60">SUM(F771:H771)</f>
        <v>220</v>
      </c>
      <c r="J771">
        <f t="shared" ref="J771:J834" si="61">IF(E771="completed", 1, IF(E771="none", 0, ""))</f>
        <v>1</v>
      </c>
      <c r="K771">
        <f t="shared" ref="K771:K834" si="62">_xlfn.RANK.AVG(I771, I$2:I$601, 0)</f>
        <v>213.5</v>
      </c>
      <c r="L771">
        <f t="shared" ref="L771:L834" si="63">K771-J771</f>
        <v>212.5</v>
      </c>
      <c r="M771">
        <f t="shared" ref="M771:M834" si="64">L771^2</f>
        <v>45156.25</v>
      </c>
    </row>
    <row r="772" spans="1:13" ht="13.2" x14ac:dyDescent="0.25">
      <c r="A772" s="1" t="s">
        <v>19</v>
      </c>
      <c r="B772" s="1" t="s">
        <v>21</v>
      </c>
      <c r="C772" s="1" t="s">
        <v>14</v>
      </c>
      <c r="D772" s="1" t="s">
        <v>11</v>
      </c>
      <c r="E772" s="1" t="s">
        <v>12</v>
      </c>
      <c r="F772" s="1">
        <v>97</v>
      </c>
      <c r="G772" s="1">
        <v>81</v>
      </c>
      <c r="H772" s="1">
        <v>81</v>
      </c>
      <c r="I772">
        <f t="shared" si="60"/>
        <v>259</v>
      </c>
      <c r="J772">
        <f t="shared" si="61"/>
        <v>0</v>
      </c>
      <c r="K772">
        <f t="shared" si="62"/>
        <v>66</v>
      </c>
      <c r="L772">
        <f t="shared" si="63"/>
        <v>66</v>
      </c>
      <c r="M772">
        <f t="shared" si="64"/>
        <v>4356</v>
      </c>
    </row>
    <row r="773" spans="1:13" ht="13.2" x14ac:dyDescent="0.25">
      <c r="A773" s="1" t="s">
        <v>19</v>
      </c>
      <c r="B773" s="1" t="s">
        <v>13</v>
      </c>
      <c r="C773" s="1" t="s">
        <v>14</v>
      </c>
      <c r="D773" s="1" t="s">
        <v>11</v>
      </c>
      <c r="E773" s="1" t="s">
        <v>12</v>
      </c>
      <c r="F773" s="1">
        <v>71</v>
      </c>
      <c r="G773" s="1">
        <v>65</v>
      </c>
      <c r="H773" s="1">
        <v>67</v>
      </c>
      <c r="I773">
        <f t="shared" si="60"/>
        <v>203</v>
      </c>
      <c r="J773">
        <f t="shared" si="61"/>
        <v>0</v>
      </c>
      <c r="K773">
        <f t="shared" si="62"/>
        <v>286.5</v>
      </c>
      <c r="L773">
        <f t="shared" si="63"/>
        <v>286.5</v>
      </c>
      <c r="M773">
        <f t="shared" si="64"/>
        <v>82082.25</v>
      </c>
    </row>
    <row r="774" spans="1:13" ht="13.2" x14ac:dyDescent="0.25">
      <c r="A774" s="1" t="s">
        <v>8</v>
      </c>
      <c r="B774" s="1" t="s">
        <v>13</v>
      </c>
      <c r="C774" s="1" t="s">
        <v>14</v>
      </c>
      <c r="D774" s="1" t="s">
        <v>11</v>
      </c>
      <c r="E774" s="1" t="s">
        <v>12</v>
      </c>
      <c r="F774" s="1">
        <v>90</v>
      </c>
      <c r="G774" s="1">
        <v>100</v>
      </c>
      <c r="H774" s="1">
        <v>100</v>
      </c>
      <c r="I774">
        <f t="shared" si="60"/>
        <v>290</v>
      </c>
      <c r="J774">
        <f t="shared" si="61"/>
        <v>0</v>
      </c>
      <c r="K774">
        <f t="shared" si="62"/>
        <v>11</v>
      </c>
      <c r="L774">
        <f t="shared" si="63"/>
        <v>11</v>
      </c>
      <c r="M774">
        <f t="shared" si="64"/>
        <v>121</v>
      </c>
    </row>
    <row r="775" spans="1:13" ht="13.2" x14ac:dyDescent="0.25">
      <c r="A775" s="1" t="s">
        <v>19</v>
      </c>
      <c r="B775" s="1" t="s">
        <v>21</v>
      </c>
      <c r="C775" s="1" t="s">
        <v>22</v>
      </c>
      <c r="D775" s="1" t="s">
        <v>11</v>
      </c>
      <c r="E775" s="1" t="s">
        <v>17</v>
      </c>
      <c r="F775" s="1">
        <v>91</v>
      </c>
      <c r="G775" s="1">
        <v>83</v>
      </c>
      <c r="H775" s="1">
        <v>85</v>
      </c>
      <c r="I775">
        <f t="shared" si="60"/>
        <v>259</v>
      </c>
      <c r="J775">
        <f t="shared" si="61"/>
        <v>1</v>
      </c>
      <c r="K775">
        <f t="shared" si="62"/>
        <v>66</v>
      </c>
      <c r="L775">
        <f t="shared" si="63"/>
        <v>65</v>
      </c>
      <c r="M775">
        <f t="shared" si="64"/>
        <v>4225</v>
      </c>
    </row>
    <row r="776" spans="1:13" ht="13.2" x14ac:dyDescent="0.25">
      <c r="A776" s="1" t="s">
        <v>8</v>
      </c>
      <c r="B776" s="1" t="s">
        <v>18</v>
      </c>
      <c r="C776" s="1" t="s">
        <v>16</v>
      </c>
      <c r="D776" s="1" t="s">
        <v>23</v>
      </c>
      <c r="E776" s="1" t="s">
        <v>17</v>
      </c>
      <c r="F776" s="1">
        <v>57</v>
      </c>
      <c r="G776" s="1">
        <v>72</v>
      </c>
      <c r="H776" s="1">
        <v>70</v>
      </c>
      <c r="I776">
        <f t="shared" si="60"/>
        <v>199</v>
      </c>
      <c r="J776">
        <f t="shared" si="61"/>
        <v>1</v>
      </c>
      <c r="K776">
        <f t="shared" si="62"/>
        <v>307.5</v>
      </c>
      <c r="L776">
        <f t="shared" si="63"/>
        <v>306.5</v>
      </c>
      <c r="M776">
        <f t="shared" si="64"/>
        <v>93942.25</v>
      </c>
    </row>
    <row r="777" spans="1:13" ht="13.2" x14ac:dyDescent="0.25">
      <c r="A777" s="1" t="s">
        <v>19</v>
      </c>
      <c r="B777" s="1" t="s">
        <v>15</v>
      </c>
      <c r="C777" s="1" t="s">
        <v>14</v>
      </c>
      <c r="D777" s="1" t="s">
        <v>11</v>
      </c>
      <c r="E777" s="1" t="s">
        <v>17</v>
      </c>
      <c r="F777" s="1">
        <v>73</v>
      </c>
      <c r="G777" s="1">
        <v>73</v>
      </c>
      <c r="H777" s="1">
        <v>71</v>
      </c>
      <c r="I777">
        <f t="shared" si="60"/>
        <v>217</v>
      </c>
      <c r="J777">
        <f t="shared" si="61"/>
        <v>1</v>
      </c>
      <c r="K777">
        <f t="shared" si="62"/>
        <v>227</v>
      </c>
      <c r="L777">
        <f t="shared" si="63"/>
        <v>226</v>
      </c>
      <c r="M777">
        <f t="shared" si="64"/>
        <v>51076</v>
      </c>
    </row>
    <row r="778" spans="1:13" ht="13.2" x14ac:dyDescent="0.25">
      <c r="A778" s="1" t="s">
        <v>19</v>
      </c>
      <c r="B778" s="1" t="s">
        <v>21</v>
      </c>
      <c r="C778" s="1" t="s">
        <v>10</v>
      </c>
      <c r="D778" s="1" t="s">
        <v>11</v>
      </c>
      <c r="E778" s="1" t="s">
        <v>12</v>
      </c>
      <c r="F778" s="1">
        <v>65</v>
      </c>
      <c r="G778" s="1">
        <v>66</v>
      </c>
      <c r="H778" s="1">
        <v>67</v>
      </c>
      <c r="I778">
        <f t="shared" si="60"/>
        <v>198</v>
      </c>
      <c r="J778">
        <f t="shared" si="61"/>
        <v>0</v>
      </c>
      <c r="K778">
        <f t="shared" si="62"/>
        <v>313</v>
      </c>
      <c r="L778">
        <f t="shared" si="63"/>
        <v>313</v>
      </c>
      <c r="M778">
        <f t="shared" si="64"/>
        <v>97969</v>
      </c>
    </row>
    <row r="779" spans="1:13" ht="13.2" x14ac:dyDescent="0.25">
      <c r="A779" s="1" t="s">
        <v>8</v>
      </c>
      <c r="B779" s="1" t="s">
        <v>13</v>
      </c>
      <c r="C779" s="1" t="s">
        <v>14</v>
      </c>
      <c r="D779" s="1" t="s">
        <v>11</v>
      </c>
      <c r="E779" s="1" t="s">
        <v>12</v>
      </c>
      <c r="F779" s="1">
        <v>51</v>
      </c>
      <c r="G779" s="1">
        <v>47</v>
      </c>
      <c r="H779" s="1">
        <v>59</v>
      </c>
      <c r="I779">
        <f t="shared" si="60"/>
        <v>157</v>
      </c>
      <c r="J779">
        <f t="shared" si="61"/>
        <v>0</v>
      </c>
      <c r="K779">
        <f t="shared" si="62"/>
        <v>502.5</v>
      </c>
      <c r="L779">
        <f t="shared" si="63"/>
        <v>502.5</v>
      </c>
      <c r="M779">
        <f t="shared" si="64"/>
        <v>252506.25</v>
      </c>
    </row>
    <row r="780" spans="1:13" ht="13.2" x14ac:dyDescent="0.25">
      <c r="A780" s="1" t="s">
        <v>8</v>
      </c>
      <c r="B780" s="1" t="s">
        <v>9</v>
      </c>
      <c r="C780" s="1" t="s">
        <v>20</v>
      </c>
      <c r="D780" s="1" t="s">
        <v>11</v>
      </c>
      <c r="E780" s="1" t="s">
        <v>17</v>
      </c>
      <c r="F780" s="1">
        <v>71</v>
      </c>
      <c r="G780" s="1">
        <v>84</v>
      </c>
      <c r="H780" s="1">
        <v>79</v>
      </c>
      <c r="I780">
        <f t="shared" si="60"/>
        <v>234</v>
      </c>
      <c r="J780">
        <f t="shared" si="61"/>
        <v>1</v>
      </c>
      <c r="K780">
        <f t="shared" si="62"/>
        <v>159</v>
      </c>
      <c r="L780">
        <f t="shared" si="63"/>
        <v>158</v>
      </c>
      <c r="M780">
        <f t="shared" si="64"/>
        <v>24964</v>
      </c>
    </row>
    <row r="781" spans="1:13" ht="13.2" x14ac:dyDescent="0.25">
      <c r="A781" s="1" t="s">
        <v>19</v>
      </c>
      <c r="B781" s="1" t="s">
        <v>21</v>
      </c>
      <c r="C781" s="1" t="s">
        <v>10</v>
      </c>
      <c r="D781" s="1" t="s">
        <v>11</v>
      </c>
      <c r="E781" s="1" t="s">
        <v>12</v>
      </c>
      <c r="F781" s="1">
        <v>80</v>
      </c>
      <c r="G781" s="1">
        <v>75</v>
      </c>
      <c r="H781" s="1">
        <v>72</v>
      </c>
      <c r="I781">
        <f t="shared" si="60"/>
        <v>227</v>
      </c>
      <c r="J781">
        <f t="shared" si="61"/>
        <v>0</v>
      </c>
      <c r="K781">
        <f t="shared" si="62"/>
        <v>180</v>
      </c>
      <c r="L781">
        <f t="shared" si="63"/>
        <v>180</v>
      </c>
      <c r="M781">
        <f t="shared" si="64"/>
        <v>32400</v>
      </c>
    </row>
    <row r="782" spans="1:13" ht="13.2" x14ac:dyDescent="0.25">
      <c r="A782" s="1" t="s">
        <v>8</v>
      </c>
      <c r="B782" s="1" t="s">
        <v>9</v>
      </c>
      <c r="C782" s="1" t="s">
        <v>16</v>
      </c>
      <c r="D782" s="1" t="s">
        <v>11</v>
      </c>
      <c r="E782" s="1" t="s">
        <v>12</v>
      </c>
      <c r="F782" s="1">
        <v>59</v>
      </c>
      <c r="G782" s="1">
        <v>68</v>
      </c>
      <c r="H782" s="1">
        <v>70</v>
      </c>
      <c r="I782">
        <f t="shared" si="60"/>
        <v>197</v>
      </c>
      <c r="J782">
        <f t="shared" si="61"/>
        <v>0</v>
      </c>
      <c r="K782">
        <f t="shared" si="62"/>
        <v>317.5</v>
      </c>
      <c r="L782">
        <f t="shared" si="63"/>
        <v>317.5</v>
      </c>
      <c r="M782">
        <f t="shared" si="64"/>
        <v>100806.25</v>
      </c>
    </row>
    <row r="783" spans="1:13" ht="13.2" x14ac:dyDescent="0.25">
      <c r="A783" s="1" t="s">
        <v>19</v>
      </c>
      <c r="B783" s="1" t="s">
        <v>9</v>
      </c>
      <c r="C783" s="1" t="s">
        <v>16</v>
      </c>
      <c r="D783" s="1" t="s">
        <v>11</v>
      </c>
      <c r="E783" s="1" t="s">
        <v>17</v>
      </c>
      <c r="F783" s="1">
        <v>100</v>
      </c>
      <c r="G783" s="1">
        <v>85</v>
      </c>
      <c r="H783" s="1">
        <v>90</v>
      </c>
      <c r="I783">
        <f t="shared" si="60"/>
        <v>275</v>
      </c>
      <c r="J783">
        <f t="shared" si="61"/>
        <v>1</v>
      </c>
      <c r="K783">
        <f t="shared" si="62"/>
        <v>34</v>
      </c>
      <c r="L783">
        <f t="shared" si="63"/>
        <v>33</v>
      </c>
      <c r="M783">
        <f t="shared" si="64"/>
        <v>1089</v>
      </c>
    </row>
    <row r="784" spans="1:13" ht="13.2" x14ac:dyDescent="0.25">
      <c r="A784" s="1" t="s">
        <v>19</v>
      </c>
      <c r="B784" s="1" t="s">
        <v>9</v>
      </c>
      <c r="C784" s="1" t="s">
        <v>20</v>
      </c>
      <c r="D784" s="1" t="s">
        <v>23</v>
      </c>
      <c r="E784" s="1" t="s">
        <v>17</v>
      </c>
      <c r="F784" s="1">
        <v>70</v>
      </c>
      <c r="G784" s="1">
        <v>73</v>
      </c>
      <c r="H784" s="1">
        <v>65</v>
      </c>
      <c r="I784">
        <f t="shared" si="60"/>
        <v>208</v>
      </c>
      <c r="J784">
        <f t="shared" si="61"/>
        <v>1</v>
      </c>
      <c r="K784">
        <f t="shared" si="62"/>
        <v>264</v>
      </c>
      <c r="L784">
        <f t="shared" si="63"/>
        <v>263</v>
      </c>
      <c r="M784">
        <f t="shared" si="64"/>
        <v>69169</v>
      </c>
    </row>
    <row r="785" spans="1:13" ht="13.2" x14ac:dyDescent="0.25">
      <c r="A785" s="1" t="s">
        <v>19</v>
      </c>
      <c r="B785" s="1" t="s">
        <v>21</v>
      </c>
      <c r="C785" s="1" t="s">
        <v>22</v>
      </c>
      <c r="D785" s="1" t="s">
        <v>23</v>
      </c>
      <c r="E785" s="1" t="s">
        <v>12</v>
      </c>
      <c r="F785" s="1">
        <v>69</v>
      </c>
      <c r="G785" s="1">
        <v>60</v>
      </c>
      <c r="H785" s="1">
        <v>57</v>
      </c>
      <c r="I785">
        <f t="shared" si="60"/>
        <v>186</v>
      </c>
      <c r="J785">
        <f t="shared" si="61"/>
        <v>0</v>
      </c>
      <c r="K785">
        <f t="shared" si="62"/>
        <v>385.5</v>
      </c>
      <c r="L785">
        <f t="shared" si="63"/>
        <v>385.5</v>
      </c>
      <c r="M785">
        <f t="shared" si="64"/>
        <v>148610.25</v>
      </c>
    </row>
    <row r="786" spans="1:13" ht="13.2" x14ac:dyDescent="0.25">
      <c r="A786" s="1" t="s">
        <v>19</v>
      </c>
      <c r="B786" s="1" t="s">
        <v>18</v>
      </c>
      <c r="C786" s="1" t="s">
        <v>14</v>
      </c>
      <c r="D786" s="1" t="s">
        <v>23</v>
      </c>
      <c r="E786" s="1" t="s">
        <v>12</v>
      </c>
      <c r="F786" s="1">
        <v>63</v>
      </c>
      <c r="G786" s="1">
        <v>70</v>
      </c>
      <c r="H786" s="1">
        <v>67</v>
      </c>
      <c r="I786">
        <f t="shared" si="60"/>
        <v>200</v>
      </c>
      <c r="J786">
        <f t="shared" si="61"/>
        <v>0</v>
      </c>
      <c r="K786">
        <f t="shared" si="62"/>
        <v>300.5</v>
      </c>
      <c r="L786">
        <f t="shared" si="63"/>
        <v>300.5</v>
      </c>
      <c r="M786">
        <f t="shared" si="64"/>
        <v>90300.25</v>
      </c>
    </row>
    <row r="787" spans="1:13" ht="13.2" x14ac:dyDescent="0.25">
      <c r="A787" s="1" t="s">
        <v>8</v>
      </c>
      <c r="B787" s="1" t="s">
        <v>18</v>
      </c>
      <c r="C787" s="1" t="s">
        <v>22</v>
      </c>
      <c r="D787" s="1" t="s">
        <v>11</v>
      </c>
      <c r="E787" s="1" t="s">
        <v>17</v>
      </c>
      <c r="F787" s="1">
        <v>53</v>
      </c>
      <c r="G787" s="1">
        <v>62</v>
      </c>
      <c r="H787" s="1">
        <v>69</v>
      </c>
      <c r="I787">
        <f t="shared" si="60"/>
        <v>184</v>
      </c>
      <c r="J787">
        <f t="shared" si="61"/>
        <v>1</v>
      </c>
      <c r="K787">
        <f t="shared" si="62"/>
        <v>393.5</v>
      </c>
      <c r="L787">
        <f t="shared" si="63"/>
        <v>392.5</v>
      </c>
      <c r="M787">
        <f t="shared" si="64"/>
        <v>154056.25</v>
      </c>
    </row>
    <row r="788" spans="1:13" ht="13.2" x14ac:dyDescent="0.25">
      <c r="A788" s="1" t="s">
        <v>19</v>
      </c>
      <c r="B788" s="1" t="s">
        <v>18</v>
      </c>
      <c r="C788" s="1" t="s">
        <v>22</v>
      </c>
      <c r="D788" s="1" t="s">
        <v>11</v>
      </c>
      <c r="E788" s="1" t="s">
        <v>17</v>
      </c>
      <c r="F788" s="1">
        <v>70</v>
      </c>
      <c r="G788" s="1">
        <v>71</v>
      </c>
      <c r="H788" s="1">
        <v>67</v>
      </c>
      <c r="I788">
        <f t="shared" si="60"/>
        <v>208</v>
      </c>
      <c r="J788">
        <f t="shared" si="61"/>
        <v>1</v>
      </c>
      <c r="K788">
        <f t="shared" si="62"/>
        <v>264</v>
      </c>
      <c r="L788">
        <f t="shared" si="63"/>
        <v>263</v>
      </c>
      <c r="M788">
        <f t="shared" si="64"/>
        <v>69169</v>
      </c>
    </row>
    <row r="789" spans="1:13" ht="13.2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17</v>
      </c>
      <c r="F789" s="1">
        <v>73</v>
      </c>
      <c r="G789" s="1">
        <v>93</v>
      </c>
      <c r="H789" s="1">
        <v>92</v>
      </c>
      <c r="I789">
        <f t="shared" si="60"/>
        <v>258</v>
      </c>
      <c r="J789">
        <f t="shared" si="61"/>
        <v>1</v>
      </c>
      <c r="K789">
        <f t="shared" si="62"/>
        <v>70</v>
      </c>
      <c r="L789">
        <f t="shared" si="63"/>
        <v>69</v>
      </c>
      <c r="M789">
        <f t="shared" si="64"/>
        <v>4761</v>
      </c>
    </row>
    <row r="790" spans="1:13" ht="13.2" x14ac:dyDescent="0.25">
      <c r="A790" s="1" t="s">
        <v>19</v>
      </c>
      <c r="B790" s="1" t="s">
        <v>9</v>
      </c>
      <c r="C790" s="1" t="s">
        <v>14</v>
      </c>
      <c r="D790" s="1" t="s">
        <v>23</v>
      </c>
      <c r="E790" s="1" t="s">
        <v>12</v>
      </c>
      <c r="F790" s="1">
        <v>42</v>
      </c>
      <c r="G790" s="1">
        <v>48</v>
      </c>
      <c r="H790" s="1">
        <v>45</v>
      </c>
      <c r="I790">
        <f t="shared" si="60"/>
        <v>135</v>
      </c>
      <c r="J790">
        <f t="shared" si="61"/>
        <v>0</v>
      </c>
      <c r="K790">
        <f t="shared" si="62"/>
        <v>564.5</v>
      </c>
      <c r="L790">
        <f t="shared" si="63"/>
        <v>564.5</v>
      </c>
      <c r="M790">
        <f t="shared" si="64"/>
        <v>318660.25</v>
      </c>
    </row>
    <row r="791" spans="1:13" ht="13.2" x14ac:dyDescent="0.25">
      <c r="A791" s="1" t="s">
        <v>8</v>
      </c>
      <c r="B791" s="1" t="s">
        <v>18</v>
      </c>
      <c r="C791" s="1" t="s">
        <v>10</v>
      </c>
      <c r="D791" s="1" t="s">
        <v>11</v>
      </c>
      <c r="E791" s="1" t="s">
        <v>12</v>
      </c>
      <c r="F791" s="1">
        <v>54</v>
      </c>
      <c r="G791" s="1">
        <v>58</v>
      </c>
      <c r="H791" s="1">
        <v>60</v>
      </c>
      <c r="I791">
        <f t="shared" si="60"/>
        <v>172</v>
      </c>
      <c r="J791">
        <f t="shared" si="61"/>
        <v>0</v>
      </c>
      <c r="K791">
        <f t="shared" si="62"/>
        <v>445</v>
      </c>
      <c r="L791">
        <f t="shared" si="63"/>
        <v>445</v>
      </c>
      <c r="M791">
        <f t="shared" si="64"/>
        <v>198025</v>
      </c>
    </row>
    <row r="792" spans="1:13" ht="13.2" x14ac:dyDescent="0.25">
      <c r="A792" s="1" t="s">
        <v>8</v>
      </c>
      <c r="B792" s="1" t="s">
        <v>13</v>
      </c>
      <c r="C792" s="1" t="s">
        <v>16</v>
      </c>
      <c r="D792" s="1" t="s">
        <v>11</v>
      </c>
      <c r="E792" s="1" t="s">
        <v>17</v>
      </c>
      <c r="F792" s="1">
        <v>64</v>
      </c>
      <c r="G792" s="1">
        <v>59</v>
      </c>
      <c r="H792" s="1">
        <v>67</v>
      </c>
      <c r="I792">
        <f t="shared" si="60"/>
        <v>190</v>
      </c>
      <c r="J792">
        <f t="shared" si="61"/>
        <v>1</v>
      </c>
      <c r="K792">
        <f t="shared" si="62"/>
        <v>359.5</v>
      </c>
      <c r="L792">
        <f t="shared" si="63"/>
        <v>358.5</v>
      </c>
      <c r="M792">
        <f t="shared" si="64"/>
        <v>128522.25</v>
      </c>
    </row>
    <row r="793" spans="1:13" ht="13.2" x14ac:dyDescent="0.25">
      <c r="A793" s="1" t="s">
        <v>8</v>
      </c>
      <c r="B793" s="1" t="s">
        <v>18</v>
      </c>
      <c r="C793" s="1" t="s">
        <v>10</v>
      </c>
      <c r="D793" s="1" t="s">
        <v>23</v>
      </c>
      <c r="E793" s="1" t="s">
        <v>17</v>
      </c>
      <c r="F793" s="1">
        <v>51</v>
      </c>
      <c r="G793" s="1">
        <v>59</v>
      </c>
      <c r="H793" s="1">
        <v>67</v>
      </c>
      <c r="I793">
        <f t="shared" si="60"/>
        <v>177</v>
      </c>
      <c r="J793">
        <f t="shared" si="61"/>
        <v>1</v>
      </c>
      <c r="K793">
        <f t="shared" si="62"/>
        <v>419.5</v>
      </c>
      <c r="L793">
        <f t="shared" si="63"/>
        <v>418.5</v>
      </c>
      <c r="M793">
        <f t="shared" si="64"/>
        <v>175142.25</v>
      </c>
    </row>
    <row r="794" spans="1:13" ht="13.2" x14ac:dyDescent="0.25">
      <c r="A794" s="1" t="s">
        <v>8</v>
      </c>
      <c r="B794" s="1" t="s">
        <v>21</v>
      </c>
      <c r="C794" s="1" t="s">
        <v>16</v>
      </c>
      <c r="D794" s="1" t="s">
        <v>11</v>
      </c>
      <c r="E794" s="1" t="s">
        <v>17</v>
      </c>
      <c r="F794" s="1">
        <v>74</v>
      </c>
      <c r="G794" s="1">
        <v>86</v>
      </c>
      <c r="H794" s="1">
        <v>84</v>
      </c>
      <c r="I794">
        <f t="shared" si="60"/>
        <v>244</v>
      </c>
      <c r="J794">
        <f t="shared" si="61"/>
        <v>1</v>
      </c>
      <c r="K794">
        <f t="shared" si="62"/>
        <v>115.5</v>
      </c>
      <c r="L794">
        <f t="shared" si="63"/>
        <v>114.5</v>
      </c>
      <c r="M794">
        <f t="shared" si="64"/>
        <v>13110.25</v>
      </c>
    </row>
    <row r="795" spans="1:13" ht="13.2" x14ac:dyDescent="0.25">
      <c r="A795" s="1" t="s">
        <v>19</v>
      </c>
      <c r="B795" s="1" t="s">
        <v>18</v>
      </c>
      <c r="C795" s="1" t="s">
        <v>10</v>
      </c>
      <c r="D795" s="1" t="s">
        <v>11</v>
      </c>
      <c r="E795" s="1" t="s">
        <v>12</v>
      </c>
      <c r="F795" s="1">
        <v>66</v>
      </c>
      <c r="G795" s="1">
        <v>71</v>
      </c>
      <c r="H795" s="1">
        <v>63</v>
      </c>
      <c r="I795">
        <f t="shared" si="60"/>
        <v>200</v>
      </c>
      <c r="J795">
        <f t="shared" si="61"/>
        <v>0</v>
      </c>
      <c r="K795">
        <f t="shared" si="62"/>
        <v>300.5</v>
      </c>
      <c r="L795">
        <f t="shared" si="63"/>
        <v>300.5</v>
      </c>
      <c r="M795">
        <f t="shared" si="64"/>
        <v>90300.25</v>
      </c>
    </row>
    <row r="796" spans="1:13" ht="13.2" x14ac:dyDescent="0.25">
      <c r="A796" s="1" t="s">
        <v>19</v>
      </c>
      <c r="B796" s="1" t="s">
        <v>15</v>
      </c>
      <c r="C796" s="1" t="s">
        <v>22</v>
      </c>
      <c r="D796" s="1" t="s">
        <v>11</v>
      </c>
      <c r="E796" s="1" t="s">
        <v>12</v>
      </c>
      <c r="F796" s="1">
        <v>82</v>
      </c>
      <c r="G796" s="1">
        <v>70</v>
      </c>
      <c r="H796" s="1">
        <v>60</v>
      </c>
      <c r="I796">
        <f t="shared" si="60"/>
        <v>212</v>
      </c>
      <c r="J796">
        <f t="shared" si="61"/>
        <v>0</v>
      </c>
      <c r="K796">
        <f t="shared" si="62"/>
        <v>245.5</v>
      </c>
      <c r="L796">
        <f t="shared" si="63"/>
        <v>245.5</v>
      </c>
      <c r="M796">
        <f t="shared" si="64"/>
        <v>60270.25</v>
      </c>
    </row>
    <row r="797" spans="1:13" ht="13.2" x14ac:dyDescent="0.25">
      <c r="A797" s="1" t="s">
        <v>8</v>
      </c>
      <c r="B797" s="1" t="s">
        <v>18</v>
      </c>
      <c r="C797" s="1" t="s">
        <v>16</v>
      </c>
      <c r="D797" s="1" t="s">
        <v>11</v>
      </c>
      <c r="E797" s="1" t="s">
        <v>12</v>
      </c>
      <c r="F797" s="1">
        <v>25</v>
      </c>
      <c r="G797" s="1">
        <v>31</v>
      </c>
      <c r="H797" s="1">
        <v>30</v>
      </c>
      <c r="I797">
        <f t="shared" si="60"/>
        <v>86</v>
      </c>
      <c r="J797">
        <f t="shared" si="61"/>
        <v>0</v>
      </c>
      <c r="K797" t="e">
        <f t="shared" si="62"/>
        <v>#N/A</v>
      </c>
      <c r="L797" t="e">
        <f t="shared" si="63"/>
        <v>#N/A</v>
      </c>
      <c r="M797" t="e">
        <f t="shared" si="64"/>
        <v>#N/A</v>
      </c>
    </row>
    <row r="798" spans="1:13" ht="13.2" x14ac:dyDescent="0.25">
      <c r="A798" s="1" t="s">
        <v>19</v>
      </c>
      <c r="B798" s="1" t="s">
        <v>9</v>
      </c>
      <c r="C798" s="1" t="s">
        <v>16</v>
      </c>
      <c r="D798" s="1" t="s">
        <v>23</v>
      </c>
      <c r="E798" s="1" t="s">
        <v>12</v>
      </c>
      <c r="F798" s="1">
        <v>58</v>
      </c>
      <c r="G798" s="1">
        <v>56</v>
      </c>
      <c r="H798" s="1">
        <v>50</v>
      </c>
      <c r="I798">
        <f t="shared" si="60"/>
        <v>164</v>
      </c>
      <c r="J798">
        <f t="shared" si="61"/>
        <v>0</v>
      </c>
      <c r="K798">
        <f t="shared" si="62"/>
        <v>478</v>
      </c>
      <c r="L798">
        <f t="shared" si="63"/>
        <v>478</v>
      </c>
      <c r="M798">
        <f t="shared" si="64"/>
        <v>228484</v>
      </c>
    </row>
    <row r="799" spans="1:13" ht="13.2" x14ac:dyDescent="0.25">
      <c r="A799" s="1" t="s">
        <v>19</v>
      </c>
      <c r="B799" s="1" t="s">
        <v>9</v>
      </c>
      <c r="C799" s="1" t="s">
        <v>16</v>
      </c>
      <c r="D799" s="1" t="s">
        <v>23</v>
      </c>
      <c r="E799" s="1" t="s">
        <v>12</v>
      </c>
      <c r="F799" s="1">
        <v>58</v>
      </c>
      <c r="G799" s="1">
        <v>54</v>
      </c>
      <c r="H799" s="1">
        <v>45</v>
      </c>
      <c r="I799">
        <f t="shared" si="60"/>
        <v>157</v>
      </c>
      <c r="J799">
        <f t="shared" si="61"/>
        <v>0</v>
      </c>
      <c r="K799">
        <f t="shared" si="62"/>
        <v>502.5</v>
      </c>
      <c r="L799">
        <f t="shared" si="63"/>
        <v>502.5</v>
      </c>
      <c r="M799">
        <f t="shared" si="64"/>
        <v>252506.25</v>
      </c>
    </row>
    <row r="800" spans="1:13" ht="13.2" x14ac:dyDescent="0.25">
      <c r="A800" s="1" t="s">
        <v>19</v>
      </c>
      <c r="B800" s="1" t="s">
        <v>9</v>
      </c>
      <c r="C800" s="1" t="s">
        <v>16</v>
      </c>
      <c r="D800" s="1" t="s">
        <v>11</v>
      </c>
      <c r="E800" s="1" t="s">
        <v>12</v>
      </c>
      <c r="F800" s="1">
        <v>59</v>
      </c>
      <c r="G800" s="1">
        <v>57</v>
      </c>
      <c r="H800" s="1">
        <v>57</v>
      </c>
      <c r="I800">
        <f t="shared" si="60"/>
        <v>173</v>
      </c>
      <c r="J800">
        <f t="shared" si="61"/>
        <v>0</v>
      </c>
      <c r="K800">
        <f t="shared" si="62"/>
        <v>440.5</v>
      </c>
      <c r="L800">
        <f t="shared" si="63"/>
        <v>440.5</v>
      </c>
      <c r="M800">
        <f t="shared" si="64"/>
        <v>194040.25</v>
      </c>
    </row>
    <row r="801" spans="1:13" ht="13.2" x14ac:dyDescent="0.25">
      <c r="A801" s="1" t="s">
        <v>8</v>
      </c>
      <c r="B801" s="1" t="s">
        <v>13</v>
      </c>
      <c r="C801" s="1" t="s">
        <v>14</v>
      </c>
      <c r="D801" s="1" t="s">
        <v>11</v>
      </c>
      <c r="E801" s="1" t="s">
        <v>17</v>
      </c>
      <c r="F801" s="1">
        <v>87</v>
      </c>
      <c r="G801" s="1">
        <v>96</v>
      </c>
      <c r="H801" s="1">
        <v>100</v>
      </c>
      <c r="I801">
        <f t="shared" si="60"/>
        <v>283</v>
      </c>
      <c r="J801">
        <f t="shared" si="61"/>
        <v>1</v>
      </c>
      <c r="K801">
        <f t="shared" si="62"/>
        <v>23.5</v>
      </c>
      <c r="L801">
        <f t="shared" si="63"/>
        <v>22.5</v>
      </c>
      <c r="M801">
        <f t="shared" si="64"/>
        <v>506.25</v>
      </c>
    </row>
    <row r="802" spans="1:13" ht="13.2" x14ac:dyDescent="0.25">
      <c r="A802" s="1" t="s">
        <v>8</v>
      </c>
      <c r="B802" s="1" t="s">
        <v>9</v>
      </c>
      <c r="C802" s="1" t="s">
        <v>10</v>
      </c>
      <c r="D802" s="1" t="s">
        <v>23</v>
      </c>
      <c r="E802" s="1" t="s">
        <v>12</v>
      </c>
      <c r="F802" s="1">
        <v>44</v>
      </c>
      <c r="G802" s="1">
        <v>54</v>
      </c>
      <c r="H802" s="1">
        <v>49</v>
      </c>
      <c r="I802">
        <f t="shared" si="60"/>
        <v>147</v>
      </c>
      <c r="J802">
        <f t="shared" si="61"/>
        <v>0</v>
      </c>
      <c r="K802">
        <f t="shared" si="62"/>
        <v>530</v>
      </c>
      <c r="L802">
        <f t="shared" si="63"/>
        <v>530</v>
      </c>
      <c r="M802">
        <f t="shared" si="64"/>
        <v>280900</v>
      </c>
    </row>
    <row r="803" spans="1:13" ht="13.2" x14ac:dyDescent="0.25">
      <c r="A803" s="1" t="s">
        <v>19</v>
      </c>
      <c r="B803" s="1" t="s">
        <v>13</v>
      </c>
      <c r="C803" s="1" t="s">
        <v>24</v>
      </c>
      <c r="D803" s="1" t="s">
        <v>11</v>
      </c>
      <c r="E803" s="1" t="s">
        <v>12</v>
      </c>
      <c r="F803" s="1">
        <v>94</v>
      </c>
      <c r="G803" s="1">
        <v>93</v>
      </c>
      <c r="H803" s="1">
        <v>91</v>
      </c>
      <c r="I803">
        <f t="shared" si="60"/>
        <v>278</v>
      </c>
      <c r="J803">
        <f t="shared" si="61"/>
        <v>0</v>
      </c>
      <c r="K803">
        <f t="shared" si="62"/>
        <v>30</v>
      </c>
      <c r="L803">
        <f t="shared" si="63"/>
        <v>30</v>
      </c>
      <c r="M803">
        <f t="shared" si="64"/>
        <v>900</v>
      </c>
    </row>
    <row r="804" spans="1:13" ht="13.2" x14ac:dyDescent="0.25">
      <c r="A804" s="1" t="s">
        <v>19</v>
      </c>
      <c r="B804" s="1" t="s">
        <v>21</v>
      </c>
      <c r="C804" s="1" t="s">
        <v>22</v>
      </c>
      <c r="D804" s="1" t="s">
        <v>23</v>
      </c>
      <c r="E804" s="1" t="s">
        <v>12</v>
      </c>
      <c r="F804" s="1">
        <v>67</v>
      </c>
      <c r="G804" s="1">
        <v>61</v>
      </c>
      <c r="H804" s="1">
        <v>57</v>
      </c>
      <c r="I804">
        <f t="shared" si="60"/>
        <v>185</v>
      </c>
      <c r="J804">
        <f t="shared" si="61"/>
        <v>0</v>
      </c>
      <c r="K804">
        <f t="shared" si="62"/>
        <v>389.5</v>
      </c>
      <c r="L804">
        <f t="shared" si="63"/>
        <v>389.5</v>
      </c>
      <c r="M804">
        <f t="shared" si="64"/>
        <v>151710.25</v>
      </c>
    </row>
    <row r="805" spans="1:13" ht="13.2" x14ac:dyDescent="0.25">
      <c r="A805" s="1" t="s">
        <v>8</v>
      </c>
      <c r="B805" s="1" t="s">
        <v>18</v>
      </c>
      <c r="C805" s="1" t="s">
        <v>14</v>
      </c>
      <c r="D805" s="1" t="s">
        <v>23</v>
      </c>
      <c r="E805" s="1" t="s">
        <v>12</v>
      </c>
      <c r="F805" s="1">
        <v>62</v>
      </c>
      <c r="G805" s="1">
        <v>73</v>
      </c>
      <c r="H805" s="1">
        <v>70</v>
      </c>
      <c r="I805">
        <f t="shared" si="60"/>
        <v>205</v>
      </c>
      <c r="J805">
        <f t="shared" si="61"/>
        <v>0</v>
      </c>
      <c r="K805">
        <f t="shared" si="62"/>
        <v>277</v>
      </c>
      <c r="L805">
        <f t="shared" si="63"/>
        <v>277</v>
      </c>
      <c r="M805">
        <f t="shared" si="64"/>
        <v>76729</v>
      </c>
    </row>
    <row r="806" spans="1:13" ht="13.2" x14ac:dyDescent="0.25">
      <c r="A806" s="1" t="s">
        <v>19</v>
      </c>
      <c r="B806" s="1" t="s">
        <v>21</v>
      </c>
      <c r="C806" s="1" t="s">
        <v>10</v>
      </c>
      <c r="D806" s="1" t="s">
        <v>11</v>
      </c>
      <c r="E806" s="1" t="s">
        <v>17</v>
      </c>
      <c r="F806" s="1">
        <v>81</v>
      </c>
      <c r="G806" s="1">
        <v>76</v>
      </c>
      <c r="H806" s="1">
        <v>71</v>
      </c>
      <c r="I806">
        <f t="shared" si="60"/>
        <v>228</v>
      </c>
      <c r="J806">
        <f t="shared" si="61"/>
        <v>1</v>
      </c>
      <c r="K806">
        <f t="shared" si="62"/>
        <v>176.5</v>
      </c>
      <c r="L806">
        <f t="shared" si="63"/>
        <v>175.5</v>
      </c>
      <c r="M806">
        <f t="shared" si="64"/>
        <v>30800.25</v>
      </c>
    </row>
    <row r="807" spans="1:13" ht="13.2" x14ac:dyDescent="0.25">
      <c r="A807" s="1" t="s">
        <v>8</v>
      </c>
      <c r="B807" s="1" t="s">
        <v>13</v>
      </c>
      <c r="C807" s="1" t="s">
        <v>22</v>
      </c>
      <c r="D807" s="1" t="s">
        <v>11</v>
      </c>
      <c r="E807" s="1" t="s">
        <v>12</v>
      </c>
      <c r="F807" s="1">
        <v>85</v>
      </c>
      <c r="G807" s="1">
        <v>87</v>
      </c>
      <c r="H807" s="1">
        <v>87</v>
      </c>
      <c r="I807">
        <f t="shared" si="60"/>
        <v>259</v>
      </c>
      <c r="J807">
        <f t="shared" si="61"/>
        <v>0</v>
      </c>
      <c r="K807">
        <f t="shared" si="62"/>
        <v>66</v>
      </c>
      <c r="L807">
        <f t="shared" si="63"/>
        <v>66</v>
      </c>
      <c r="M807">
        <f t="shared" si="64"/>
        <v>4356</v>
      </c>
    </row>
    <row r="808" spans="1:13" ht="13.2" x14ac:dyDescent="0.25">
      <c r="A808" s="1" t="s">
        <v>8</v>
      </c>
      <c r="B808" s="1" t="s">
        <v>13</v>
      </c>
      <c r="C808" s="1" t="s">
        <v>10</v>
      </c>
      <c r="D808" s="1" t="s">
        <v>11</v>
      </c>
      <c r="E808" s="1" t="s">
        <v>17</v>
      </c>
      <c r="F808" s="1">
        <v>83</v>
      </c>
      <c r="G808" s="1">
        <v>97</v>
      </c>
      <c r="H808" s="1">
        <v>98</v>
      </c>
      <c r="I808">
        <f t="shared" si="60"/>
        <v>278</v>
      </c>
      <c r="J808">
        <f t="shared" si="61"/>
        <v>1</v>
      </c>
      <c r="K808">
        <f t="shared" si="62"/>
        <v>30</v>
      </c>
      <c r="L808">
        <f t="shared" si="63"/>
        <v>29</v>
      </c>
      <c r="M808">
        <f t="shared" si="64"/>
        <v>841</v>
      </c>
    </row>
    <row r="809" spans="1:13" ht="13.2" x14ac:dyDescent="0.25">
      <c r="A809" s="1" t="s">
        <v>8</v>
      </c>
      <c r="B809" s="1" t="s">
        <v>18</v>
      </c>
      <c r="C809" s="1" t="s">
        <v>22</v>
      </c>
      <c r="D809" s="1" t="s">
        <v>11</v>
      </c>
      <c r="E809" s="1" t="s">
        <v>12</v>
      </c>
      <c r="F809" s="1">
        <v>66</v>
      </c>
      <c r="G809" s="1">
        <v>75</v>
      </c>
      <c r="H809" s="1">
        <v>71</v>
      </c>
      <c r="I809">
        <f t="shared" si="60"/>
        <v>212</v>
      </c>
      <c r="J809">
        <f t="shared" si="61"/>
        <v>0</v>
      </c>
      <c r="K809">
        <f t="shared" si="62"/>
        <v>245.5</v>
      </c>
      <c r="L809">
        <f t="shared" si="63"/>
        <v>245.5</v>
      </c>
      <c r="M809">
        <f t="shared" si="64"/>
        <v>60270.25</v>
      </c>
    </row>
    <row r="810" spans="1:13" ht="13.2" x14ac:dyDescent="0.25">
      <c r="A810" s="1" t="s">
        <v>8</v>
      </c>
      <c r="B810" s="1" t="s">
        <v>18</v>
      </c>
      <c r="C810" s="1" t="s">
        <v>16</v>
      </c>
      <c r="D810" s="1" t="s">
        <v>11</v>
      </c>
      <c r="E810" s="1" t="s">
        <v>12</v>
      </c>
      <c r="F810" s="1">
        <v>88</v>
      </c>
      <c r="G810" s="1">
        <v>88</v>
      </c>
      <c r="H810" s="1">
        <v>85</v>
      </c>
      <c r="I810">
        <f t="shared" si="60"/>
        <v>261</v>
      </c>
      <c r="J810">
        <f t="shared" si="61"/>
        <v>0</v>
      </c>
      <c r="K810">
        <f t="shared" si="62"/>
        <v>60.5</v>
      </c>
      <c r="L810">
        <f t="shared" si="63"/>
        <v>60.5</v>
      </c>
      <c r="M810">
        <f t="shared" si="64"/>
        <v>3660.25</v>
      </c>
    </row>
    <row r="811" spans="1:13" ht="13.2" x14ac:dyDescent="0.25">
      <c r="A811" s="1" t="s">
        <v>19</v>
      </c>
      <c r="B811" s="1" t="s">
        <v>18</v>
      </c>
      <c r="C811" s="1" t="s">
        <v>10</v>
      </c>
      <c r="D811" s="1" t="s">
        <v>23</v>
      </c>
      <c r="E811" s="1" t="s">
        <v>12</v>
      </c>
      <c r="F811" s="1">
        <v>46</v>
      </c>
      <c r="G811" s="1">
        <v>35</v>
      </c>
      <c r="H811" s="1">
        <v>38</v>
      </c>
      <c r="I811">
        <f t="shared" si="60"/>
        <v>119</v>
      </c>
      <c r="J811">
        <f t="shared" si="61"/>
        <v>0</v>
      </c>
      <c r="K811">
        <f t="shared" si="62"/>
        <v>583</v>
      </c>
      <c r="L811">
        <f t="shared" si="63"/>
        <v>583</v>
      </c>
      <c r="M811">
        <f t="shared" si="64"/>
        <v>339889</v>
      </c>
    </row>
    <row r="812" spans="1:13" ht="13.2" x14ac:dyDescent="0.25">
      <c r="A812" s="1" t="s">
        <v>8</v>
      </c>
      <c r="B812" s="1" t="s">
        <v>21</v>
      </c>
      <c r="C812" s="1" t="s">
        <v>10</v>
      </c>
      <c r="D812" s="1" t="s">
        <v>11</v>
      </c>
      <c r="E812" s="1" t="s">
        <v>12</v>
      </c>
      <c r="F812" s="1">
        <v>90</v>
      </c>
      <c r="G812" s="1">
        <v>93</v>
      </c>
      <c r="H812" s="1">
        <v>92</v>
      </c>
      <c r="I812">
        <f t="shared" si="60"/>
        <v>275</v>
      </c>
      <c r="J812">
        <f t="shared" si="61"/>
        <v>0</v>
      </c>
      <c r="K812">
        <f t="shared" si="62"/>
        <v>34</v>
      </c>
      <c r="L812">
        <f t="shared" si="63"/>
        <v>34</v>
      </c>
      <c r="M812">
        <f t="shared" si="64"/>
        <v>1156</v>
      </c>
    </row>
    <row r="813" spans="1:13" ht="13.2" x14ac:dyDescent="0.25">
      <c r="A813" s="1" t="s">
        <v>8</v>
      </c>
      <c r="B813" s="1" t="s">
        <v>18</v>
      </c>
      <c r="C813" s="1" t="s">
        <v>20</v>
      </c>
      <c r="D813" s="1" t="s">
        <v>11</v>
      </c>
      <c r="E813" s="1" t="s">
        <v>17</v>
      </c>
      <c r="F813" s="1">
        <v>73</v>
      </c>
      <c r="G813" s="1">
        <v>83</v>
      </c>
      <c r="H813" s="1">
        <v>89</v>
      </c>
      <c r="I813">
        <f t="shared" si="60"/>
        <v>245</v>
      </c>
      <c r="J813">
        <f t="shared" si="61"/>
        <v>1</v>
      </c>
      <c r="K813">
        <f t="shared" si="62"/>
        <v>112</v>
      </c>
      <c r="L813">
        <f t="shared" si="63"/>
        <v>111</v>
      </c>
      <c r="M813">
        <f t="shared" si="64"/>
        <v>12321</v>
      </c>
    </row>
    <row r="814" spans="1:13" ht="13.2" x14ac:dyDescent="0.25">
      <c r="A814" s="1" t="s">
        <v>8</v>
      </c>
      <c r="B814" s="1" t="s">
        <v>9</v>
      </c>
      <c r="C814" s="1" t="s">
        <v>22</v>
      </c>
      <c r="D814" s="1" t="s">
        <v>11</v>
      </c>
      <c r="E814" s="1" t="s">
        <v>17</v>
      </c>
      <c r="F814" s="1">
        <v>66</v>
      </c>
      <c r="G814" s="1">
        <v>72</v>
      </c>
      <c r="H814" s="1">
        <v>69</v>
      </c>
      <c r="I814">
        <f t="shared" si="60"/>
        <v>207</v>
      </c>
      <c r="J814">
        <f t="shared" si="61"/>
        <v>1</v>
      </c>
      <c r="K814">
        <f t="shared" si="62"/>
        <v>268</v>
      </c>
      <c r="L814">
        <f t="shared" si="63"/>
        <v>267</v>
      </c>
      <c r="M814">
        <f t="shared" si="64"/>
        <v>71289</v>
      </c>
    </row>
    <row r="815" spans="1:13" ht="13.2" x14ac:dyDescent="0.25">
      <c r="A815" s="1" t="s">
        <v>19</v>
      </c>
      <c r="B815" s="1" t="s">
        <v>18</v>
      </c>
      <c r="C815" s="1" t="s">
        <v>16</v>
      </c>
      <c r="D815" s="1" t="s">
        <v>11</v>
      </c>
      <c r="E815" s="1" t="s">
        <v>12</v>
      </c>
      <c r="F815" s="1">
        <v>73</v>
      </c>
      <c r="G815" s="1">
        <v>69</v>
      </c>
      <c r="H815" s="1">
        <v>64</v>
      </c>
      <c r="I815">
        <f t="shared" si="60"/>
        <v>206</v>
      </c>
      <c r="J815">
        <f t="shared" si="61"/>
        <v>0</v>
      </c>
      <c r="K815">
        <f t="shared" si="62"/>
        <v>272.5</v>
      </c>
      <c r="L815">
        <f t="shared" si="63"/>
        <v>272.5</v>
      </c>
      <c r="M815">
        <f t="shared" si="64"/>
        <v>74256.25</v>
      </c>
    </row>
    <row r="816" spans="1:13" ht="13.2" x14ac:dyDescent="0.25">
      <c r="A816" s="1" t="s">
        <v>8</v>
      </c>
      <c r="B816" s="1" t="s">
        <v>13</v>
      </c>
      <c r="C816" s="1" t="s">
        <v>10</v>
      </c>
      <c r="D816" s="1" t="s">
        <v>23</v>
      </c>
      <c r="E816" s="1" t="s">
        <v>12</v>
      </c>
      <c r="F816" s="1">
        <v>33</v>
      </c>
      <c r="G816" s="1">
        <v>53</v>
      </c>
      <c r="H816" s="1">
        <v>48</v>
      </c>
      <c r="I816">
        <f t="shared" si="60"/>
        <v>134</v>
      </c>
      <c r="J816">
        <f t="shared" si="61"/>
        <v>0</v>
      </c>
      <c r="K816">
        <f t="shared" si="62"/>
        <v>567</v>
      </c>
      <c r="L816">
        <f t="shared" si="63"/>
        <v>567</v>
      </c>
      <c r="M816">
        <f t="shared" si="64"/>
        <v>321489</v>
      </c>
    </row>
    <row r="817" spans="1:13" ht="13.2" x14ac:dyDescent="0.25">
      <c r="A817" s="1" t="s">
        <v>8</v>
      </c>
      <c r="B817" s="1" t="s">
        <v>21</v>
      </c>
      <c r="C817" s="1" t="s">
        <v>10</v>
      </c>
      <c r="D817" s="1" t="s">
        <v>23</v>
      </c>
      <c r="E817" s="1" t="s">
        <v>12</v>
      </c>
      <c r="F817" s="1">
        <v>74</v>
      </c>
      <c r="G817" s="1">
        <v>82</v>
      </c>
      <c r="H817" s="1">
        <v>82</v>
      </c>
      <c r="I817">
        <f t="shared" si="60"/>
        <v>238</v>
      </c>
      <c r="J817">
        <f t="shared" si="61"/>
        <v>0</v>
      </c>
      <c r="K817">
        <f t="shared" si="62"/>
        <v>140.5</v>
      </c>
      <c r="L817">
        <f t="shared" si="63"/>
        <v>140.5</v>
      </c>
      <c r="M817">
        <f t="shared" si="64"/>
        <v>19740.25</v>
      </c>
    </row>
    <row r="818" spans="1:13" ht="13.2" x14ac:dyDescent="0.25">
      <c r="A818" s="1" t="s">
        <v>19</v>
      </c>
      <c r="B818" s="1" t="s">
        <v>21</v>
      </c>
      <c r="C818" s="1" t="s">
        <v>20</v>
      </c>
      <c r="D818" s="1" t="s">
        <v>11</v>
      </c>
      <c r="E818" s="1" t="s">
        <v>17</v>
      </c>
      <c r="F818" s="1">
        <v>86</v>
      </c>
      <c r="G818" s="1">
        <v>71</v>
      </c>
      <c r="H818" s="1">
        <v>75</v>
      </c>
      <c r="I818">
        <f t="shared" si="60"/>
        <v>232</v>
      </c>
      <c r="J818">
        <f t="shared" si="61"/>
        <v>1</v>
      </c>
      <c r="K818">
        <f t="shared" si="62"/>
        <v>165.5</v>
      </c>
      <c r="L818">
        <f t="shared" si="63"/>
        <v>164.5</v>
      </c>
      <c r="M818">
        <f t="shared" si="64"/>
        <v>27060.25</v>
      </c>
    </row>
    <row r="819" spans="1:13" ht="13.2" x14ac:dyDescent="0.25">
      <c r="A819" s="1" t="s">
        <v>8</v>
      </c>
      <c r="B819" s="1" t="s">
        <v>9</v>
      </c>
      <c r="C819" s="1" t="s">
        <v>16</v>
      </c>
      <c r="D819" s="1" t="s">
        <v>23</v>
      </c>
      <c r="E819" s="1" t="s">
        <v>17</v>
      </c>
      <c r="F819" s="1">
        <v>86</v>
      </c>
      <c r="G819" s="1">
        <v>89</v>
      </c>
      <c r="H819" s="1">
        <v>86</v>
      </c>
      <c r="I819">
        <f t="shared" si="60"/>
        <v>261</v>
      </c>
      <c r="J819">
        <f t="shared" si="61"/>
        <v>1</v>
      </c>
      <c r="K819">
        <f t="shared" si="62"/>
        <v>60.5</v>
      </c>
      <c r="L819">
        <f t="shared" si="63"/>
        <v>59.5</v>
      </c>
      <c r="M819">
        <f t="shared" si="64"/>
        <v>3540.25</v>
      </c>
    </row>
    <row r="820" spans="1:13" ht="13.2" x14ac:dyDescent="0.25">
      <c r="A820" s="1" t="s">
        <v>19</v>
      </c>
      <c r="B820" s="1" t="s">
        <v>15</v>
      </c>
      <c r="C820" s="1" t="s">
        <v>16</v>
      </c>
      <c r="D820" s="1" t="s">
        <v>11</v>
      </c>
      <c r="E820" s="1" t="s">
        <v>12</v>
      </c>
      <c r="F820" s="1">
        <v>72</v>
      </c>
      <c r="G820" s="1">
        <v>64</v>
      </c>
      <c r="H820" s="1">
        <v>57</v>
      </c>
      <c r="I820">
        <f t="shared" si="60"/>
        <v>193</v>
      </c>
      <c r="J820">
        <f t="shared" si="61"/>
        <v>0</v>
      </c>
      <c r="K820">
        <f t="shared" si="62"/>
        <v>344</v>
      </c>
      <c r="L820">
        <f t="shared" si="63"/>
        <v>344</v>
      </c>
      <c r="M820">
        <f t="shared" si="64"/>
        <v>118336</v>
      </c>
    </row>
    <row r="821" spans="1:13" ht="13.2" x14ac:dyDescent="0.25">
      <c r="A821" s="1" t="s">
        <v>19</v>
      </c>
      <c r="B821" s="1" t="s">
        <v>9</v>
      </c>
      <c r="C821" s="1" t="s">
        <v>10</v>
      </c>
      <c r="D821" s="1" t="s">
        <v>11</v>
      </c>
      <c r="E821" s="1" t="s">
        <v>12</v>
      </c>
      <c r="F821" s="1">
        <v>90</v>
      </c>
      <c r="G821" s="1">
        <v>81</v>
      </c>
      <c r="H821" s="1">
        <v>75</v>
      </c>
      <c r="I821">
        <f t="shared" si="60"/>
        <v>246</v>
      </c>
      <c r="J821">
        <f t="shared" si="61"/>
        <v>0</v>
      </c>
      <c r="K821">
        <f t="shared" si="62"/>
        <v>109.5</v>
      </c>
      <c r="L821">
        <f t="shared" si="63"/>
        <v>109.5</v>
      </c>
      <c r="M821">
        <f t="shared" si="64"/>
        <v>11990.25</v>
      </c>
    </row>
    <row r="822" spans="1:13" ht="13.2" x14ac:dyDescent="0.25">
      <c r="A822" s="1" t="s">
        <v>19</v>
      </c>
      <c r="B822" s="1" t="s">
        <v>18</v>
      </c>
      <c r="C822" s="1" t="s">
        <v>16</v>
      </c>
      <c r="D822" s="1" t="s">
        <v>11</v>
      </c>
      <c r="E822" s="1" t="s">
        <v>17</v>
      </c>
      <c r="F822" s="1">
        <v>96</v>
      </c>
      <c r="G822" s="1">
        <v>91</v>
      </c>
      <c r="H822" s="1">
        <v>85</v>
      </c>
      <c r="I822">
        <f t="shared" si="60"/>
        <v>272</v>
      </c>
      <c r="J822">
        <f t="shared" si="61"/>
        <v>1</v>
      </c>
      <c r="K822">
        <f t="shared" si="62"/>
        <v>39</v>
      </c>
      <c r="L822">
        <f t="shared" si="63"/>
        <v>38</v>
      </c>
      <c r="M822">
        <f t="shared" si="64"/>
        <v>1444</v>
      </c>
    </row>
    <row r="823" spans="1:13" ht="13.2" x14ac:dyDescent="0.25">
      <c r="A823" s="1" t="s">
        <v>19</v>
      </c>
      <c r="B823" s="1" t="s">
        <v>18</v>
      </c>
      <c r="C823" s="1" t="s">
        <v>20</v>
      </c>
      <c r="D823" s="1" t="s">
        <v>11</v>
      </c>
      <c r="E823" s="1" t="s">
        <v>17</v>
      </c>
      <c r="F823" s="1">
        <v>63</v>
      </c>
      <c r="G823" s="1">
        <v>62</v>
      </c>
      <c r="H823" s="1">
        <v>66</v>
      </c>
      <c r="I823">
        <f t="shared" si="60"/>
        <v>191</v>
      </c>
      <c r="J823">
        <f t="shared" si="61"/>
        <v>1</v>
      </c>
      <c r="K823">
        <f t="shared" si="62"/>
        <v>353.5</v>
      </c>
      <c r="L823">
        <f t="shared" si="63"/>
        <v>352.5</v>
      </c>
      <c r="M823">
        <f t="shared" si="64"/>
        <v>124256.25</v>
      </c>
    </row>
    <row r="824" spans="1:13" ht="13.2" x14ac:dyDescent="0.25">
      <c r="A824" s="1" t="s">
        <v>8</v>
      </c>
      <c r="B824" s="1" t="s">
        <v>18</v>
      </c>
      <c r="C824" s="1" t="s">
        <v>14</v>
      </c>
      <c r="D824" s="1" t="s">
        <v>23</v>
      </c>
      <c r="E824" s="1" t="s">
        <v>17</v>
      </c>
      <c r="F824" s="1">
        <v>42</v>
      </c>
      <c r="G824" s="1">
        <v>67</v>
      </c>
      <c r="H824" s="1">
        <v>70</v>
      </c>
      <c r="I824">
        <f t="shared" si="60"/>
        <v>179</v>
      </c>
      <c r="J824">
        <f t="shared" si="61"/>
        <v>1</v>
      </c>
      <c r="K824" t="e">
        <f t="shared" si="62"/>
        <v>#N/A</v>
      </c>
      <c r="L824" t="e">
        <f t="shared" si="63"/>
        <v>#N/A</v>
      </c>
      <c r="M824" t="e">
        <f t="shared" si="64"/>
        <v>#N/A</v>
      </c>
    </row>
    <row r="825" spans="1:13" ht="13.2" x14ac:dyDescent="0.25">
      <c r="A825" s="1" t="s">
        <v>19</v>
      </c>
      <c r="B825" s="1" t="s">
        <v>18</v>
      </c>
      <c r="C825" s="1" t="s">
        <v>22</v>
      </c>
      <c r="D825" s="1" t="s">
        <v>11</v>
      </c>
      <c r="E825" s="1" t="s">
        <v>12</v>
      </c>
      <c r="F825" s="1">
        <v>56</v>
      </c>
      <c r="G825" s="1">
        <v>61</v>
      </c>
      <c r="H825" s="1">
        <v>51</v>
      </c>
      <c r="I825">
        <f t="shared" si="60"/>
        <v>168</v>
      </c>
      <c r="J825">
        <f t="shared" si="61"/>
        <v>0</v>
      </c>
      <c r="K825">
        <f t="shared" si="62"/>
        <v>463</v>
      </c>
      <c r="L825">
        <f t="shared" si="63"/>
        <v>463</v>
      </c>
      <c r="M825">
        <f t="shared" si="64"/>
        <v>214369</v>
      </c>
    </row>
    <row r="826" spans="1:13" ht="13.2" x14ac:dyDescent="0.25">
      <c r="A826" s="1" t="s">
        <v>8</v>
      </c>
      <c r="B826" s="1" t="s">
        <v>13</v>
      </c>
      <c r="C826" s="1" t="s">
        <v>22</v>
      </c>
      <c r="D826" s="1" t="s">
        <v>23</v>
      </c>
      <c r="E826" s="1" t="s">
        <v>12</v>
      </c>
      <c r="F826" s="1">
        <v>59</v>
      </c>
      <c r="G826" s="1">
        <v>76</v>
      </c>
      <c r="H826" s="1">
        <v>75</v>
      </c>
      <c r="I826">
        <f t="shared" si="60"/>
        <v>210</v>
      </c>
      <c r="J826">
        <f t="shared" si="61"/>
        <v>0</v>
      </c>
      <c r="K826">
        <f t="shared" si="62"/>
        <v>251</v>
      </c>
      <c r="L826">
        <f t="shared" si="63"/>
        <v>251</v>
      </c>
      <c r="M826">
        <f t="shared" si="64"/>
        <v>63001</v>
      </c>
    </row>
    <row r="827" spans="1:13" ht="13.2" x14ac:dyDescent="0.25">
      <c r="A827" s="1" t="s">
        <v>8</v>
      </c>
      <c r="B827" s="1" t="s">
        <v>18</v>
      </c>
      <c r="C827" s="1" t="s">
        <v>14</v>
      </c>
      <c r="D827" s="1" t="s">
        <v>23</v>
      </c>
      <c r="E827" s="1" t="s">
        <v>12</v>
      </c>
      <c r="F827" s="1">
        <v>66</v>
      </c>
      <c r="G827" s="1">
        <v>72</v>
      </c>
      <c r="H827" s="1">
        <v>77</v>
      </c>
      <c r="I827">
        <f t="shared" si="60"/>
        <v>215</v>
      </c>
      <c r="J827">
        <f t="shared" si="61"/>
        <v>0</v>
      </c>
      <c r="K827">
        <f t="shared" si="62"/>
        <v>235.5</v>
      </c>
      <c r="L827">
        <f t="shared" si="63"/>
        <v>235.5</v>
      </c>
      <c r="M827">
        <f t="shared" si="64"/>
        <v>55460.25</v>
      </c>
    </row>
    <row r="828" spans="1:13" ht="13.2" x14ac:dyDescent="0.25">
      <c r="A828" s="1" t="s">
        <v>19</v>
      </c>
      <c r="B828" s="1" t="s">
        <v>21</v>
      </c>
      <c r="C828" s="1" t="s">
        <v>14</v>
      </c>
      <c r="D828" s="1" t="s">
        <v>23</v>
      </c>
      <c r="E828" s="1" t="s">
        <v>12</v>
      </c>
      <c r="F828" s="1">
        <v>63</v>
      </c>
      <c r="G828" s="1">
        <v>65</v>
      </c>
      <c r="H828" s="1">
        <v>64</v>
      </c>
      <c r="I828">
        <f t="shared" si="60"/>
        <v>192</v>
      </c>
      <c r="J828">
        <f t="shared" si="61"/>
        <v>0</v>
      </c>
      <c r="K828">
        <f t="shared" si="62"/>
        <v>349</v>
      </c>
      <c r="L828">
        <f t="shared" si="63"/>
        <v>349</v>
      </c>
      <c r="M828">
        <f t="shared" si="64"/>
        <v>121801</v>
      </c>
    </row>
    <row r="829" spans="1:13" ht="13.2" x14ac:dyDescent="0.25">
      <c r="A829" s="1" t="s">
        <v>19</v>
      </c>
      <c r="B829" s="1" t="s">
        <v>13</v>
      </c>
      <c r="C829" s="1" t="s">
        <v>22</v>
      </c>
      <c r="D829" s="1" t="s">
        <v>23</v>
      </c>
      <c r="E829" s="1" t="s">
        <v>12</v>
      </c>
      <c r="F829" s="1">
        <v>46</v>
      </c>
      <c r="G829" s="1">
        <v>48</v>
      </c>
      <c r="H829" s="1">
        <v>45</v>
      </c>
      <c r="I829">
        <f t="shared" si="60"/>
        <v>139</v>
      </c>
      <c r="J829">
        <f t="shared" si="61"/>
        <v>0</v>
      </c>
      <c r="K829">
        <f t="shared" si="62"/>
        <v>552.5</v>
      </c>
      <c r="L829">
        <f t="shared" si="63"/>
        <v>552.5</v>
      </c>
      <c r="M829">
        <f t="shared" si="64"/>
        <v>305256.25</v>
      </c>
    </row>
    <row r="830" spans="1:13" ht="13.2" x14ac:dyDescent="0.25">
      <c r="A830" s="1" t="s">
        <v>19</v>
      </c>
      <c r="B830" s="1" t="s">
        <v>15</v>
      </c>
      <c r="C830" s="1" t="s">
        <v>10</v>
      </c>
      <c r="D830" s="1" t="s">
        <v>11</v>
      </c>
      <c r="E830" s="1" t="s">
        <v>12</v>
      </c>
      <c r="F830" s="1">
        <v>52</v>
      </c>
      <c r="G830" s="1">
        <v>51</v>
      </c>
      <c r="H830" s="1">
        <v>47</v>
      </c>
      <c r="I830">
        <f t="shared" si="60"/>
        <v>150</v>
      </c>
      <c r="J830">
        <f t="shared" si="61"/>
        <v>0</v>
      </c>
      <c r="K830">
        <f t="shared" si="62"/>
        <v>526</v>
      </c>
      <c r="L830">
        <f t="shared" si="63"/>
        <v>526</v>
      </c>
      <c r="M830">
        <f t="shared" si="64"/>
        <v>276676</v>
      </c>
    </row>
    <row r="831" spans="1:13" ht="13.2" x14ac:dyDescent="0.25">
      <c r="A831" s="1" t="s">
        <v>19</v>
      </c>
      <c r="B831" s="1" t="s">
        <v>13</v>
      </c>
      <c r="C831" s="1" t="s">
        <v>24</v>
      </c>
      <c r="D831" s="1" t="s">
        <v>23</v>
      </c>
      <c r="E831" s="1" t="s">
        <v>12</v>
      </c>
      <c r="F831" s="1">
        <v>40</v>
      </c>
      <c r="G831" s="1">
        <v>39</v>
      </c>
      <c r="H831" s="1">
        <v>39</v>
      </c>
      <c r="I831">
        <f t="shared" si="60"/>
        <v>118</v>
      </c>
      <c r="J831">
        <f t="shared" si="61"/>
        <v>0</v>
      </c>
      <c r="K831">
        <f t="shared" si="62"/>
        <v>584</v>
      </c>
      <c r="L831">
        <f t="shared" si="63"/>
        <v>584</v>
      </c>
      <c r="M831">
        <f t="shared" si="64"/>
        <v>341056</v>
      </c>
    </row>
    <row r="832" spans="1:13" ht="13.2" x14ac:dyDescent="0.25">
      <c r="A832" s="1" t="s">
        <v>8</v>
      </c>
      <c r="B832" s="1" t="s">
        <v>18</v>
      </c>
      <c r="C832" s="1" t="s">
        <v>22</v>
      </c>
      <c r="D832" s="1" t="s">
        <v>11</v>
      </c>
      <c r="E832" s="1" t="s">
        <v>12</v>
      </c>
      <c r="F832" s="1">
        <v>42</v>
      </c>
      <c r="G832" s="1">
        <v>52</v>
      </c>
      <c r="H832" s="1">
        <v>55</v>
      </c>
      <c r="I832">
        <f t="shared" si="60"/>
        <v>149</v>
      </c>
      <c r="J832">
        <f t="shared" si="61"/>
        <v>0</v>
      </c>
      <c r="K832">
        <f t="shared" si="62"/>
        <v>527.5</v>
      </c>
      <c r="L832">
        <f t="shared" si="63"/>
        <v>527.5</v>
      </c>
      <c r="M832">
        <f t="shared" si="64"/>
        <v>278256.25</v>
      </c>
    </row>
    <row r="833" spans="1:13" ht="13.2" x14ac:dyDescent="0.25">
      <c r="A833" s="1" t="s">
        <v>19</v>
      </c>
      <c r="B833" s="1" t="s">
        <v>9</v>
      </c>
      <c r="C833" s="1" t="s">
        <v>22</v>
      </c>
      <c r="D833" s="1" t="s">
        <v>23</v>
      </c>
      <c r="E833" s="1" t="s">
        <v>12</v>
      </c>
      <c r="F833" s="1">
        <v>49</v>
      </c>
      <c r="G833" s="1">
        <v>46</v>
      </c>
      <c r="H833" s="1">
        <v>49</v>
      </c>
      <c r="I833">
        <f t="shared" si="60"/>
        <v>144</v>
      </c>
      <c r="J833">
        <f t="shared" si="61"/>
        <v>0</v>
      </c>
      <c r="K833">
        <f t="shared" si="62"/>
        <v>540</v>
      </c>
      <c r="L833">
        <f t="shared" si="63"/>
        <v>540</v>
      </c>
      <c r="M833">
        <f t="shared" si="64"/>
        <v>291600</v>
      </c>
    </row>
    <row r="834" spans="1:13" ht="13.2" x14ac:dyDescent="0.25">
      <c r="A834" s="1" t="s">
        <v>8</v>
      </c>
      <c r="B834" s="1" t="s">
        <v>9</v>
      </c>
      <c r="C834" s="1" t="s">
        <v>14</v>
      </c>
      <c r="D834" s="1" t="s">
        <v>11</v>
      </c>
      <c r="E834" s="1" t="s">
        <v>12</v>
      </c>
      <c r="F834" s="1">
        <v>68</v>
      </c>
      <c r="G834" s="1">
        <v>84</v>
      </c>
      <c r="H834" s="1">
        <v>76</v>
      </c>
      <c r="I834">
        <f t="shared" si="60"/>
        <v>228</v>
      </c>
      <c r="J834">
        <f t="shared" si="61"/>
        <v>0</v>
      </c>
      <c r="K834">
        <f t="shared" si="62"/>
        <v>176.5</v>
      </c>
      <c r="L834">
        <f t="shared" si="63"/>
        <v>176.5</v>
      </c>
      <c r="M834">
        <f t="shared" si="64"/>
        <v>31152.25</v>
      </c>
    </row>
    <row r="835" spans="1:13" ht="13.2" x14ac:dyDescent="0.25">
      <c r="A835" s="1" t="s">
        <v>8</v>
      </c>
      <c r="B835" s="1" t="s">
        <v>13</v>
      </c>
      <c r="C835" s="1" t="s">
        <v>14</v>
      </c>
      <c r="D835" s="1" t="s">
        <v>11</v>
      </c>
      <c r="E835" s="1" t="s">
        <v>17</v>
      </c>
      <c r="F835" s="1">
        <v>68</v>
      </c>
      <c r="G835" s="1">
        <v>86</v>
      </c>
      <c r="H835" s="1">
        <v>86</v>
      </c>
      <c r="I835">
        <f t="shared" ref="I835:I898" si="65">SUM(F835:H835)</f>
        <v>240</v>
      </c>
      <c r="J835">
        <f t="shared" ref="J835:J898" si="66">IF(E835="completed", 1, IF(E835="none", 0, ""))</f>
        <v>1</v>
      </c>
      <c r="K835">
        <f t="shared" ref="K835:K898" si="67">_xlfn.RANK.AVG(I835, I$2:I$601, 0)</f>
        <v>129.5</v>
      </c>
      <c r="L835">
        <f t="shared" ref="L835:L898" si="68">K835-J835</f>
        <v>128.5</v>
      </c>
      <c r="M835">
        <f t="shared" ref="M835:M898" si="69">L835^2</f>
        <v>16512.25</v>
      </c>
    </row>
    <row r="836" spans="1:13" ht="13.2" x14ac:dyDescent="0.25">
      <c r="A836" s="1" t="s">
        <v>8</v>
      </c>
      <c r="B836" s="1" t="s">
        <v>13</v>
      </c>
      <c r="C836" s="1" t="s">
        <v>16</v>
      </c>
      <c r="D836" s="1" t="s">
        <v>11</v>
      </c>
      <c r="E836" s="1" t="s">
        <v>12</v>
      </c>
      <c r="F836" s="1">
        <v>54</v>
      </c>
      <c r="G836" s="1">
        <v>70</v>
      </c>
      <c r="H836" s="1">
        <v>67</v>
      </c>
      <c r="I836">
        <f t="shared" si="65"/>
        <v>191</v>
      </c>
      <c r="J836">
        <f t="shared" si="66"/>
        <v>0</v>
      </c>
      <c r="K836">
        <f t="shared" si="67"/>
        <v>353.5</v>
      </c>
      <c r="L836">
        <f t="shared" si="68"/>
        <v>353.5</v>
      </c>
      <c r="M836">
        <f t="shared" si="69"/>
        <v>124962.25</v>
      </c>
    </row>
    <row r="837" spans="1:13" ht="13.2" x14ac:dyDescent="0.25">
      <c r="A837" s="1" t="s">
        <v>8</v>
      </c>
      <c r="B837" s="1" t="s">
        <v>13</v>
      </c>
      <c r="C837" s="1" t="s">
        <v>20</v>
      </c>
      <c r="D837" s="1" t="s">
        <v>11</v>
      </c>
      <c r="E837" s="1" t="s">
        <v>12</v>
      </c>
      <c r="F837" s="1">
        <v>65</v>
      </c>
      <c r="G837" s="1">
        <v>78</v>
      </c>
      <c r="H837" s="1">
        <v>77</v>
      </c>
      <c r="I837">
        <f t="shared" si="65"/>
        <v>220</v>
      </c>
      <c r="J837">
        <f t="shared" si="66"/>
        <v>0</v>
      </c>
      <c r="K837">
        <f t="shared" si="67"/>
        <v>213.5</v>
      </c>
      <c r="L837">
        <f t="shared" si="68"/>
        <v>213.5</v>
      </c>
      <c r="M837">
        <f t="shared" si="69"/>
        <v>45582.25</v>
      </c>
    </row>
    <row r="838" spans="1:13" ht="13.2" x14ac:dyDescent="0.25">
      <c r="A838" s="1" t="s">
        <v>19</v>
      </c>
      <c r="B838" s="1" t="s">
        <v>13</v>
      </c>
      <c r="C838" s="1" t="s">
        <v>16</v>
      </c>
      <c r="D838" s="1" t="s">
        <v>11</v>
      </c>
      <c r="E838" s="1" t="s">
        <v>17</v>
      </c>
      <c r="F838" s="1">
        <v>99</v>
      </c>
      <c r="G838" s="1">
        <v>91</v>
      </c>
      <c r="H838" s="1">
        <v>94</v>
      </c>
      <c r="I838">
        <f t="shared" si="65"/>
        <v>284</v>
      </c>
      <c r="J838">
        <f t="shared" si="66"/>
        <v>1</v>
      </c>
      <c r="K838">
        <f t="shared" si="67"/>
        <v>22</v>
      </c>
      <c r="L838">
        <f t="shared" si="68"/>
        <v>21</v>
      </c>
      <c r="M838">
        <f t="shared" si="69"/>
        <v>441</v>
      </c>
    </row>
    <row r="839" spans="1:13" ht="13.2" x14ac:dyDescent="0.25">
      <c r="A839" s="1" t="s">
        <v>8</v>
      </c>
      <c r="B839" s="1" t="s">
        <v>9</v>
      </c>
      <c r="C839" s="1" t="s">
        <v>14</v>
      </c>
      <c r="D839" s="1" t="s">
        <v>23</v>
      </c>
      <c r="E839" s="1" t="s">
        <v>17</v>
      </c>
      <c r="F839" s="1">
        <v>52</v>
      </c>
      <c r="G839" s="1">
        <v>68</v>
      </c>
      <c r="H839" s="1">
        <v>68</v>
      </c>
      <c r="I839">
        <f t="shared" si="65"/>
        <v>188</v>
      </c>
      <c r="J839">
        <f t="shared" si="66"/>
        <v>1</v>
      </c>
      <c r="K839">
        <f t="shared" si="67"/>
        <v>373</v>
      </c>
      <c r="L839">
        <f t="shared" si="68"/>
        <v>372</v>
      </c>
      <c r="M839">
        <f t="shared" si="69"/>
        <v>138384</v>
      </c>
    </row>
    <row r="840" spans="1:13" ht="13.2" x14ac:dyDescent="0.25">
      <c r="A840" s="1" t="s">
        <v>19</v>
      </c>
      <c r="B840" s="1" t="s">
        <v>13</v>
      </c>
      <c r="C840" s="1" t="s">
        <v>14</v>
      </c>
      <c r="D840" s="1" t="s">
        <v>11</v>
      </c>
      <c r="E840" s="1" t="s">
        <v>17</v>
      </c>
      <c r="F840" s="1">
        <v>88</v>
      </c>
      <c r="G840" s="1">
        <v>76</v>
      </c>
      <c r="H840" s="1">
        <v>79</v>
      </c>
      <c r="I840">
        <f t="shared" si="65"/>
        <v>243</v>
      </c>
      <c r="J840">
        <f t="shared" si="66"/>
        <v>1</v>
      </c>
      <c r="K840">
        <f t="shared" si="67"/>
        <v>119.5</v>
      </c>
      <c r="L840">
        <f t="shared" si="68"/>
        <v>118.5</v>
      </c>
      <c r="M840">
        <f t="shared" si="69"/>
        <v>14042.25</v>
      </c>
    </row>
    <row r="841" spans="1:13" ht="13.2" x14ac:dyDescent="0.25">
      <c r="A841" s="1" t="s">
        <v>19</v>
      </c>
      <c r="B841" s="1" t="s">
        <v>9</v>
      </c>
      <c r="C841" s="1" t="s">
        <v>22</v>
      </c>
      <c r="D841" s="1" t="s">
        <v>23</v>
      </c>
      <c r="E841" s="1" t="s">
        <v>12</v>
      </c>
      <c r="F841" s="1">
        <v>39</v>
      </c>
      <c r="G841" s="1">
        <v>41</v>
      </c>
      <c r="H841" s="1">
        <v>32</v>
      </c>
      <c r="I841">
        <f t="shared" si="65"/>
        <v>112</v>
      </c>
      <c r="J841">
        <f t="shared" si="66"/>
        <v>0</v>
      </c>
      <c r="K841" t="e">
        <f t="shared" si="67"/>
        <v>#N/A</v>
      </c>
      <c r="L841" t="e">
        <f t="shared" si="68"/>
        <v>#N/A</v>
      </c>
      <c r="M841" t="e">
        <f t="shared" si="69"/>
        <v>#N/A</v>
      </c>
    </row>
    <row r="842" spans="1:13" ht="13.2" x14ac:dyDescent="0.25">
      <c r="A842" s="1" t="s">
        <v>8</v>
      </c>
      <c r="B842" s="1" t="s">
        <v>21</v>
      </c>
      <c r="C842" s="1" t="s">
        <v>20</v>
      </c>
      <c r="D842" s="1" t="s">
        <v>11</v>
      </c>
      <c r="E842" s="1" t="s">
        <v>12</v>
      </c>
      <c r="F842" s="1">
        <v>66</v>
      </c>
      <c r="G842" s="1">
        <v>68</v>
      </c>
      <c r="H842" s="1">
        <v>67</v>
      </c>
      <c r="I842">
        <f t="shared" si="65"/>
        <v>201</v>
      </c>
      <c r="J842">
        <f t="shared" si="66"/>
        <v>0</v>
      </c>
      <c r="K842">
        <f t="shared" si="67"/>
        <v>295.5</v>
      </c>
      <c r="L842">
        <f t="shared" si="68"/>
        <v>295.5</v>
      </c>
      <c r="M842">
        <f t="shared" si="69"/>
        <v>87320.25</v>
      </c>
    </row>
    <row r="843" spans="1:13" ht="13.2" x14ac:dyDescent="0.25">
      <c r="A843" s="1" t="s">
        <v>8</v>
      </c>
      <c r="B843" s="1" t="s">
        <v>13</v>
      </c>
      <c r="C843" s="1" t="s">
        <v>20</v>
      </c>
      <c r="D843" s="1" t="s">
        <v>11</v>
      </c>
      <c r="E843" s="1" t="s">
        <v>17</v>
      </c>
      <c r="F843" s="1">
        <v>72</v>
      </c>
      <c r="G843" s="1">
        <v>80</v>
      </c>
      <c r="H843" s="1">
        <v>86</v>
      </c>
      <c r="I843">
        <f t="shared" si="65"/>
        <v>238</v>
      </c>
      <c r="J843">
        <f t="shared" si="66"/>
        <v>1</v>
      </c>
      <c r="K843">
        <f t="shared" si="67"/>
        <v>140.5</v>
      </c>
      <c r="L843">
        <f t="shared" si="68"/>
        <v>139.5</v>
      </c>
      <c r="M843">
        <f t="shared" si="69"/>
        <v>19460.25</v>
      </c>
    </row>
    <row r="844" spans="1:13" ht="13.2" x14ac:dyDescent="0.25">
      <c r="A844" s="1" t="s">
        <v>19</v>
      </c>
      <c r="B844" s="1" t="s">
        <v>9</v>
      </c>
      <c r="C844" s="1" t="s">
        <v>22</v>
      </c>
      <c r="D844" s="1" t="s">
        <v>11</v>
      </c>
      <c r="E844" s="1" t="s">
        <v>12</v>
      </c>
      <c r="F844" s="1">
        <v>53</v>
      </c>
      <c r="G844" s="1">
        <v>46</v>
      </c>
      <c r="H844" s="1">
        <v>45</v>
      </c>
      <c r="I844">
        <f t="shared" si="65"/>
        <v>144</v>
      </c>
      <c r="J844">
        <f t="shared" si="66"/>
        <v>0</v>
      </c>
      <c r="K844">
        <f t="shared" si="67"/>
        <v>540</v>
      </c>
      <c r="L844">
        <f t="shared" si="68"/>
        <v>540</v>
      </c>
      <c r="M844">
        <f t="shared" si="69"/>
        <v>291600</v>
      </c>
    </row>
    <row r="845" spans="1:13" ht="13.2" x14ac:dyDescent="0.25">
      <c r="A845" s="1" t="s">
        <v>8</v>
      </c>
      <c r="B845" s="1" t="s">
        <v>15</v>
      </c>
      <c r="C845" s="1" t="s">
        <v>20</v>
      </c>
      <c r="D845" s="1" t="s">
        <v>11</v>
      </c>
      <c r="E845" s="1" t="s">
        <v>17</v>
      </c>
      <c r="F845" s="1">
        <v>84</v>
      </c>
      <c r="G845" s="1">
        <v>95</v>
      </c>
      <c r="H845" s="1">
        <v>95</v>
      </c>
      <c r="I845">
        <f t="shared" si="65"/>
        <v>274</v>
      </c>
      <c r="J845">
        <f t="shared" si="66"/>
        <v>1</v>
      </c>
      <c r="K845">
        <f t="shared" si="67"/>
        <v>35</v>
      </c>
      <c r="L845">
        <f t="shared" si="68"/>
        <v>34</v>
      </c>
      <c r="M845">
        <f t="shared" si="69"/>
        <v>1156</v>
      </c>
    </row>
    <row r="846" spans="1:13" ht="13.2" x14ac:dyDescent="0.25">
      <c r="A846" s="1" t="s">
        <v>8</v>
      </c>
      <c r="B846" s="1" t="s">
        <v>13</v>
      </c>
      <c r="C846" s="1" t="s">
        <v>16</v>
      </c>
      <c r="D846" s="1" t="s">
        <v>23</v>
      </c>
      <c r="E846" s="1" t="s">
        <v>12</v>
      </c>
      <c r="F846" s="1">
        <v>52</v>
      </c>
      <c r="G846" s="1">
        <v>65</v>
      </c>
      <c r="H846" s="1">
        <v>67</v>
      </c>
      <c r="I846">
        <f t="shared" si="65"/>
        <v>184</v>
      </c>
      <c r="J846">
        <f t="shared" si="66"/>
        <v>0</v>
      </c>
      <c r="K846">
        <f t="shared" si="67"/>
        <v>393.5</v>
      </c>
      <c r="L846">
        <f t="shared" si="68"/>
        <v>393.5</v>
      </c>
      <c r="M846">
        <f t="shared" si="69"/>
        <v>154842.25</v>
      </c>
    </row>
    <row r="847" spans="1:13" ht="13.2" x14ac:dyDescent="0.25">
      <c r="A847" s="1" t="s">
        <v>8</v>
      </c>
      <c r="B847" s="1" t="s">
        <v>9</v>
      </c>
      <c r="C847" s="1" t="s">
        <v>22</v>
      </c>
      <c r="D847" s="1" t="s">
        <v>23</v>
      </c>
      <c r="E847" s="1" t="s">
        <v>12</v>
      </c>
      <c r="F847" s="1">
        <v>71</v>
      </c>
      <c r="G847" s="1">
        <v>82</v>
      </c>
      <c r="H847" s="1">
        <v>75</v>
      </c>
      <c r="I847">
        <f t="shared" si="65"/>
        <v>228</v>
      </c>
      <c r="J847">
        <f t="shared" si="66"/>
        <v>0</v>
      </c>
      <c r="K847">
        <f t="shared" si="67"/>
        <v>176.5</v>
      </c>
      <c r="L847">
        <f t="shared" si="68"/>
        <v>176.5</v>
      </c>
      <c r="M847">
        <f t="shared" si="69"/>
        <v>31152.25</v>
      </c>
    </row>
    <row r="848" spans="1:13" ht="13.2" x14ac:dyDescent="0.25">
      <c r="A848" s="1" t="s">
        <v>8</v>
      </c>
      <c r="B848" s="1" t="s">
        <v>15</v>
      </c>
      <c r="C848" s="1" t="s">
        <v>14</v>
      </c>
      <c r="D848" s="1" t="s">
        <v>11</v>
      </c>
      <c r="E848" s="1" t="s">
        <v>12</v>
      </c>
      <c r="F848" s="1">
        <v>80</v>
      </c>
      <c r="G848" s="1">
        <v>85</v>
      </c>
      <c r="H848" s="1">
        <v>83</v>
      </c>
      <c r="I848">
        <f t="shared" si="65"/>
        <v>248</v>
      </c>
      <c r="J848">
        <f t="shared" si="66"/>
        <v>0</v>
      </c>
      <c r="K848">
        <f t="shared" si="67"/>
        <v>103</v>
      </c>
      <c r="L848">
        <f t="shared" si="68"/>
        <v>103</v>
      </c>
      <c r="M848">
        <f t="shared" si="69"/>
        <v>10609</v>
      </c>
    </row>
    <row r="849" spans="1:13" ht="13.2" x14ac:dyDescent="0.25">
      <c r="A849" s="1" t="s">
        <v>8</v>
      </c>
      <c r="B849" s="1" t="s">
        <v>18</v>
      </c>
      <c r="C849" s="1" t="s">
        <v>20</v>
      </c>
      <c r="D849" s="1" t="s">
        <v>23</v>
      </c>
      <c r="E849" s="1" t="s">
        <v>12</v>
      </c>
      <c r="F849" s="1">
        <v>30</v>
      </c>
      <c r="G849" s="1">
        <v>51</v>
      </c>
      <c r="H849" s="1">
        <v>46</v>
      </c>
      <c r="I849">
        <f t="shared" si="65"/>
        <v>127</v>
      </c>
      <c r="J849">
        <f t="shared" si="66"/>
        <v>0</v>
      </c>
      <c r="K849" t="e">
        <f t="shared" si="67"/>
        <v>#N/A</v>
      </c>
      <c r="L849" t="e">
        <f t="shared" si="68"/>
        <v>#N/A</v>
      </c>
      <c r="M849" t="e">
        <f t="shared" si="69"/>
        <v>#N/A</v>
      </c>
    </row>
    <row r="850" spans="1:13" ht="13.2" x14ac:dyDescent="0.25">
      <c r="A850" s="1" t="s">
        <v>8</v>
      </c>
      <c r="B850" s="1" t="s">
        <v>9</v>
      </c>
      <c r="C850" s="1" t="s">
        <v>22</v>
      </c>
      <c r="D850" s="1" t="s">
        <v>11</v>
      </c>
      <c r="E850" s="1" t="s">
        <v>17</v>
      </c>
      <c r="F850" s="1">
        <v>51</v>
      </c>
      <c r="G850" s="1">
        <v>57</v>
      </c>
      <c r="H850" s="1">
        <v>63</v>
      </c>
      <c r="I850">
        <f t="shared" si="65"/>
        <v>171</v>
      </c>
      <c r="J850">
        <f t="shared" si="66"/>
        <v>1</v>
      </c>
      <c r="K850">
        <f t="shared" si="67"/>
        <v>450</v>
      </c>
      <c r="L850">
        <f t="shared" si="68"/>
        <v>449</v>
      </c>
      <c r="M850">
        <f t="shared" si="69"/>
        <v>201601</v>
      </c>
    </row>
    <row r="851" spans="1:13" ht="13.2" x14ac:dyDescent="0.25">
      <c r="A851" s="1" t="s">
        <v>19</v>
      </c>
      <c r="B851" s="1" t="s">
        <v>21</v>
      </c>
      <c r="C851" s="1" t="s">
        <v>22</v>
      </c>
      <c r="D851" s="1" t="s">
        <v>23</v>
      </c>
      <c r="E851" s="1" t="s">
        <v>12</v>
      </c>
      <c r="F851" s="1">
        <v>72</v>
      </c>
      <c r="G851" s="1">
        <v>73</v>
      </c>
      <c r="H851" s="1">
        <v>66</v>
      </c>
      <c r="I851">
        <f t="shared" si="65"/>
        <v>211</v>
      </c>
      <c r="J851">
        <f t="shared" si="66"/>
        <v>0</v>
      </c>
      <c r="K851">
        <f t="shared" si="67"/>
        <v>248.5</v>
      </c>
      <c r="L851">
        <f t="shared" si="68"/>
        <v>248.5</v>
      </c>
      <c r="M851">
        <f t="shared" si="69"/>
        <v>61752.25</v>
      </c>
    </row>
    <row r="852" spans="1:13" ht="13.2" x14ac:dyDescent="0.25">
      <c r="A852" s="1" t="s">
        <v>19</v>
      </c>
      <c r="B852" s="1" t="s">
        <v>18</v>
      </c>
      <c r="C852" s="1" t="s">
        <v>14</v>
      </c>
      <c r="D852" s="1" t="s">
        <v>23</v>
      </c>
      <c r="E852" s="1" t="s">
        <v>12</v>
      </c>
      <c r="F852" s="1">
        <v>77</v>
      </c>
      <c r="G852" s="1">
        <v>73</v>
      </c>
      <c r="H852" s="1">
        <v>68</v>
      </c>
      <c r="I852">
        <f t="shared" si="65"/>
        <v>218</v>
      </c>
      <c r="J852">
        <f t="shared" si="66"/>
        <v>0</v>
      </c>
      <c r="K852">
        <f t="shared" si="67"/>
        <v>223</v>
      </c>
      <c r="L852">
        <f t="shared" si="68"/>
        <v>223</v>
      </c>
      <c r="M852">
        <f t="shared" si="69"/>
        <v>49729</v>
      </c>
    </row>
    <row r="853" spans="1:13" ht="13.2" x14ac:dyDescent="0.25">
      <c r="A853" s="1" t="s">
        <v>8</v>
      </c>
      <c r="B853" s="1" t="s">
        <v>15</v>
      </c>
      <c r="C853" s="1" t="s">
        <v>14</v>
      </c>
      <c r="D853" s="1" t="s">
        <v>11</v>
      </c>
      <c r="E853" s="1" t="s">
        <v>12</v>
      </c>
      <c r="F853" s="1">
        <v>64</v>
      </c>
      <c r="G853" s="1">
        <v>75</v>
      </c>
      <c r="H853" s="1">
        <v>70</v>
      </c>
      <c r="I853">
        <f t="shared" si="65"/>
        <v>209</v>
      </c>
      <c r="J853">
        <f t="shared" si="66"/>
        <v>0</v>
      </c>
      <c r="K853">
        <f t="shared" si="67"/>
        <v>257.5</v>
      </c>
      <c r="L853">
        <f t="shared" si="68"/>
        <v>257.5</v>
      </c>
      <c r="M853">
        <f t="shared" si="69"/>
        <v>66306.25</v>
      </c>
    </row>
    <row r="854" spans="1:13" ht="13.2" x14ac:dyDescent="0.25">
      <c r="A854" s="1" t="s">
        <v>19</v>
      </c>
      <c r="B854" s="1" t="s">
        <v>18</v>
      </c>
      <c r="C854" s="1" t="s">
        <v>16</v>
      </c>
      <c r="D854" s="1" t="s">
        <v>11</v>
      </c>
      <c r="E854" s="1" t="s">
        <v>17</v>
      </c>
      <c r="F854" s="1">
        <v>100</v>
      </c>
      <c r="G854" s="1">
        <v>100</v>
      </c>
      <c r="H854" s="1">
        <v>98</v>
      </c>
      <c r="I854">
        <f t="shared" si="65"/>
        <v>298</v>
      </c>
      <c r="J854">
        <f t="shared" si="66"/>
        <v>1</v>
      </c>
      <c r="K854" t="e">
        <f t="shared" si="67"/>
        <v>#N/A</v>
      </c>
      <c r="L854" t="e">
        <f t="shared" si="68"/>
        <v>#N/A</v>
      </c>
      <c r="M854" t="e">
        <f t="shared" si="69"/>
        <v>#N/A</v>
      </c>
    </row>
    <row r="855" spans="1:13" ht="13.2" x14ac:dyDescent="0.25">
      <c r="A855" s="1" t="s">
        <v>19</v>
      </c>
      <c r="B855" s="1" t="s">
        <v>9</v>
      </c>
      <c r="C855" s="1" t="s">
        <v>14</v>
      </c>
      <c r="D855" s="1" t="s">
        <v>23</v>
      </c>
      <c r="E855" s="1" t="s">
        <v>12</v>
      </c>
      <c r="F855" s="1">
        <v>75</v>
      </c>
      <c r="G855" s="1">
        <v>70</v>
      </c>
      <c r="H855" s="1">
        <v>74</v>
      </c>
      <c r="I855">
        <f t="shared" si="65"/>
        <v>219</v>
      </c>
      <c r="J855">
        <f t="shared" si="66"/>
        <v>0</v>
      </c>
      <c r="K855">
        <f t="shared" si="67"/>
        <v>218.5</v>
      </c>
      <c r="L855">
        <f t="shared" si="68"/>
        <v>218.5</v>
      </c>
      <c r="M855">
        <f t="shared" si="69"/>
        <v>47742.25</v>
      </c>
    </row>
    <row r="856" spans="1:13" ht="13.2" x14ac:dyDescent="0.25">
      <c r="A856" s="1" t="s">
        <v>19</v>
      </c>
      <c r="B856" s="1" t="s">
        <v>18</v>
      </c>
      <c r="C856" s="1" t="s">
        <v>10</v>
      </c>
      <c r="D856" s="1" t="s">
        <v>23</v>
      </c>
      <c r="E856" s="1" t="s">
        <v>12</v>
      </c>
      <c r="F856" s="1">
        <v>29</v>
      </c>
      <c r="G856" s="1">
        <v>31</v>
      </c>
      <c r="H856" s="1">
        <v>21</v>
      </c>
      <c r="I856">
        <f t="shared" si="65"/>
        <v>81</v>
      </c>
      <c r="J856">
        <f t="shared" si="66"/>
        <v>0</v>
      </c>
      <c r="K856" t="e">
        <f t="shared" si="67"/>
        <v>#N/A</v>
      </c>
      <c r="L856" t="e">
        <f t="shared" si="68"/>
        <v>#N/A</v>
      </c>
      <c r="M856" t="e">
        <f t="shared" si="69"/>
        <v>#N/A</v>
      </c>
    </row>
    <row r="857" spans="1:13" ht="13.2" x14ac:dyDescent="0.25">
      <c r="A857" s="1" t="s">
        <v>8</v>
      </c>
      <c r="B857" s="1" t="s">
        <v>15</v>
      </c>
      <c r="C857" s="1" t="s">
        <v>10</v>
      </c>
      <c r="D857" s="1" t="s">
        <v>11</v>
      </c>
      <c r="E857" s="1" t="s">
        <v>17</v>
      </c>
      <c r="F857" s="1">
        <v>43</v>
      </c>
      <c r="G857" s="1">
        <v>63</v>
      </c>
      <c r="H857" s="1">
        <v>63</v>
      </c>
      <c r="I857">
        <f t="shared" si="65"/>
        <v>169</v>
      </c>
      <c r="J857">
        <f t="shared" si="66"/>
        <v>1</v>
      </c>
      <c r="K857">
        <f t="shared" si="67"/>
        <v>460</v>
      </c>
      <c r="L857">
        <f t="shared" si="68"/>
        <v>459</v>
      </c>
      <c r="M857">
        <f t="shared" si="69"/>
        <v>210681</v>
      </c>
    </row>
    <row r="858" spans="1:13" ht="13.2" x14ac:dyDescent="0.25">
      <c r="A858" s="1" t="s">
        <v>8</v>
      </c>
      <c r="B858" s="1" t="s">
        <v>13</v>
      </c>
      <c r="C858" s="1" t="s">
        <v>10</v>
      </c>
      <c r="D858" s="1" t="s">
        <v>11</v>
      </c>
      <c r="E858" s="1" t="s">
        <v>17</v>
      </c>
      <c r="F858" s="1">
        <v>79</v>
      </c>
      <c r="G858" s="1">
        <v>82</v>
      </c>
      <c r="H858" s="1">
        <v>82</v>
      </c>
      <c r="I858">
        <f t="shared" si="65"/>
        <v>243</v>
      </c>
      <c r="J858">
        <f t="shared" si="66"/>
        <v>1</v>
      </c>
      <c r="K858">
        <f t="shared" si="67"/>
        <v>119.5</v>
      </c>
      <c r="L858">
        <f t="shared" si="68"/>
        <v>118.5</v>
      </c>
      <c r="M858">
        <f t="shared" si="69"/>
        <v>14042.25</v>
      </c>
    </row>
    <row r="859" spans="1:13" ht="13.2" x14ac:dyDescent="0.25">
      <c r="A859" s="1" t="s">
        <v>8</v>
      </c>
      <c r="B859" s="1" t="s">
        <v>21</v>
      </c>
      <c r="C859" s="1" t="s">
        <v>14</v>
      </c>
      <c r="D859" s="1" t="s">
        <v>11</v>
      </c>
      <c r="E859" s="1" t="s">
        <v>17</v>
      </c>
      <c r="F859" s="1">
        <v>69</v>
      </c>
      <c r="G859" s="1">
        <v>73</v>
      </c>
      <c r="H859" s="1">
        <v>73</v>
      </c>
      <c r="I859">
        <f t="shared" si="65"/>
        <v>215</v>
      </c>
      <c r="J859">
        <f t="shared" si="66"/>
        <v>1</v>
      </c>
      <c r="K859">
        <f t="shared" si="67"/>
        <v>235.5</v>
      </c>
      <c r="L859">
        <f t="shared" si="68"/>
        <v>234.5</v>
      </c>
      <c r="M859">
        <f t="shared" si="69"/>
        <v>54990.25</v>
      </c>
    </row>
    <row r="860" spans="1:13" ht="13.2" x14ac:dyDescent="0.25">
      <c r="A860" s="1" t="s">
        <v>19</v>
      </c>
      <c r="B860" s="1" t="s">
        <v>18</v>
      </c>
      <c r="C860" s="1" t="s">
        <v>10</v>
      </c>
      <c r="D860" s="1" t="s">
        <v>11</v>
      </c>
      <c r="E860" s="1" t="s">
        <v>12</v>
      </c>
      <c r="F860" s="1">
        <v>70</v>
      </c>
      <c r="G860" s="1">
        <v>65</v>
      </c>
      <c r="H860" s="1">
        <v>60</v>
      </c>
      <c r="I860">
        <f t="shared" si="65"/>
        <v>195</v>
      </c>
      <c r="J860">
        <f t="shared" si="66"/>
        <v>0</v>
      </c>
      <c r="K860">
        <f t="shared" si="67"/>
        <v>331.5</v>
      </c>
      <c r="L860">
        <f t="shared" si="68"/>
        <v>331.5</v>
      </c>
      <c r="M860">
        <f t="shared" si="69"/>
        <v>109892.25</v>
      </c>
    </row>
    <row r="861" spans="1:13" ht="13.2" x14ac:dyDescent="0.25">
      <c r="A861" s="1" t="s">
        <v>19</v>
      </c>
      <c r="B861" s="1" t="s">
        <v>13</v>
      </c>
      <c r="C861" s="1" t="s">
        <v>16</v>
      </c>
      <c r="D861" s="1" t="s">
        <v>11</v>
      </c>
      <c r="E861" s="1" t="s">
        <v>17</v>
      </c>
      <c r="F861" s="1">
        <v>92</v>
      </c>
      <c r="G861" s="1">
        <v>87</v>
      </c>
      <c r="H861" s="1">
        <v>89</v>
      </c>
      <c r="I861">
        <f t="shared" si="65"/>
        <v>268</v>
      </c>
      <c r="J861">
        <f t="shared" si="66"/>
        <v>1</v>
      </c>
      <c r="K861" t="e">
        <f t="shared" si="67"/>
        <v>#N/A</v>
      </c>
      <c r="L861" t="e">
        <f t="shared" si="68"/>
        <v>#N/A</v>
      </c>
      <c r="M861" t="e">
        <f t="shared" si="69"/>
        <v>#N/A</v>
      </c>
    </row>
    <row r="862" spans="1:13" ht="13.2" x14ac:dyDescent="0.25">
      <c r="A862" s="1" t="s">
        <v>19</v>
      </c>
      <c r="B862" s="1" t="s">
        <v>18</v>
      </c>
      <c r="C862" s="1" t="s">
        <v>10</v>
      </c>
      <c r="D862" s="1" t="s">
        <v>11</v>
      </c>
      <c r="E862" s="1" t="s">
        <v>17</v>
      </c>
      <c r="F862" s="1">
        <v>57</v>
      </c>
      <c r="G862" s="1">
        <v>70</v>
      </c>
      <c r="H862" s="1">
        <v>66</v>
      </c>
      <c r="I862">
        <f t="shared" si="65"/>
        <v>193</v>
      </c>
      <c r="J862">
        <f t="shared" si="66"/>
        <v>1</v>
      </c>
      <c r="K862">
        <f t="shared" si="67"/>
        <v>344</v>
      </c>
      <c r="L862">
        <f t="shared" si="68"/>
        <v>343</v>
      </c>
      <c r="M862">
        <f t="shared" si="69"/>
        <v>117649</v>
      </c>
    </row>
    <row r="863" spans="1:13" ht="13.2" x14ac:dyDescent="0.25">
      <c r="A863" s="1" t="s">
        <v>8</v>
      </c>
      <c r="B863" s="1" t="s">
        <v>15</v>
      </c>
      <c r="C863" s="1" t="s">
        <v>16</v>
      </c>
      <c r="D863" s="1" t="s">
        <v>23</v>
      </c>
      <c r="E863" s="1" t="s">
        <v>12</v>
      </c>
      <c r="F863" s="1">
        <v>53</v>
      </c>
      <c r="G863" s="1">
        <v>67</v>
      </c>
      <c r="H863" s="1">
        <v>67</v>
      </c>
      <c r="I863">
        <f t="shared" si="65"/>
        <v>187</v>
      </c>
      <c r="J863">
        <f t="shared" si="66"/>
        <v>0</v>
      </c>
      <c r="K863">
        <f t="shared" si="67"/>
        <v>380</v>
      </c>
      <c r="L863">
        <f t="shared" si="68"/>
        <v>380</v>
      </c>
      <c r="M863">
        <f t="shared" si="69"/>
        <v>144400</v>
      </c>
    </row>
    <row r="864" spans="1:13" ht="13.2" x14ac:dyDescent="0.25">
      <c r="A864" s="1" t="s">
        <v>19</v>
      </c>
      <c r="B864" s="1" t="s">
        <v>9</v>
      </c>
      <c r="C864" s="1" t="s">
        <v>20</v>
      </c>
      <c r="D864" s="1" t="s">
        <v>11</v>
      </c>
      <c r="E864" s="1" t="s">
        <v>17</v>
      </c>
      <c r="F864" s="1">
        <v>90</v>
      </c>
      <c r="G864" s="1">
        <v>87</v>
      </c>
      <c r="H864" s="1">
        <v>82</v>
      </c>
      <c r="I864">
        <f t="shared" si="65"/>
        <v>259</v>
      </c>
      <c r="J864">
        <f t="shared" si="66"/>
        <v>1</v>
      </c>
      <c r="K864">
        <f t="shared" si="67"/>
        <v>66</v>
      </c>
      <c r="L864">
        <f t="shared" si="68"/>
        <v>65</v>
      </c>
      <c r="M864">
        <f t="shared" si="69"/>
        <v>4225</v>
      </c>
    </row>
    <row r="865" spans="1:13" ht="13.2" x14ac:dyDescent="0.25">
      <c r="A865" s="1" t="s">
        <v>8</v>
      </c>
      <c r="B865" s="1" t="s">
        <v>15</v>
      </c>
      <c r="C865" s="1" t="s">
        <v>20</v>
      </c>
      <c r="D865" s="1" t="s">
        <v>11</v>
      </c>
      <c r="E865" s="1" t="s">
        <v>12</v>
      </c>
      <c r="F865" s="1">
        <v>51</v>
      </c>
      <c r="G865" s="1">
        <v>60</v>
      </c>
      <c r="H865" s="1">
        <v>59</v>
      </c>
      <c r="I865">
        <f t="shared" si="65"/>
        <v>170</v>
      </c>
      <c r="J865">
        <f t="shared" si="66"/>
        <v>0</v>
      </c>
      <c r="K865">
        <f t="shared" si="67"/>
        <v>455.5</v>
      </c>
      <c r="L865">
        <f t="shared" si="68"/>
        <v>455.5</v>
      </c>
      <c r="M865">
        <f t="shared" si="69"/>
        <v>207480.25</v>
      </c>
    </row>
    <row r="866" spans="1:13" ht="13.2" x14ac:dyDescent="0.25">
      <c r="A866" s="1" t="s">
        <v>19</v>
      </c>
      <c r="B866" s="1" t="s">
        <v>9</v>
      </c>
      <c r="C866" s="1" t="s">
        <v>10</v>
      </c>
      <c r="D866" s="1" t="s">
        <v>11</v>
      </c>
      <c r="E866" s="1" t="s">
        <v>17</v>
      </c>
      <c r="F866" s="1">
        <v>58</v>
      </c>
      <c r="G866" s="1">
        <v>60</v>
      </c>
      <c r="H866" s="1">
        <v>60</v>
      </c>
      <c r="I866">
        <f t="shared" si="65"/>
        <v>178</v>
      </c>
      <c r="J866">
        <f t="shared" si="66"/>
        <v>1</v>
      </c>
      <c r="K866">
        <f t="shared" si="67"/>
        <v>414.5</v>
      </c>
      <c r="L866">
        <f t="shared" si="68"/>
        <v>413.5</v>
      </c>
      <c r="M866">
        <f t="shared" si="69"/>
        <v>170982.25</v>
      </c>
    </row>
    <row r="867" spans="1:13" ht="13.2" x14ac:dyDescent="0.25">
      <c r="A867" s="1" t="s">
        <v>8</v>
      </c>
      <c r="B867" s="1" t="s">
        <v>21</v>
      </c>
      <c r="C867" s="1" t="s">
        <v>22</v>
      </c>
      <c r="D867" s="1" t="s">
        <v>11</v>
      </c>
      <c r="E867" s="1" t="s">
        <v>12</v>
      </c>
      <c r="F867" s="1">
        <v>58</v>
      </c>
      <c r="G867" s="1">
        <v>66</v>
      </c>
      <c r="H867" s="1">
        <v>64</v>
      </c>
      <c r="I867">
        <f t="shared" si="65"/>
        <v>188</v>
      </c>
      <c r="J867">
        <f t="shared" si="66"/>
        <v>0</v>
      </c>
      <c r="K867">
        <f t="shared" si="67"/>
        <v>373</v>
      </c>
      <c r="L867">
        <f t="shared" si="68"/>
        <v>373</v>
      </c>
      <c r="M867">
        <f t="shared" si="69"/>
        <v>139129</v>
      </c>
    </row>
    <row r="868" spans="1:13" ht="13.2" x14ac:dyDescent="0.25">
      <c r="A868" s="1" t="s">
        <v>8</v>
      </c>
      <c r="B868" s="1" t="s">
        <v>18</v>
      </c>
      <c r="C868" s="1" t="s">
        <v>20</v>
      </c>
      <c r="D868" s="1" t="s">
        <v>11</v>
      </c>
      <c r="E868" s="1" t="s">
        <v>12</v>
      </c>
      <c r="F868" s="1">
        <v>76</v>
      </c>
      <c r="G868" s="1">
        <v>81</v>
      </c>
      <c r="H868" s="1">
        <v>85</v>
      </c>
      <c r="I868">
        <f t="shared" si="65"/>
        <v>242</v>
      </c>
      <c r="J868">
        <f t="shared" si="66"/>
        <v>0</v>
      </c>
      <c r="K868">
        <f t="shared" si="67"/>
        <v>122.5</v>
      </c>
      <c r="L868">
        <f t="shared" si="68"/>
        <v>122.5</v>
      </c>
      <c r="M868">
        <f t="shared" si="69"/>
        <v>15006.25</v>
      </c>
    </row>
    <row r="869" spans="1:13" ht="13.2" x14ac:dyDescent="0.25">
      <c r="A869" s="1" t="s">
        <v>8</v>
      </c>
      <c r="B869" s="1" t="s">
        <v>9</v>
      </c>
      <c r="C869" s="1" t="s">
        <v>22</v>
      </c>
      <c r="D869" s="1" t="s">
        <v>23</v>
      </c>
      <c r="E869" s="1" t="s">
        <v>17</v>
      </c>
      <c r="F869" s="1">
        <v>39</v>
      </c>
      <c r="G869" s="1">
        <v>52</v>
      </c>
      <c r="H869" s="1">
        <v>45</v>
      </c>
      <c r="I869">
        <f t="shared" si="65"/>
        <v>136</v>
      </c>
      <c r="J869">
        <f t="shared" si="66"/>
        <v>1</v>
      </c>
      <c r="K869">
        <f t="shared" si="67"/>
        <v>561</v>
      </c>
      <c r="L869">
        <f t="shared" si="68"/>
        <v>560</v>
      </c>
      <c r="M869">
        <f t="shared" si="69"/>
        <v>313600</v>
      </c>
    </row>
    <row r="870" spans="1:13" ht="13.2" x14ac:dyDescent="0.25">
      <c r="A870" s="1" t="s">
        <v>19</v>
      </c>
      <c r="B870" s="1" t="s">
        <v>9</v>
      </c>
      <c r="C870" s="1" t="s">
        <v>14</v>
      </c>
      <c r="D870" s="1" t="s">
        <v>11</v>
      </c>
      <c r="E870" s="1" t="s">
        <v>17</v>
      </c>
      <c r="F870" s="1">
        <v>60</v>
      </c>
      <c r="G870" s="1">
        <v>68</v>
      </c>
      <c r="H870" s="1">
        <v>69</v>
      </c>
      <c r="I870">
        <f t="shared" si="65"/>
        <v>197</v>
      </c>
      <c r="J870">
        <f t="shared" si="66"/>
        <v>1</v>
      </c>
      <c r="K870">
        <f t="shared" si="67"/>
        <v>317.5</v>
      </c>
      <c r="L870">
        <f t="shared" si="68"/>
        <v>316.5</v>
      </c>
      <c r="M870">
        <f t="shared" si="69"/>
        <v>100172.25</v>
      </c>
    </row>
    <row r="871" spans="1:13" ht="13.2" x14ac:dyDescent="0.25">
      <c r="A871" s="1" t="s">
        <v>8</v>
      </c>
      <c r="B871" s="1" t="s">
        <v>13</v>
      </c>
      <c r="C871" s="1" t="s">
        <v>20</v>
      </c>
      <c r="D871" s="1" t="s">
        <v>11</v>
      </c>
      <c r="E871" s="1" t="s">
        <v>17</v>
      </c>
      <c r="F871" s="1">
        <v>90</v>
      </c>
      <c r="G871" s="1">
        <v>97</v>
      </c>
      <c r="H871" s="1">
        <v>99</v>
      </c>
      <c r="I871">
        <f t="shared" si="65"/>
        <v>286</v>
      </c>
      <c r="J871">
        <f t="shared" si="66"/>
        <v>1</v>
      </c>
      <c r="K871">
        <f t="shared" si="67"/>
        <v>18.5</v>
      </c>
      <c r="L871">
        <f t="shared" si="68"/>
        <v>17.5</v>
      </c>
      <c r="M871">
        <f t="shared" si="69"/>
        <v>306.25</v>
      </c>
    </row>
    <row r="872" spans="1:13" ht="13.2" x14ac:dyDescent="0.25">
      <c r="A872" s="1" t="s">
        <v>8</v>
      </c>
      <c r="B872" s="1" t="s">
        <v>18</v>
      </c>
      <c r="C872" s="1" t="s">
        <v>20</v>
      </c>
      <c r="D872" s="1" t="s">
        <v>11</v>
      </c>
      <c r="E872" s="1" t="s">
        <v>12</v>
      </c>
      <c r="F872" s="1">
        <v>49</v>
      </c>
      <c r="G872" s="1">
        <v>50</v>
      </c>
      <c r="H872" s="1">
        <v>49</v>
      </c>
      <c r="I872">
        <f t="shared" si="65"/>
        <v>148</v>
      </c>
      <c r="J872">
        <f t="shared" si="66"/>
        <v>0</v>
      </c>
      <c r="K872">
        <f t="shared" si="67"/>
        <v>529</v>
      </c>
      <c r="L872">
        <f t="shared" si="68"/>
        <v>529</v>
      </c>
      <c r="M872">
        <f t="shared" si="69"/>
        <v>279841</v>
      </c>
    </row>
    <row r="873" spans="1:13" ht="13.2" x14ac:dyDescent="0.25">
      <c r="A873" s="1" t="s">
        <v>19</v>
      </c>
      <c r="B873" s="1" t="s">
        <v>9</v>
      </c>
      <c r="C873" s="1" t="s">
        <v>14</v>
      </c>
      <c r="D873" s="1" t="s">
        <v>11</v>
      </c>
      <c r="E873" s="1" t="s">
        <v>12</v>
      </c>
      <c r="F873" s="1">
        <v>53</v>
      </c>
      <c r="G873" s="1">
        <v>37</v>
      </c>
      <c r="H873" s="1">
        <v>48</v>
      </c>
      <c r="I873">
        <f t="shared" si="65"/>
        <v>138</v>
      </c>
      <c r="J873">
        <f t="shared" si="66"/>
        <v>0</v>
      </c>
      <c r="K873">
        <f t="shared" si="67"/>
        <v>554.5</v>
      </c>
      <c r="L873">
        <f t="shared" si="68"/>
        <v>554.5</v>
      </c>
      <c r="M873">
        <f t="shared" si="69"/>
        <v>307470.25</v>
      </c>
    </row>
    <row r="874" spans="1:13" ht="13.2" x14ac:dyDescent="0.25">
      <c r="A874" s="1" t="s">
        <v>19</v>
      </c>
      <c r="B874" s="1" t="s">
        <v>18</v>
      </c>
      <c r="C874" s="1" t="s">
        <v>16</v>
      </c>
      <c r="D874" s="1" t="s">
        <v>11</v>
      </c>
      <c r="E874" s="1" t="s">
        <v>12</v>
      </c>
      <c r="F874" s="1">
        <v>55</v>
      </c>
      <c r="G874" s="1">
        <v>63</v>
      </c>
      <c r="H874" s="1">
        <v>59</v>
      </c>
      <c r="I874">
        <f t="shared" si="65"/>
        <v>177</v>
      </c>
      <c r="J874">
        <f t="shared" si="66"/>
        <v>0</v>
      </c>
      <c r="K874">
        <f t="shared" si="67"/>
        <v>419.5</v>
      </c>
      <c r="L874">
        <f t="shared" si="68"/>
        <v>419.5</v>
      </c>
      <c r="M874">
        <f t="shared" si="69"/>
        <v>175980.25</v>
      </c>
    </row>
    <row r="875" spans="1:13" ht="13.2" x14ac:dyDescent="0.25">
      <c r="A875" s="1" t="s">
        <v>19</v>
      </c>
      <c r="B875" s="1" t="s">
        <v>18</v>
      </c>
      <c r="C875" s="1" t="s">
        <v>14</v>
      </c>
      <c r="D875" s="1" t="s">
        <v>11</v>
      </c>
      <c r="E875" s="1" t="s">
        <v>12</v>
      </c>
      <c r="F875" s="1">
        <v>84</v>
      </c>
      <c r="G875" s="1">
        <v>91</v>
      </c>
      <c r="H875" s="1">
        <v>84</v>
      </c>
      <c r="I875">
        <f t="shared" si="65"/>
        <v>259</v>
      </c>
      <c r="J875">
        <f t="shared" si="66"/>
        <v>0</v>
      </c>
      <c r="K875">
        <f t="shared" si="67"/>
        <v>66</v>
      </c>
      <c r="L875">
        <f t="shared" si="68"/>
        <v>66</v>
      </c>
      <c r="M875">
        <f t="shared" si="69"/>
        <v>4356</v>
      </c>
    </row>
    <row r="876" spans="1:13" ht="13.2" x14ac:dyDescent="0.25">
      <c r="A876" s="1" t="s">
        <v>8</v>
      </c>
      <c r="B876" s="1" t="s">
        <v>21</v>
      </c>
      <c r="C876" s="1" t="s">
        <v>22</v>
      </c>
      <c r="D876" s="1" t="s">
        <v>11</v>
      </c>
      <c r="E876" s="1" t="s">
        <v>17</v>
      </c>
      <c r="F876" s="1">
        <v>88</v>
      </c>
      <c r="G876" s="1">
        <v>74</v>
      </c>
      <c r="H876" s="1">
        <v>81</v>
      </c>
      <c r="I876">
        <f t="shared" si="65"/>
        <v>243</v>
      </c>
      <c r="J876">
        <f t="shared" si="66"/>
        <v>1</v>
      </c>
      <c r="K876">
        <f t="shared" si="67"/>
        <v>119.5</v>
      </c>
      <c r="L876">
        <f t="shared" si="68"/>
        <v>118.5</v>
      </c>
      <c r="M876">
        <f t="shared" si="69"/>
        <v>14042.25</v>
      </c>
    </row>
    <row r="877" spans="1:13" ht="13.2" x14ac:dyDescent="0.25">
      <c r="A877" s="1" t="s">
        <v>8</v>
      </c>
      <c r="B877" s="1" t="s">
        <v>13</v>
      </c>
      <c r="C877" s="1" t="s">
        <v>10</v>
      </c>
      <c r="D877" s="1" t="s">
        <v>11</v>
      </c>
      <c r="E877" s="1" t="s">
        <v>12</v>
      </c>
      <c r="F877" s="1">
        <v>77</v>
      </c>
      <c r="G877" s="1">
        <v>84</v>
      </c>
      <c r="H877" s="1">
        <v>79</v>
      </c>
      <c r="I877">
        <f t="shared" si="65"/>
        <v>240</v>
      </c>
      <c r="J877">
        <f t="shared" si="66"/>
        <v>0</v>
      </c>
      <c r="K877">
        <f t="shared" si="67"/>
        <v>129.5</v>
      </c>
      <c r="L877">
        <f t="shared" si="68"/>
        <v>129.5</v>
      </c>
      <c r="M877">
        <f t="shared" si="69"/>
        <v>16770.25</v>
      </c>
    </row>
    <row r="878" spans="1:13" ht="13.2" x14ac:dyDescent="0.25">
      <c r="A878" s="1" t="s">
        <v>8</v>
      </c>
      <c r="B878" s="1" t="s">
        <v>9</v>
      </c>
      <c r="C878" s="1" t="s">
        <v>22</v>
      </c>
      <c r="D878" s="1" t="s">
        <v>11</v>
      </c>
      <c r="E878" s="1" t="s">
        <v>12</v>
      </c>
      <c r="F878" s="1">
        <v>60</v>
      </c>
      <c r="G878" s="1">
        <v>67</v>
      </c>
      <c r="H878" s="1">
        <v>65</v>
      </c>
      <c r="I878">
        <f t="shared" si="65"/>
        <v>192</v>
      </c>
      <c r="J878">
        <f t="shared" si="66"/>
        <v>0</v>
      </c>
      <c r="K878">
        <f t="shared" si="67"/>
        <v>349</v>
      </c>
      <c r="L878">
        <f t="shared" si="68"/>
        <v>349</v>
      </c>
      <c r="M878">
        <f t="shared" si="69"/>
        <v>121801</v>
      </c>
    </row>
    <row r="879" spans="1:13" ht="13.2" x14ac:dyDescent="0.25">
      <c r="A879" s="1" t="s">
        <v>8</v>
      </c>
      <c r="B879" s="1" t="s">
        <v>13</v>
      </c>
      <c r="C879" s="1" t="s">
        <v>16</v>
      </c>
      <c r="D879" s="1" t="s">
        <v>23</v>
      </c>
      <c r="E879" s="1" t="s">
        <v>12</v>
      </c>
      <c r="F879" s="1">
        <v>51</v>
      </c>
      <c r="G879" s="1">
        <v>71</v>
      </c>
      <c r="H879" s="1">
        <v>68</v>
      </c>
      <c r="I879">
        <f t="shared" si="65"/>
        <v>190</v>
      </c>
      <c r="J879">
        <f t="shared" si="66"/>
        <v>0</v>
      </c>
      <c r="K879">
        <f t="shared" si="67"/>
        <v>359.5</v>
      </c>
      <c r="L879">
        <f t="shared" si="68"/>
        <v>359.5</v>
      </c>
      <c r="M879">
        <f t="shared" si="69"/>
        <v>129240.25</v>
      </c>
    </row>
    <row r="880" spans="1:13" ht="13.2" x14ac:dyDescent="0.25">
      <c r="A880" s="1" t="s">
        <v>19</v>
      </c>
      <c r="B880" s="1" t="s">
        <v>18</v>
      </c>
      <c r="C880" s="1" t="s">
        <v>16</v>
      </c>
      <c r="D880" s="1" t="s">
        <v>23</v>
      </c>
      <c r="E880" s="1" t="s">
        <v>12</v>
      </c>
      <c r="F880" s="1">
        <v>72</v>
      </c>
      <c r="G880" s="1">
        <v>78</v>
      </c>
      <c r="H880" s="1">
        <v>69</v>
      </c>
      <c r="I880">
        <f t="shared" si="65"/>
        <v>219</v>
      </c>
      <c r="J880">
        <f t="shared" si="66"/>
        <v>0</v>
      </c>
      <c r="K880">
        <f t="shared" si="67"/>
        <v>218.5</v>
      </c>
      <c r="L880">
        <f t="shared" si="68"/>
        <v>218.5</v>
      </c>
      <c r="M880">
        <f t="shared" si="69"/>
        <v>47742.25</v>
      </c>
    </row>
    <row r="881" spans="1:13" ht="13.2" x14ac:dyDescent="0.25">
      <c r="A881" s="1" t="s">
        <v>8</v>
      </c>
      <c r="B881" s="1" t="s">
        <v>13</v>
      </c>
      <c r="C881" s="1" t="s">
        <v>10</v>
      </c>
      <c r="D881" s="1" t="s">
        <v>11</v>
      </c>
      <c r="E881" s="1" t="s">
        <v>12</v>
      </c>
      <c r="F881" s="1">
        <v>78</v>
      </c>
      <c r="G881" s="1">
        <v>94</v>
      </c>
      <c r="H881" s="1">
        <v>94</v>
      </c>
      <c r="I881">
        <f t="shared" si="65"/>
        <v>266</v>
      </c>
      <c r="J881">
        <f t="shared" si="66"/>
        <v>0</v>
      </c>
      <c r="K881">
        <f t="shared" si="67"/>
        <v>48.5</v>
      </c>
      <c r="L881">
        <f t="shared" si="68"/>
        <v>48.5</v>
      </c>
      <c r="M881">
        <f t="shared" si="69"/>
        <v>2352.25</v>
      </c>
    </row>
    <row r="882" spans="1:13" ht="13.2" x14ac:dyDescent="0.25">
      <c r="A882" s="1" t="s">
        <v>19</v>
      </c>
      <c r="B882" s="1" t="s">
        <v>18</v>
      </c>
      <c r="C882" s="1" t="s">
        <v>22</v>
      </c>
      <c r="D882" s="1" t="s">
        <v>11</v>
      </c>
      <c r="E882" s="1" t="s">
        <v>12</v>
      </c>
      <c r="F882" s="1">
        <v>50</v>
      </c>
      <c r="G882" s="1">
        <v>46</v>
      </c>
      <c r="H882" s="1">
        <v>45</v>
      </c>
      <c r="I882">
        <f t="shared" si="65"/>
        <v>141</v>
      </c>
      <c r="J882">
        <f t="shared" si="66"/>
        <v>0</v>
      </c>
      <c r="K882">
        <f t="shared" si="67"/>
        <v>549</v>
      </c>
      <c r="L882">
        <f t="shared" si="68"/>
        <v>549</v>
      </c>
      <c r="M882">
        <f t="shared" si="69"/>
        <v>301401</v>
      </c>
    </row>
    <row r="883" spans="1:13" ht="13.2" x14ac:dyDescent="0.25">
      <c r="A883" s="1" t="s">
        <v>19</v>
      </c>
      <c r="B883" s="1" t="s">
        <v>13</v>
      </c>
      <c r="C883" s="1" t="s">
        <v>22</v>
      </c>
      <c r="D883" s="1" t="s">
        <v>11</v>
      </c>
      <c r="E883" s="1" t="s">
        <v>12</v>
      </c>
      <c r="F883" s="1">
        <v>77</v>
      </c>
      <c r="G883" s="1">
        <v>78</v>
      </c>
      <c r="H883" s="1">
        <v>74</v>
      </c>
      <c r="I883">
        <f t="shared" si="65"/>
        <v>229</v>
      </c>
      <c r="J883">
        <f t="shared" si="66"/>
        <v>0</v>
      </c>
      <c r="K883" t="e">
        <f t="shared" si="67"/>
        <v>#N/A</v>
      </c>
      <c r="L883" t="e">
        <f t="shared" si="68"/>
        <v>#N/A</v>
      </c>
      <c r="M883" t="e">
        <f t="shared" si="69"/>
        <v>#N/A</v>
      </c>
    </row>
    <row r="884" spans="1:13" ht="13.2" x14ac:dyDescent="0.25">
      <c r="A884" s="1" t="s">
        <v>19</v>
      </c>
      <c r="B884" s="1" t="s">
        <v>13</v>
      </c>
      <c r="C884" s="1" t="s">
        <v>16</v>
      </c>
      <c r="D884" s="1" t="s">
        <v>11</v>
      </c>
      <c r="E884" s="1" t="s">
        <v>12</v>
      </c>
      <c r="F884" s="1">
        <v>51</v>
      </c>
      <c r="G884" s="1">
        <v>51</v>
      </c>
      <c r="H884" s="1">
        <v>52</v>
      </c>
      <c r="I884">
        <f t="shared" si="65"/>
        <v>154</v>
      </c>
      <c r="J884">
        <f t="shared" si="66"/>
        <v>0</v>
      </c>
      <c r="K884">
        <f t="shared" si="67"/>
        <v>515.5</v>
      </c>
      <c r="L884">
        <f t="shared" si="68"/>
        <v>515.5</v>
      </c>
      <c r="M884">
        <f t="shared" si="69"/>
        <v>265740.25</v>
      </c>
    </row>
    <row r="885" spans="1:13" ht="13.2" x14ac:dyDescent="0.25">
      <c r="A885" s="1" t="s">
        <v>19</v>
      </c>
      <c r="B885" s="1" t="s">
        <v>18</v>
      </c>
      <c r="C885" s="1" t="s">
        <v>22</v>
      </c>
      <c r="D885" s="1" t="s">
        <v>11</v>
      </c>
      <c r="E885" s="1" t="s">
        <v>12</v>
      </c>
      <c r="F885" s="1">
        <v>62</v>
      </c>
      <c r="G885" s="1">
        <v>59</v>
      </c>
      <c r="H885" s="1">
        <v>59</v>
      </c>
      <c r="I885">
        <f t="shared" si="65"/>
        <v>180</v>
      </c>
      <c r="J885">
        <f t="shared" si="66"/>
        <v>0</v>
      </c>
      <c r="K885">
        <f t="shared" si="67"/>
        <v>410</v>
      </c>
      <c r="L885">
        <f t="shared" si="68"/>
        <v>410</v>
      </c>
      <c r="M885">
        <f t="shared" si="69"/>
        <v>168100</v>
      </c>
    </row>
    <row r="886" spans="1:13" ht="13.2" x14ac:dyDescent="0.25">
      <c r="A886" s="1" t="s">
        <v>19</v>
      </c>
      <c r="B886" s="1" t="s">
        <v>9</v>
      </c>
      <c r="C886" s="1" t="s">
        <v>20</v>
      </c>
      <c r="D886" s="1" t="s">
        <v>23</v>
      </c>
      <c r="E886" s="1" t="s">
        <v>12</v>
      </c>
      <c r="F886" s="1">
        <v>56</v>
      </c>
      <c r="G886" s="1">
        <v>53</v>
      </c>
      <c r="H886" s="1">
        <v>55</v>
      </c>
      <c r="I886">
        <f t="shared" si="65"/>
        <v>164</v>
      </c>
      <c r="J886">
        <f t="shared" si="66"/>
        <v>0</v>
      </c>
      <c r="K886">
        <f t="shared" si="67"/>
        <v>478</v>
      </c>
      <c r="L886">
        <f t="shared" si="68"/>
        <v>478</v>
      </c>
      <c r="M886">
        <f t="shared" si="69"/>
        <v>228484</v>
      </c>
    </row>
    <row r="887" spans="1:13" ht="13.2" x14ac:dyDescent="0.25">
      <c r="A887" s="1" t="s">
        <v>8</v>
      </c>
      <c r="B887" s="1" t="s">
        <v>18</v>
      </c>
      <c r="C887" s="1" t="s">
        <v>20</v>
      </c>
      <c r="D887" s="1" t="s">
        <v>23</v>
      </c>
      <c r="E887" s="1" t="s">
        <v>12</v>
      </c>
      <c r="F887" s="1">
        <v>36</v>
      </c>
      <c r="G887" s="1">
        <v>42</v>
      </c>
      <c r="H887" s="1">
        <v>50</v>
      </c>
      <c r="I887">
        <f t="shared" si="65"/>
        <v>128</v>
      </c>
      <c r="J887">
        <f t="shared" si="66"/>
        <v>0</v>
      </c>
      <c r="K887">
        <f t="shared" si="67"/>
        <v>574</v>
      </c>
      <c r="L887">
        <f t="shared" si="68"/>
        <v>574</v>
      </c>
      <c r="M887">
        <f t="shared" si="69"/>
        <v>329476</v>
      </c>
    </row>
    <row r="888" spans="1:13" ht="13.2" x14ac:dyDescent="0.25">
      <c r="A888" s="1" t="s">
        <v>19</v>
      </c>
      <c r="B888" s="1" t="s">
        <v>9</v>
      </c>
      <c r="C888" s="1" t="s">
        <v>14</v>
      </c>
      <c r="D888" s="1" t="s">
        <v>11</v>
      </c>
      <c r="E888" s="1" t="s">
        <v>12</v>
      </c>
      <c r="F888" s="1">
        <v>88</v>
      </c>
      <c r="G888" s="1">
        <v>78</v>
      </c>
      <c r="H888" s="1">
        <v>78</v>
      </c>
      <c r="I888">
        <f t="shared" si="65"/>
        <v>244</v>
      </c>
      <c r="J888">
        <f t="shared" si="66"/>
        <v>0</v>
      </c>
      <c r="K888">
        <f t="shared" si="67"/>
        <v>115.5</v>
      </c>
      <c r="L888">
        <f t="shared" si="68"/>
        <v>115.5</v>
      </c>
      <c r="M888">
        <f t="shared" si="69"/>
        <v>13340.25</v>
      </c>
    </row>
    <row r="889" spans="1:13" ht="13.2" x14ac:dyDescent="0.25">
      <c r="A889" s="1" t="s">
        <v>8</v>
      </c>
      <c r="B889" s="1" t="s">
        <v>13</v>
      </c>
      <c r="C889" s="1" t="s">
        <v>14</v>
      </c>
      <c r="D889" s="1" t="s">
        <v>11</v>
      </c>
      <c r="E889" s="1" t="s">
        <v>12</v>
      </c>
      <c r="F889" s="1">
        <v>69</v>
      </c>
      <c r="G889" s="1">
        <v>75</v>
      </c>
      <c r="H889" s="1">
        <v>78</v>
      </c>
      <c r="I889">
        <f t="shared" si="65"/>
        <v>222</v>
      </c>
      <c r="J889">
        <f t="shared" si="66"/>
        <v>0</v>
      </c>
      <c r="K889">
        <f t="shared" si="67"/>
        <v>206</v>
      </c>
      <c r="L889">
        <f t="shared" si="68"/>
        <v>206</v>
      </c>
      <c r="M889">
        <f t="shared" si="69"/>
        <v>42436</v>
      </c>
    </row>
    <row r="890" spans="1:13" ht="13.2" x14ac:dyDescent="0.25">
      <c r="A890" s="1" t="s">
        <v>19</v>
      </c>
      <c r="B890" s="1" t="s">
        <v>9</v>
      </c>
      <c r="C890" s="1" t="s">
        <v>22</v>
      </c>
      <c r="D890" s="1" t="s">
        <v>23</v>
      </c>
      <c r="E890" s="1" t="s">
        <v>12</v>
      </c>
      <c r="F890" s="1">
        <v>40</v>
      </c>
      <c r="G890" s="1">
        <v>41</v>
      </c>
      <c r="H890" s="1">
        <v>40</v>
      </c>
      <c r="I890">
        <f t="shared" si="65"/>
        <v>121</v>
      </c>
      <c r="J890">
        <f t="shared" si="66"/>
        <v>0</v>
      </c>
      <c r="K890">
        <f t="shared" si="67"/>
        <v>581.5</v>
      </c>
      <c r="L890">
        <f t="shared" si="68"/>
        <v>581.5</v>
      </c>
      <c r="M890">
        <f t="shared" si="69"/>
        <v>338142.25</v>
      </c>
    </row>
    <row r="891" spans="1:13" ht="13.2" x14ac:dyDescent="0.25">
      <c r="A891" s="1" t="s">
        <v>19</v>
      </c>
      <c r="B891" s="1" t="s">
        <v>9</v>
      </c>
      <c r="C891" s="1" t="s">
        <v>14</v>
      </c>
      <c r="D891" s="1" t="s">
        <v>11</v>
      </c>
      <c r="E891" s="1" t="s">
        <v>12</v>
      </c>
      <c r="F891" s="1">
        <v>91</v>
      </c>
      <c r="G891" s="1">
        <v>82</v>
      </c>
      <c r="H891" s="1">
        <v>79</v>
      </c>
      <c r="I891">
        <f t="shared" si="65"/>
        <v>252</v>
      </c>
      <c r="J891">
        <f t="shared" si="66"/>
        <v>0</v>
      </c>
      <c r="K891">
        <f t="shared" si="67"/>
        <v>88.5</v>
      </c>
      <c r="L891">
        <f t="shared" si="68"/>
        <v>88.5</v>
      </c>
      <c r="M891">
        <f t="shared" si="69"/>
        <v>7832.25</v>
      </c>
    </row>
    <row r="892" spans="1:13" ht="13.2" x14ac:dyDescent="0.25">
      <c r="A892" s="1" t="s">
        <v>19</v>
      </c>
      <c r="B892" s="1" t="s">
        <v>18</v>
      </c>
      <c r="C892" s="1" t="s">
        <v>22</v>
      </c>
      <c r="D892" s="1" t="s">
        <v>23</v>
      </c>
      <c r="E892" s="1" t="s">
        <v>17</v>
      </c>
      <c r="F892" s="1">
        <v>68</v>
      </c>
      <c r="G892" s="1">
        <v>68</v>
      </c>
      <c r="H892" s="1">
        <v>66</v>
      </c>
      <c r="I892">
        <f t="shared" si="65"/>
        <v>202</v>
      </c>
      <c r="J892">
        <f t="shared" si="66"/>
        <v>1</v>
      </c>
      <c r="K892">
        <f t="shared" si="67"/>
        <v>292</v>
      </c>
      <c r="L892">
        <f t="shared" si="68"/>
        <v>291</v>
      </c>
      <c r="M892">
        <f t="shared" si="69"/>
        <v>84681</v>
      </c>
    </row>
    <row r="893" spans="1:13" ht="13.2" x14ac:dyDescent="0.25">
      <c r="A893" s="1" t="s">
        <v>8</v>
      </c>
      <c r="B893" s="1" t="s">
        <v>13</v>
      </c>
      <c r="C893" s="1" t="s">
        <v>22</v>
      </c>
      <c r="D893" s="1" t="s">
        <v>11</v>
      </c>
      <c r="E893" s="1" t="s">
        <v>12</v>
      </c>
      <c r="F893" s="1">
        <v>55</v>
      </c>
      <c r="G893" s="1">
        <v>67</v>
      </c>
      <c r="H893" s="1">
        <v>65</v>
      </c>
      <c r="I893">
        <f t="shared" si="65"/>
        <v>187</v>
      </c>
      <c r="J893">
        <f t="shared" si="66"/>
        <v>0</v>
      </c>
      <c r="K893">
        <f t="shared" si="67"/>
        <v>380</v>
      </c>
      <c r="L893">
        <f t="shared" si="68"/>
        <v>380</v>
      </c>
      <c r="M893">
        <f t="shared" si="69"/>
        <v>144400</v>
      </c>
    </row>
    <row r="894" spans="1:13" ht="13.2" x14ac:dyDescent="0.25">
      <c r="A894" s="1" t="s">
        <v>19</v>
      </c>
      <c r="B894" s="1" t="s">
        <v>18</v>
      </c>
      <c r="C894" s="1" t="s">
        <v>14</v>
      </c>
      <c r="D894" s="1" t="s">
        <v>23</v>
      </c>
      <c r="E894" s="1" t="s">
        <v>12</v>
      </c>
      <c r="F894" s="1">
        <v>51</v>
      </c>
      <c r="G894" s="1">
        <v>50</v>
      </c>
      <c r="H894" s="1">
        <v>47</v>
      </c>
      <c r="I894">
        <f t="shared" si="65"/>
        <v>148</v>
      </c>
      <c r="J894">
        <f t="shared" si="66"/>
        <v>0</v>
      </c>
      <c r="K894">
        <f t="shared" si="67"/>
        <v>529</v>
      </c>
      <c r="L894">
        <f t="shared" si="68"/>
        <v>529</v>
      </c>
      <c r="M894">
        <f t="shared" si="69"/>
        <v>279841</v>
      </c>
    </row>
    <row r="895" spans="1:13" ht="13.2" x14ac:dyDescent="0.25">
      <c r="A895" s="1" t="s">
        <v>19</v>
      </c>
      <c r="B895" s="1" t="s">
        <v>13</v>
      </c>
      <c r="C895" s="1" t="s">
        <v>10</v>
      </c>
      <c r="D895" s="1" t="s">
        <v>23</v>
      </c>
      <c r="E895" s="1" t="s">
        <v>17</v>
      </c>
      <c r="F895" s="1">
        <v>61</v>
      </c>
      <c r="G895" s="1">
        <v>57</v>
      </c>
      <c r="H895" s="1">
        <v>63</v>
      </c>
      <c r="I895">
        <f t="shared" si="65"/>
        <v>181</v>
      </c>
      <c r="J895">
        <f t="shared" si="66"/>
        <v>1</v>
      </c>
      <c r="K895">
        <f t="shared" si="67"/>
        <v>405.5</v>
      </c>
      <c r="L895">
        <f t="shared" si="68"/>
        <v>404.5</v>
      </c>
      <c r="M895">
        <f t="shared" si="69"/>
        <v>163620.25</v>
      </c>
    </row>
    <row r="896" spans="1:13" ht="13.2" x14ac:dyDescent="0.25">
      <c r="A896" s="1" t="s">
        <v>8</v>
      </c>
      <c r="B896" s="1" t="s">
        <v>15</v>
      </c>
      <c r="C896" s="1" t="s">
        <v>14</v>
      </c>
      <c r="D896" s="1" t="s">
        <v>23</v>
      </c>
      <c r="E896" s="1" t="s">
        <v>17</v>
      </c>
      <c r="F896" s="1">
        <v>66</v>
      </c>
      <c r="G896" s="1">
        <v>91</v>
      </c>
      <c r="H896" s="1">
        <v>87</v>
      </c>
      <c r="I896">
        <f t="shared" si="65"/>
        <v>244</v>
      </c>
      <c r="J896">
        <f t="shared" si="66"/>
        <v>1</v>
      </c>
      <c r="K896">
        <f t="shared" si="67"/>
        <v>115.5</v>
      </c>
      <c r="L896">
        <f t="shared" si="68"/>
        <v>114.5</v>
      </c>
      <c r="M896">
        <f t="shared" si="69"/>
        <v>13110.25</v>
      </c>
    </row>
    <row r="897" spans="1:13" ht="13.2" x14ac:dyDescent="0.25">
      <c r="A897" s="1" t="s">
        <v>19</v>
      </c>
      <c r="B897" s="1" t="s">
        <v>21</v>
      </c>
      <c r="C897" s="1" t="s">
        <v>16</v>
      </c>
      <c r="D897" s="1" t="s">
        <v>11</v>
      </c>
      <c r="E897" s="1" t="s">
        <v>12</v>
      </c>
      <c r="F897" s="1">
        <v>87</v>
      </c>
      <c r="G897" s="1">
        <v>82</v>
      </c>
      <c r="H897" s="1">
        <v>81</v>
      </c>
      <c r="I897">
        <f t="shared" si="65"/>
        <v>250</v>
      </c>
      <c r="J897">
        <f t="shared" si="66"/>
        <v>0</v>
      </c>
      <c r="K897">
        <f t="shared" si="67"/>
        <v>94.5</v>
      </c>
      <c r="L897">
        <f t="shared" si="68"/>
        <v>94.5</v>
      </c>
      <c r="M897">
        <f t="shared" si="69"/>
        <v>8930.25</v>
      </c>
    </row>
    <row r="898" spans="1:13" ht="13.2" x14ac:dyDescent="0.25">
      <c r="A898" s="1" t="s">
        <v>8</v>
      </c>
      <c r="B898" s="1" t="s">
        <v>13</v>
      </c>
      <c r="C898" s="1" t="s">
        <v>16</v>
      </c>
      <c r="D898" s="1" t="s">
        <v>11</v>
      </c>
      <c r="E898" s="1" t="s">
        <v>17</v>
      </c>
      <c r="F898" s="1">
        <v>74</v>
      </c>
      <c r="G898" s="1">
        <v>80</v>
      </c>
      <c r="H898" s="1">
        <v>83</v>
      </c>
      <c r="I898">
        <f t="shared" si="65"/>
        <v>237</v>
      </c>
      <c r="J898">
        <f t="shared" si="66"/>
        <v>1</v>
      </c>
      <c r="K898">
        <f t="shared" si="67"/>
        <v>144</v>
      </c>
      <c r="L898">
        <f t="shared" si="68"/>
        <v>143</v>
      </c>
      <c r="M898">
        <f t="shared" si="69"/>
        <v>20449</v>
      </c>
    </row>
    <row r="899" spans="1:13" ht="13.2" x14ac:dyDescent="0.25">
      <c r="A899" s="1" t="s">
        <v>19</v>
      </c>
      <c r="B899" s="1" t="s">
        <v>9</v>
      </c>
      <c r="C899" s="1" t="s">
        <v>22</v>
      </c>
      <c r="D899" s="1" t="s">
        <v>23</v>
      </c>
      <c r="E899" s="1" t="s">
        <v>12</v>
      </c>
      <c r="F899" s="1">
        <v>65</v>
      </c>
      <c r="G899" s="1">
        <v>70</v>
      </c>
      <c r="H899" s="1">
        <v>62</v>
      </c>
      <c r="I899">
        <f t="shared" ref="I899:I962" si="70">SUM(F899:H899)</f>
        <v>197</v>
      </c>
      <c r="J899">
        <f t="shared" ref="J899:J962" si="71">IF(E899="completed", 1, IF(E899="none", 0, ""))</f>
        <v>0</v>
      </c>
      <c r="K899">
        <f t="shared" ref="K899:K962" si="72">_xlfn.RANK.AVG(I899, I$2:I$601, 0)</f>
        <v>317.5</v>
      </c>
      <c r="L899">
        <f t="shared" ref="L899:L962" si="73">K899-J899</f>
        <v>317.5</v>
      </c>
      <c r="M899">
        <f t="shared" ref="M899:M962" si="74">L899^2</f>
        <v>100806.25</v>
      </c>
    </row>
    <row r="900" spans="1:13" ht="13.2" x14ac:dyDescent="0.25">
      <c r="A900" s="1" t="s">
        <v>8</v>
      </c>
      <c r="B900" s="1" t="s">
        <v>15</v>
      </c>
      <c r="C900" s="1" t="s">
        <v>16</v>
      </c>
      <c r="D900" s="1" t="s">
        <v>11</v>
      </c>
      <c r="E900" s="1" t="s">
        <v>17</v>
      </c>
      <c r="F900" s="1">
        <v>66</v>
      </c>
      <c r="G900" s="1">
        <v>77</v>
      </c>
      <c r="H900" s="1">
        <v>82</v>
      </c>
      <c r="I900">
        <f t="shared" si="70"/>
        <v>225</v>
      </c>
      <c r="J900">
        <f t="shared" si="71"/>
        <v>1</v>
      </c>
      <c r="K900">
        <f t="shared" si="72"/>
        <v>191</v>
      </c>
      <c r="L900">
        <f t="shared" si="73"/>
        <v>190</v>
      </c>
      <c r="M900">
        <f t="shared" si="74"/>
        <v>36100</v>
      </c>
    </row>
    <row r="901" spans="1:13" ht="13.2" x14ac:dyDescent="0.25">
      <c r="A901" s="1" t="s">
        <v>19</v>
      </c>
      <c r="B901" s="1" t="s">
        <v>13</v>
      </c>
      <c r="C901" s="1" t="s">
        <v>14</v>
      </c>
      <c r="D901" s="1" t="s">
        <v>11</v>
      </c>
      <c r="E901" s="1" t="s">
        <v>17</v>
      </c>
      <c r="F901" s="1">
        <v>59</v>
      </c>
      <c r="G901" s="1">
        <v>53</v>
      </c>
      <c r="H901" s="1">
        <v>59</v>
      </c>
      <c r="I901">
        <f t="shared" si="70"/>
        <v>171</v>
      </c>
      <c r="J901">
        <f t="shared" si="71"/>
        <v>1</v>
      </c>
      <c r="K901">
        <f t="shared" si="72"/>
        <v>450</v>
      </c>
      <c r="L901">
        <f t="shared" si="73"/>
        <v>449</v>
      </c>
      <c r="M901">
        <f t="shared" si="74"/>
        <v>201601</v>
      </c>
    </row>
    <row r="902" spans="1:13" ht="13.2" x14ac:dyDescent="0.25">
      <c r="A902" s="1" t="s">
        <v>8</v>
      </c>
      <c r="B902" s="1" t="s">
        <v>21</v>
      </c>
      <c r="C902" s="1" t="s">
        <v>20</v>
      </c>
      <c r="D902" s="1" t="s">
        <v>11</v>
      </c>
      <c r="E902" s="1" t="s">
        <v>12</v>
      </c>
      <c r="F902" s="1">
        <v>64</v>
      </c>
      <c r="G902" s="1">
        <v>72</v>
      </c>
      <c r="H902" s="1">
        <v>65</v>
      </c>
      <c r="I902">
        <f t="shared" si="70"/>
        <v>201</v>
      </c>
      <c r="J902">
        <f t="shared" si="71"/>
        <v>0</v>
      </c>
      <c r="K902">
        <f t="shared" si="72"/>
        <v>295.5</v>
      </c>
      <c r="L902">
        <f t="shared" si="73"/>
        <v>295.5</v>
      </c>
      <c r="M902">
        <f t="shared" si="74"/>
        <v>87320.25</v>
      </c>
    </row>
    <row r="903" spans="1:13" ht="13.2" x14ac:dyDescent="0.25">
      <c r="A903" s="1" t="s">
        <v>8</v>
      </c>
      <c r="B903" s="1" t="s">
        <v>13</v>
      </c>
      <c r="C903" s="1" t="s">
        <v>14</v>
      </c>
      <c r="D903" s="1" t="s">
        <v>23</v>
      </c>
      <c r="E903" s="1" t="s">
        <v>17</v>
      </c>
      <c r="F903" s="1">
        <v>69</v>
      </c>
      <c r="G903" s="1">
        <v>85</v>
      </c>
      <c r="H903" s="1">
        <v>89</v>
      </c>
      <c r="I903">
        <f t="shared" si="70"/>
        <v>243</v>
      </c>
      <c r="J903">
        <f t="shared" si="71"/>
        <v>1</v>
      </c>
      <c r="K903">
        <f t="shared" si="72"/>
        <v>119.5</v>
      </c>
      <c r="L903">
        <f t="shared" si="73"/>
        <v>118.5</v>
      </c>
      <c r="M903">
        <f t="shared" si="74"/>
        <v>14042.25</v>
      </c>
    </row>
    <row r="904" spans="1:13" ht="13.2" x14ac:dyDescent="0.25">
      <c r="A904" s="1" t="s">
        <v>8</v>
      </c>
      <c r="B904" s="1" t="s">
        <v>9</v>
      </c>
      <c r="C904" s="1" t="s">
        <v>16</v>
      </c>
      <c r="D904" s="1" t="s">
        <v>23</v>
      </c>
      <c r="E904" s="1" t="s">
        <v>12</v>
      </c>
      <c r="F904" s="1">
        <v>67</v>
      </c>
      <c r="G904" s="1">
        <v>80</v>
      </c>
      <c r="H904" s="1">
        <v>76</v>
      </c>
      <c r="I904">
        <f t="shared" si="70"/>
        <v>223</v>
      </c>
      <c r="J904">
        <f t="shared" si="71"/>
        <v>0</v>
      </c>
      <c r="K904">
        <f t="shared" si="72"/>
        <v>200</v>
      </c>
      <c r="L904">
        <f t="shared" si="73"/>
        <v>200</v>
      </c>
      <c r="M904">
        <f t="shared" si="74"/>
        <v>40000</v>
      </c>
    </row>
    <row r="905" spans="1:13" ht="13.2" x14ac:dyDescent="0.25">
      <c r="A905" s="1" t="s">
        <v>19</v>
      </c>
      <c r="B905" s="1" t="s">
        <v>13</v>
      </c>
      <c r="C905" s="1" t="s">
        <v>22</v>
      </c>
      <c r="D905" s="1" t="s">
        <v>11</v>
      </c>
      <c r="E905" s="1" t="s">
        <v>17</v>
      </c>
      <c r="F905" s="1">
        <v>82</v>
      </c>
      <c r="G905" s="1">
        <v>77</v>
      </c>
      <c r="H905" s="1">
        <v>78</v>
      </c>
      <c r="I905">
        <f t="shared" si="70"/>
        <v>237</v>
      </c>
      <c r="J905">
        <f t="shared" si="71"/>
        <v>1</v>
      </c>
      <c r="K905">
        <f t="shared" si="72"/>
        <v>144</v>
      </c>
      <c r="L905">
        <f t="shared" si="73"/>
        <v>143</v>
      </c>
      <c r="M905">
        <f t="shared" si="74"/>
        <v>20449</v>
      </c>
    </row>
    <row r="906" spans="1:13" ht="13.2" x14ac:dyDescent="0.25">
      <c r="A906" s="1" t="s">
        <v>19</v>
      </c>
      <c r="B906" s="1" t="s">
        <v>18</v>
      </c>
      <c r="C906" s="1" t="s">
        <v>16</v>
      </c>
      <c r="D906" s="1" t="s">
        <v>23</v>
      </c>
      <c r="E906" s="1" t="s">
        <v>17</v>
      </c>
      <c r="F906" s="1">
        <v>76</v>
      </c>
      <c r="G906" s="1">
        <v>70</v>
      </c>
      <c r="H906" s="1">
        <v>72</v>
      </c>
      <c r="I906">
        <f t="shared" si="70"/>
        <v>218</v>
      </c>
      <c r="J906">
        <f t="shared" si="71"/>
        <v>1</v>
      </c>
      <c r="K906">
        <f t="shared" si="72"/>
        <v>223</v>
      </c>
      <c r="L906">
        <f t="shared" si="73"/>
        <v>222</v>
      </c>
      <c r="M906">
        <f t="shared" si="74"/>
        <v>49284</v>
      </c>
    </row>
    <row r="907" spans="1:13" ht="13.2" x14ac:dyDescent="0.25">
      <c r="A907" s="1" t="s">
        <v>8</v>
      </c>
      <c r="B907" s="1" t="s">
        <v>9</v>
      </c>
      <c r="C907" s="1" t="s">
        <v>14</v>
      </c>
      <c r="D907" s="1" t="s">
        <v>11</v>
      </c>
      <c r="E907" s="1" t="s">
        <v>12</v>
      </c>
      <c r="F907" s="1">
        <v>48</v>
      </c>
      <c r="G907" s="1">
        <v>52</v>
      </c>
      <c r="H907" s="1">
        <v>55</v>
      </c>
      <c r="I907">
        <f t="shared" si="70"/>
        <v>155</v>
      </c>
      <c r="J907">
        <f t="shared" si="71"/>
        <v>0</v>
      </c>
      <c r="K907">
        <f t="shared" si="72"/>
        <v>511</v>
      </c>
      <c r="L907">
        <f t="shared" si="73"/>
        <v>511</v>
      </c>
      <c r="M907">
        <f t="shared" si="74"/>
        <v>261121</v>
      </c>
    </row>
    <row r="908" spans="1:13" ht="13.2" x14ac:dyDescent="0.25">
      <c r="A908" s="1" t="s">
        <v>8</v>
      </c>
      <c r="B908" s="1" t="s">
        <v>18</v>
      </c>
      <c r="C908" s="1" t="s">
        <v>22</v>
      </c>
      <c r="D908" s="1" t="s">
        <v>23</v>
      </c>
      <c r="E908" s="1" t="s">
        <v>12</v>
      </c>
      <c r="F908" s="1">
        <v>29</v>
      </c>
      <c r="G908" s="1">
        <v>39</v>
      </c>
      <c r="H908" s="1">
        <v>37</v>
      </c>
      <c r="I908">
        <f t="shared" si="70"/>
        <v>105</v>
      </c>
      <c r="J908">
        <f t="shared" si="71"/>
        <v>0</v>
      </c>
      <c r="K908" t="e">
        <f t="shared" si="72"/>
        <v>#N/A</v>
      </c>
      <c r="L908" t="e">
        <f t="shared" si="73"/>
        <v>#N/A</v>
      </c>
      <c r="M908" t="e">
        <f t="shared" si="74"/>
        <v>#N/A</v>
      </c>
    </row>
    <row r="909" spans="1:13" ht="13.2" x14ac:dyDescent="0.25">
      <c r="A909" s="1" t="s">
        <v>19</v>
      </c>
      <c r="B909" s="1" t="s">
        <v>13</v>
      </c>
      <c r="C909" s="1" t="s">
        <v>16</v>
      </c>
      <c r="D909" s="1" t="s">
        <v>11</v>
      </c>
      <c r="E909" s="1" t="s">
        <v>17</v>
      </c>
      <c r="F909" s="1">
        <v>74</v>
      </c>
      <c r="G909" s="1">
        <v>72</v>
      </c>
      <c r="H909" s="1">
        <v>74</v>
      </c>
      <c r="I909">
        <f t="shared" si="70"/>
        <v>220</v>
      </c>
      <c r="J909">
        <f t="shared" si="71"/>
        <v>1</v>
      </c>
      <c r="K909">
        <f t="shared" si="72"/>
        <v>213.5</v>
      </c>
      <c r="L909">
        <f t="shared" si="73"/>
        <v>212.5</v>
      </c>
      <c r="M909">
        <f t="shared" si="74"/>
        <v>45156.25</v>
      </c>
    </row>
    <row r="910" spans="1:13" ht="13.2" x14ac:dyDescent="0.25">
      <c r="A910" s="1" t="s">
        <v>19</v>
      </c>
      <c r="B910" s="1" t="s">
        <v>18</v>
      </c>
      <c r="C910" s="1" t="s">
        <v>14</v>
      </c>
      <c r="D910" s="1" t="s">
        <v>11</v>
      </c>
      <c r="E910" s="1" t="s">
        <v>12</v>
      </c>
      <c r="F910" s="1">
        <v>58</v>
      </c>
      <c r="G910" s="1">
        <v>53</v>
      </c>
      <c r="H910" s="1">
        <v>52</v>
      </c>
      <c r="I910">
        <f t="shared" si="70"/>
        <v>163</v>
      </c>
      <c r="J910">
        <f t="shared" si="71"/>
        <v>0</v>
      </c>
      <c r="K910">
        <f t="shared" si="72"/>
        <v>481</v>
      </c>
      <c r="L910">
        <f t="shared" si="73"/>
        <v>481</v>
      </c>
      <c r="M910">
        <f t="shared" si="74"/>
        <v>231361</v>
      </c>
    </row>
    <row r="911" spans="1:13" ht="13.2" x14ac:dyDescent="0.25">
      <c r="A911" s="1" t="s">
        <v>8</v>
      </c>
      <c r="B911" s="1" t="s">
        <v>13</v>
      </c>
      <c r="C911" s="1" t="s">
        <v>10</v>
      </c>
      <c r="D911" s="1" t="s">
        <v>23</v>
      </c>
      <c r="E911" s="1" t="s">
        <v>12</v>
      </c>
      <c r="F911" s="1">
        <v>54</v>
      </c>
      <c r="G911" s="1">
        <v>66</v>
      </c>
      <c r="H911" s="1">
        <v>67</v>
      </c>
      <c r="I911">
        <f t="shared" si="70"/>
        <v>187</v>
      </c>
      <c r="J911">
        <f t="shared" si="71"/>
        <v>0</v>
      </c>
      <c r="K911">
        <f t="shared" si="72"/>
        <v>380</v>
      </c>
      <c r="L911">
        <f t="shared" si="73"/>
        <v>380</v>
      </c>
      <c r="M911">
        <f t="shared" si="74"/>
        <v>144400</v>
      </c>
    </row>
    <row r="912" spans="1:13" ht="13.2" x14ac:dyDescent="0.25">
      <c r="A912" s="1" t="s">
        <v>19</v>
      </c>
      <c r="B912" s="1" t="s">
        <v>9</v>
      </c>
      <c r="C912" s="1" t="s">
        <v>24</v>
      </c>
      <c r="D912" s="1" t="s">
        <v>23</v>
      </c>
      <c r="E912" s="1" t="s">
        <v>12</v>
      </c>
      <c r="F912" s="1">
        <v>50</v>
      </c>
      <c r="G912" s="1">
        <v>45</v>
      </c>
      <c r="H912" s="1">
        <v>49</v>
      </c>
      <c r="I912">
        <f t="shared" si="70"/>
        <v>144</v>
      </c>
      <c r="J912">
        <f t="shared" si="71"/>
        <v>0</v>
      </c>
      <c r="K912">
        <f t="shared" si="72"/>
        <v>540</v>
      </c>
      <c r="L912">
        <f t="shared" si="73"/>
        <v>540</v>
      </c>
      <c r="M912">
        <f t="shared" si="74"/>
        <v>291600</v>
      </c>
    </row>
    <row r="913" spans="1:13" ht="13.2" x14ac:dyDescent="0.25">
      <c r="A913" s="1" t="s">
        <v>19</v>
      </c>
      <c r="B913" s="1" t="s">
        <v>9</v>
      </c>
      <c r="C913" s="1" t="s">
        <v>24</v>
      </c>
      <c r="D913" s="1" t="s">
        <v>23</v>
      </c>
      <c r="E913" s="1" t="s">
        <v>17</v>
      </c>
      <c r="F913" s="1">
        <v>58</v>
      </c>
      <c r="G913" s="1">
        <v>60</v>
      </c>
      <c r="H913" s="1">
        <v>61</v>
      </c>
      <c r="I913">
        <f t="shared" si="70"/>
        <v>179</v>
      </c>
      <c r="J913">
        <f t="shared" si="71"/>
        <v>1</v>
      </c>
      <c r="K913" t="e">
        <f t="shared" si="72"/>
        <v>#N/A</v>
      </c>
      <c r="L913" t="e">
        <f t="shared" si="73"/>
        <v>#N/A</v>
      </c>
      <c r="M913" t="e">
        <f t="shared" si="74"/>
        <v>#N/A</v>
      </c>
    </row>
    <row r="914" spans="1:13" ht="13.2" x14ac:dyDescent="0.25">
      <c r="A914" s="1" t="s">
        <v>19</v>
      </c>
      <c r="B914" s="1" t="s">
        <v>18</v>
      </c>
      <c r="C914" s="1" t="s">
        <v>22</v>
      </c>
      <c r="D914" s="1" t="s">
        <v>11</v>
      </c>
      <c r="E914" s="1" t="s">
        <v>12</v>
      </c>
      <c r="F914" s="1">
        <v>80</v>
      </c>
      <c r="G914" s="1">
        <v>77</v>
      </c>
      <c r="H914" s="1">
        <v>69</v>
      </c>
      <c r="I914">
        <f t="shared" si="70"/>
        <v>226</v>
      </c>
      <c r="J914">
        <f t="shared" si="71"/>
        <v>0</v>
      </c>
      <c r="K914">
        <f t="shared" si="72"/>
        <v>186.5</v>
      </c>
      <c r="L914">
        <f t="shared" si="73"/>
        <v>186.5</v>
      </c>
      <c r="M914">
        <f t="shared" si="74"/>
        <v>34782.25</v>
      </c>
    </row>
    <row r="915" spans="1:13" ht="13.2" x14ac:dyDescent="0.25">
      <c r="A915" s="1" t="s">
        <v>8</v>
      </c>
      <c r="B915" s="1" t="s">
        <v>15</v>
      </c>
      <c r="C915" s="1" t="s">
        <v>22</v>
      </c>
      <c r="D915" s="1" t="s">
        <v>11</v>
      </c>
      <c r="E915" s="1" t="s">
        <v>17</v>
      </c>
      <c r="F915" s="1">
        <v>56</v>
      </c>
      <c r="G915" s="1">
        <v>59</v>
      </c>
      <c r="H915" s="1">
        <v>60</v>
      </c>
      <c r="I915">
        <f t="shared" si="70"/>
        <v>175</v>
      </c>
      <c r="J915">
        <f t="shared" si="71"/>
        <v>1</v>
      </c>
      <c r="K915">
        <f t="shared" si="72"/>
        <v>426.5</v>
      </c>
      <c r="L915">
        <f t="shared" si="73"/>
        <v>425.5</v>
      </c>
      <c r="M915">
        <f t="shared" si="74"/>
        <v>181050.25</v>
      </c>
    </row>
    <row r="916" spans="1:13" ht="13.2" x14ac:dyDescent="0.25">
      <c r="A916" s="1" t="s">
        <v>8</v>
      </c>
      <c r="B916" s="1" t="s">
        <v>18</v>
      </c>
      <c r="C916" s="1" t="s">
        <v>22</v>
      </c>
      <c r="D916" s="1" t="s">
        <v>23</v>
      </c>
      <c r="E916" s="1" t="s">
        <v>12</v>
      </c>
      <c r="F916" s="1">
        <v>29</v>
      </c>
      <c r="G916" s="1">
        <v>35</v>
      </c>
      <c r="H916" s="1">
        <v>40</v>
      </c>
      <c r="I916">
        <f t="shared" si="70"/>
        <v>104</v>
      </c>
      <c r="J916">
        <f t="shared" si="71"/>
        <v>0</v>
      </c>
      <c r="K916">
        <f t="shared" si="72"/>
        <v>592.5</v>
      </c>
      <c r="L916">
        <f t="shared" si="73"/>
        <v>592.5</v>
      </c>
      <c r="M916">
        <f t="shared" si="74"/>
        <v>351056.25</v>
      </c>
    </row>
    <row r="917" spans="1:13" ht="13.2" x14ac:dyDescent="0.25">
      <c r="A917" s="1" t="s">
        <v>8</v>
      </c>
      <c r="B917" s="1" t="s">
        <v>18</v>
      </c>
      <c r="C917" s="1" t="s">
        <v>14</v>
      </c>
      <c r="D917" s="1" t="s">
        <v>23</v>
      </c>
      <c r="E917" s="1" t="s">
        <v>12</v>
      </c>
      <c r="F917" s="1">
        <v>62</v>
      </c>
      <c r="G917" s="1">
        <v>70</v>
      </c>
      <c r="H917" s="1">
        <v>68</v>
      </c>
      <c r="I917">
        <f t="shared" si="70"/>
        <v>200</v>
      </c>
      <c r="J917">
        <f t="shared" si="71"/>
        <v>0</v>
      </c>
      <c r="K917">
        <f t="shared" si="72"/>
        <v>300.5</v>
      </c>
      <c r="L917">
        <f t="shared" si="73"/>
        <v>300.5</v>
      </c>
      <c r="M917">
        <f t="shared" si="74"/>
        <v>90300.25</v>
      </c>
    </row>
    <row r="918" spans="1:13" ht="13.2" x14ac:dyDescent="0.25">
      <c r="A918" s="1" t="s">
        <v>19</v>
      </c>
      <c r="B918" s="1" t="s">
        <v>18</v>
      </c>
      <c r="C918" s="1" t="s">
        <v>22</v>
      </c>
      <c r="D918" s="1" t="s">
        <v>11</v>
      </c>
      <c r="E918" s="1" t="s">
        <v>12</v>
      </c>
      <c r="F918" s="1">
        <v>52</v>
      </c>
      <c r="G918" s="1">
        <v>44</v>
      </c>
      <c r="H918" s="1">
        <v>45</v>
      </c>
      <c r="I918">
        <f t="shared" si="70"/>
        <v>141</v>
      </c>
      <c r="J918">
        <f t="shared" si="71"/>
        <v>0</v>
      </c>
      <c r="K918">
        <f t="shared" si="72"/>
        <v>549</v>
      </c>
      <c r="L918">
        <f t="shared" si="73"/>
        <v>549</v>
      </c>
      <c r="M918">
        <f t="shared" si="74"/>
        <v>301401</v>
      </c>
    </row>
    <row r="919" spans="1:13" ht="13.2" x14ac:dyDescent="0.25">
      <c r="A919" s="1" t="s">
        <v>19</v>
      </c>
      <c r="B919" s="1" t="s">
        <v>18</v>
      </c>
      <c r="C919" s="1" t="s">
        <v>10</v>
      </c>
      <c r="D919" s="1" t="s">
        <v>23</v>
      </c>
      <c r="E919" s="1" t="s">
        <v>17</v>
      </c>
      <c r="F919" s="1">
        <v>44</v>
      </c>
      <c r="G919" s="1">
        <v>45</v>
      </c>
      <c r="H919" s="1">
        <v>44</v>
      </c>
      <c r="I919">
        <f t="shared" si="70"/>
        <v>133</v>
      </c>
      <c r="J919">
        <f t="shared" si="71"/>
        <v>1</v>
      </c>
      <c r="K919">
        <f t="shared" si="72"/>
        <v>569.5</v>
      </c>
      <c r="L919">
        <f t="shared" si="73"/>
        <v>568.5</v>
      </c>
      <c r="M919">
        <f t="shared" si="74"/>
        <v>323192.25</v>
      </c>
    </row>
    <row r="920" spans="1:13" ht="13.2" x14ac:dyDescent="0.25">
      <c r="A920" s="1" t="s">
        <v>8</v>
      </c>
      <c r="B920" s="1" t="s">
        <v>9</v>
      </c>
      <c r="C920" s="1" t="s">
        <v>24</v>
      </c>
      <c r="D920" s="1" t="s">
        <v>23</v>
      </c>
      <c r="E920" s="1" t="s">
        <v>12</v>
      </c>
      <c r="F920" s="1">
        <v>66</v>
      </c>
      <c r="G920" s="1">
        <v>64</v>
      </c>
      <c r="H920" s="1">
        <v>66</v>
      </c>
      <c r="I920">
        <f t="shared" si="70"/>
        <v>196</v>
      </c>
      <c r="J920">
        <f t="shared" si="71"/>
        <v>0</v>
      </c>
      <c r="K920">
        <f t="shared" si="72"/>
        <v>323.5</v>
      </c>
      <c r="L920">
        <f t="shared" si="73"/>
        <v>323.5</v>
      </c>
      <c r="M920">
        <f t="shared" si="74"/>
        <v>104652.25</v>
      </c>
    </row>
    <row r="921" spans="1:13" ht="13.2" x14ac:dyDescent="0.25">
      <c r="A921" s="1" t="s">
        <v>8</v>
      </c>
      <c r="B921" s="1" t="s">
        <v>9</v>
      </c>
      <c r="C921" s="1" t="s">
        <v>16</v>
      </c>
      <c r="D921" s="1" t="s">
        <v>23</v>
      </c>
      <c r="E921" s="1" t="s">
        <v>12</v>
      </c>
      <c r="F921" s="1">
        <v>41</v>
      </c>
      <c r="G921" s="1">
        <v>48</v>
      </c>
      <c r="H921" s="1">
        <v>48</v>
      </c>
      <c r="I921">
        <f t="shared" si="70"/>
        <v>137</v>
      </c>
      <c r="J921">
        <f t="shared" si="71"/>
        <v>0</v>
      </c>
      <c r="K921">
        <f t="shared" si="72"/>
        <v>557</v>
      </c>
      <c r="L921">
        <f t="shared" si="73"/>
        <v>557</v>
      </c>
      <c r="M921">
        <f t="shared" si="74"/>
        <v>310249</v>
      </c>
    </row>
    <row r="922" spans="1:13" ht="13.2" x14ac:dyDescent="0.25">
      <c r="A922" s="1" t="s">
        <v>19</v>
      </c>
      <c r="B922" s="1" t="s">
        <v>13</v>
      </c>
      <c r="C922" s="1" t="s">
        <v>10</v>
      </c>
      <c r="D922" s="1" t="s">
        <v>23</v>
      </c>
      <c r="E922" s="1" t="s">
        <v>17</v>
      </c>
      <c r="F922" s="1">
        <v>47</v>
      </c>
      <c r="G922" s="1">
        <v>63</v>
      </c>
      <c r="H922" s="1">
        <v>61</v>
      </c>
      <c r="I922">
        <f t="shared" si="70"/>
        <v>171</v>
      </c>
      <c r="J922">
        <f t="shared" si="71"/>
        <v>1</v>
      </c>
      <c r="K922">
        <f t="shared" si="72"/>
        <v>450</v>
      </c>
      <c r="L922">
        <f t="shared" si="73"/>
        <v>449</v>
      </c>
      <c r="M922">
        <f t="shared" si="74"/>
        <v>201601</v>
      </c>
    </row>
    <row r="923" spans="1:13" ht="13.2" x14ac:dyDescent="0.25">
      <c r="A923" s="1" t="s">
        <v>8</v>
      </c>
      <c r="B923" s="1" t="s">
        <v>13</v>
      </c>
      <c r="C923" s="1" t="s">
        <v>14</v>
      </c>
      <c r="D923" s="1" t="s">
        <v>23</v>
      </c>
      <c r="E923" s="1" t="s">
        <v>12</v>
      </c>
      <c r="F923" s="1">
        <v>48</v>
      </c>
      <c r="G923" s="1">
        <v>48</v>
      </c>
      <c r="H923" s="1">
        <v>52</v>
      </c>
      <c r="I923">
        <f t="shared" si="70"/>
        <v>148</v>
      </c>
      <c r="J923">
        <f t="shared" si="71"/>
        <v>0</v>
      </c>
      <c r="K923">
        <f t="shared" si="72"/>
        <v>529</v>
      </c>
      <c r="L923">
        <f t="shared" si="73"/>
        <v>529</v>
      </c>
      <c r="M923">
        <f t="shared" si="74"/>
        <v>279841</v>
      </c>
    </row>
    <row r="924" spans="1:13" ht="13.2" x14ac:dyDescent="0.25">
      <c r="A924" s="1" t="s">
        <v>19</v>
      </c>
      <c r="B924" s="1" t="s">
        <v>13</v>
      </c>
      <c r="C924" s="1" t="s">
        <v>14</v>
      </c>
      <c r="D924" s="1" t="s">
        <v>11</v>
      </c>
      <c r="E924" s="1" t="s">
        <v>12</v>
      </c>
      <c r="F924" s="1">
        <v>79</v>
      </c>
      <c r="G924" s="1">
        <v>65</v>
      </c>
      <c r="H924" s="1">
        <v>67</v>
      </c>
      <c r="I924">
        <f t="shared" si="70"/>
        <v>211</v>
      </c>
      <c r="J924">
        <f t="shared" si="71"/>
        <v>0</v>
      </c>
      <c r="K924">
        <f t="shared" si="72"/>
        <v>248.5</v>
      </c>
      <c r="L924">
        <f t="shared" si="73"/>
        <v>248.5</v>
      </c>
      <c r="M924">
        <f t="shared" si="74"/>
        <v>61752.25</v>
      </c>
    </row>
    <row r="925" spans="1:13" ht="13.2" x14ac:dyDescent="0.25">
      <c r="A925" s="1" t="s">
        <v>19</v>
      </c>
      <c r="B925" s="1" t="s">
        <v>18</v>
      </c>
      <c r="C925" s="1" t="s">
        <v>10</v>
      </c>
      <c r="D925" s="1" t="s">
        <v>23</v>
      </c>
      <c r="E925" s="1" t="s">
        <v>12</v>
      </c>
      <c r="F925" s="1">
        <v>56</v>
      </c>
      <c r="G925" s="1">
        <v>52</v>
      </c>
      <c r="H925" s="1">
        <v>44</v>
      </c>
      <c r="I925">
        <f t="shared" si="70"/>
        <v>152</v>
      </c>
      <c r="J925">
        <f t="shared" si="71"/>
        <v>0</v>
      </c>
      <c r="K925">
        <f t="shared" si="72"/>
        <v>522.5</v>
      </c>
      <c r="L925">
        <f t="shared" si="73"/>
        <v>522.5</v>
      </c>
      <c r="M925">
        <f t="shared" si="74"/>
        <v>273006.25</v>
      </c>
    </row>
    <row r="926" spans="1:13" ht="13.2" x14ac:dyDescent="0.25">
      <c r="A926" s="1" t="s">
        <v>19</v>
      </c>
      <c r="B926" s="1" t="s">
        <v>9</v>
      </c>
      <c r="C926" s="1" t="s">
        <v>14</v>
      </c>
      <c r="D926" s="1" t="s">
        <v>11</v>
      </c>
      <c r="E926" s="1" t="s">
        <v>12</v>
      </c>
      <c r="F926" s="1">
        <v>63</v>
      </c>
      <c r="G926" s="1">
        <v>58</v>
      </c>
      <c r="H926" s="1">
        <v>57</v>
      </c>
      <c r="I926">
        <f t="shared" si="70"/>
        <v>178</v>
      </c>
      <c r="J926">
        <f t="shared" si="71"/>
        <v>0</v>
      </c>
      <c r="K926">
        <f t="shared" si="72"/>
        <v>414.5</v>
      </c>
      <c r="L926">
        <f t="shared" si="73"/>
        <v>414.5</v>
      </c>
      <c r="M926">
        <f t="shared" si="74"/>
        <v>171810.25</v>
      </c>
    </row>
    <row r="927" spans="1:13" ht="13.2" x14ac:dyDescent="0.25">
      <c r="A927" s="1" t="s">
        <v>8</v>
      </c>
      <c r="B927" s="1" t="s">
        <v>9</v>
      </c>
      <c r="C927" s="1" t="s">
        <v>22</v>
      </c>
      <c r="D927" s="1" t="s">
        <v>11</v>
      </c>
      <c r="E927" s="1" t="s">
        <v>12</v>
      </c>
      <c r="F927" s="1">
        <v>56</v>
      </c>
      <c r="G927" s="1">
        <v>67</v>
      </c>
      <c r="H927" s="1">
        <v>62</v>
      </c>
      <c r="I927">
        <f t="shared" si="70"/>
        <v>185</v>
      </c>
      <c r="J927">
        <f t="shared" si="71"/>
        <v>0</v>
      </c>
      <c r="K927">
        <f t="shared" si="72"/>
        <v>389.5</v>
      </c>
      <c r="L927">
        <f t="shared" si="73"/>
        <v>389.5</v>
      </c>
      <c r="M927">
        <f t="shared" si="74"/>
        <v>151710.25</v>
      </c>
    </row>
    <row r="928" spans="1:13" ht="13.2" x14ac:dyDescent="0.25">
      <c r="A928" s="1" t="s">
        <v>19</v>
      </c>
      <c r="B928" s="1" t="s">
        <v>18</v>
      </c>
      <c r="C928" s="1" t="s">
        <v>14</v>
      </c>
      <c r="D928" s="1" t="s">
        <v>11</v>
      </c>
      <c r="E928" s="1" t="s">
        <v>17</v>
      </c>
      <c r="F928" s="1">
        <v>74</v>
      </c>
      <c r="G928" s="1">
        <v>71</v>
      </c>
      <c r="H928" s="1">
        <v>71</v>
      </c>
      <c r="I928">
        <f t="shared" si="70"/>
        <v>216</v>
      </c>
      <c r="J928">
        <f t="shared" si="71"/>
        <v>1</v>
      </c>
      <c r="K928">
        <f t="shared" si="72"/>
        <v>231</v>
      </c>
      <c r="L928">
        <f t="shared" si="73"/>
        <v>230</v>
      </c>
      <c r="M928">
        <f t="shared" si="74"/>
        <v>52900</v>
      </c>
    </row>
    <row r="929" spans="1:13" ht="13.2" x14ac:dyDescent="0.25">
      <c r="A929" s="1" t="s">
        <v>19</v>
      </c>
      <c r="B929" s="1" t="s">
        <v>9</v>
      </c>
      <c r="C929" s="1" t="s">
        <v>14</v>
      </c>
      <c r="D929" s="1" t="s">
        <v>11</v>
      </c>
      <c r="E929" s="1" t="s">
        <v>12</v>
      </c>
      <c r="F929" s="1">
        <v>51</v>
      </c>
      <c r="G929" s="1">
        <v>44</v>
      </c>
      <c r="H929" s="1">
        <v>49</v>
      </c>
      <c r="I929">
        <f t="shared" si="70"/>
        <v>144</v>
      </c>
      <c r="J929">
        <f t="shared" si="71"/>
        <v>0</v>
      </c>
      <c r="K929">
        <f t="shared" si="72"/>
        <v>540</v>
      </c>
      <c r="L929">
        <f t="shared" si="73"/>
        <v>540</v>
      </c>
      <c r="M929">
        <f t="shared" si="74"/>
        <v>291600</v>
      </c>
    </row>
    <row r="930" spans="1:13" ht="13.2" x14ac:dyDescent="0.25">
      <c r="A930" s="1" t="s">
        <v>19</v>
      </c>
      <c r="B930" s="1" t="s">
        <v>15</v>
      </c>
      <c r="C930" s="1" t="s">
        <v>24</v>
      </c>
      <c r="D930" s="1" t="s">
        <v>11</v>
      </c>
      <c r="E930" s="1" t="s">
        <v>17</v>
      </c>
      <c r="F930" s="1">
        <v>92</v>
      </c>
      <c r="G930" s="1">
        <v>96</v>
      </c>
      <c r="H930" s="1">
        <v>93</v>
      </c>
      <c r="I930">
        <f t="shared" si="70"/>
        <v>281</v>
      </c>
      <c r="J930">
        <f t="shared" si="71"/>
        <v>1</v>
      </c>
      <c r="K930" t="e">
        <f t="shared" si="72"/>
        <v>#N/A</v>
      </c>
      <c r="L930" t="e">
        <f t="shared" si="73"/>
        <v>#N/A</v>
      </c>
      <c r="M930" t="e">
        <f t="shared" si="74"/>
        <v>#N/A</v>
      </c>
    </row>
    <row r="931" spans="1:13" ht="13.2" x14ac:dyDescent="0.25">
      <c r="A931" s="1" t="s">
        <v>8</v>
      </c>
      <c r="B931" s="1" t="s">
        <v>13</v>
      </c>
      <c r="C931" s="1" t="s">
        <v>24</v>
      </c>
      <c r="D931" s="1" t="s">
        <v>23</v>
      </c>
      <c r="E931" s="1" t="s">
        <v>17</v>
      </c>
      <c r="F931" s="1">
        <v>59</v>
      </c>
      <c r="G931" s="1">
        <v>71</v>
      </c>
      <c r="H931" s="1">
        <v>72</v>
      </c>
      <c r="I931">
        <f t="shared" si="70"/>
        <v>202</v>
      </c>
      <c r="J931">
        <f t="shared" si="71"/>
        <v>1</v>
      </c>
      <c r="K931">
        <f t="shared" si="72"/>
        <v>292</v>
      </c>
      <c r="L931">
        <f t="shared" si="73"/>
        <v>291</v>
      </c>
      <c r="M931">
        <f t="shared" si="74"/>
        <v>84681</v>
      </c>
    </row>
    <row r="932" spans="1:13" ht="13.2" x14ac:dyDescent="0.25">
      <c r="A932" s="1" t="s">
        <v>19</v>
      </c>
      <c r="B932" s="1" t="s">
        <v>21</v>
      </c>
      <c r="C932" s="1" t="s">
        <v>22</v>
      </c>
      <c r="D932" s="1" t="s">
        <v>23</v>
      </c>
      <c r="E932" s="1" t="s">
        <v>12</v>
      </c>
      <c r="F932" s="1">
        <v>73</v>
      </c>
      <c r="G932" s="1">
        <v>69</v>
      </c>
      <c r="H932" s="1">
        <v>62</v>
      </c>
      <c r="I932">
        <f t="shared" si="70"/>
        <v>204</v>
      </c>
      <c r="J932">
        <f t="shared" si="71"/>
        <v>0</v>
      </c>
      <c r="K932">
        <f t="shared" si="72"/>
        <v>281.5</v>
      </c>
      <c r="L932">
        <f t="shared" si="73"/>
        <v>281.5</v>
      </c>
      <c r="M932">
        <f t="shared" si="74"/>
        <v>79242.25</v>
      </c>
    </row>
    <row r="933" spans="1:13" ht="13.2" x14ac:dyDescent="0.25">
      <c r="A933" s="1" t="s">
        <v>19</v>
      </c>
      <c r="B933" s="1" t="s">
        <v>13</v>
      </c>
      <c r="C933" s="1" t="s">
        <v>16</v>
      </c>
      <c r="D933" s="1" t="s">
        <v>23</v>
      </c>
      <c r="E933" s="1" t="s">
        <v>17</v>
      </c>
      <c r="F933" s="1">
        <v>72</v>
      </c>
      <c r="G933" s="1">
        <v>73</v>
      </c>
      <c r="H933" s="1">
        <v>72</v>
      </c>
      <c r="I933">
        <f t="shared" si="70"/>
        <v>217</v>
      </c>
      <c r="J933">
        <f t="shared" si="71"/>
        <v>1</v>
      </c>
      <c r="K933">
        <f t="shared" si="72"/>
        <v>227</v>
      </c>
      <c r="L933">
        <f t="shared" si="73"/>
        <v>226</v>
      </c>
      <c r="M933">
        <f t="shared" si="74"/>
        <v>51076</v>
      </c>
    </row>
    <row r="934" spans="1:13" ht="13.2" x14ac:dyDescent="0.25">
      <c r="A934" s="1" t="s">
        <v>19</v>
      </c>
      <c r="B934" s="1" t="s">
        <v>13</v>
      </c>
      <c r="C934" s="1" t="s">
        <v>22</v>
      </c>
      <c r="D934" s="1" t="s">
        <v>23</v>
      </c>
      <c r="E934" s="1" t="s">
        <v>17</v>
      </c>
      <c r="F934" s="1">
        <v>79</v>
      </c>
      <c r="G934" s="1">
        <v>78</v>
      </c>
      <c r="H934" s="1">
        <v>77</v>
      </c>
      <c r="I934">
        <f t="shared" si="70"/>
        <v>234</v>
      </c>
      <c r="J934">
        <f t="shared" si="71"/>
        <v>1</v>
      </c>
      <c r="K934">
        <f t="shared" si="72"/>
        <v>159</v>
      </c>
      <c r="L934">
        <f t="shared" si="73"/>
        <v>158</v>
      </c>
      <c r="M934">
        <f t="shared" si="74"/>
        <v>24964</v>
      </c>
    </row>
    <row r="935" spans="1:13" ht="13.2" x14ac:dyDescent="0.25">
      <c r="A935" s="1" t="s">
        <v>19</v>
      </c>
      <c r="B935" s="1" t="s">
        <v>13</v>
      </c>
      <c r="C935" s="1" t="s">
        <v>24</v>
      </c>
      <c r="D935" s="1" t="s">
        <v>23</v>
      </c>
      <c r="E935" s="1" t="s">
        <v>12</v>
      </c>
      <c r="F935" s="1">
        <v>75</v>
      </c>
      <c r="G935" s="1">
        <v>64</v>
      </c>
      <c r="H935" s="1">
        <v>70</v>
      </c>
      <c r="I935">
        <f t="shared" si="70"/>
        <v>209</v>
      </c>
      <c r="J935">
        <f t="shared" si="71"/>
        <v>0</v>
      </c>
      <c r="K935">
        <f t="shared" si="72"/>
        <v>257.5</v>
      </c>
      <c r="L935">
        <f t="shared" si="73"/>
        <v>257.5</v>
      </c>
      <c r="M935">
        <f t="shared" si="74"/>
        <v>66306.25</v>
      </c>
    </row>
    <row r="936" spans="1:13" ht="13.2" x14ac:dyDescent="0.25">
      <c r="A936" s="1" t="s">
        <v>19</v>
      </c>
      <c r="B936" s="1" t="s">
        <v>18</v>
      </c>
      <c r="C936" s="1" t="s">
        <v>16</v>
      </c>
      <c r="D936" s="1" t="s">
        <v>23</v>
      </c>
      <c r="E936" s="1" t="s">
        <v>17</v>
      </c>
      <c r="F936" s="1">
        <v>53</v>
      </c>
      <c r="G936" s="1">
        <v>55</v>
      </c>
      <c r="H936" s="1">
        <v>55</v>
      </c>
      <c r="I936">
        <f t="shared" si="70"/>
        <v>163</v>
      </c>
      <c r="J936">
        <f t="shared" si="71"/>
        <v>1</v>
      </c>
      <c r="K936">
        <f t="shared" si="72"/>
        <v>481</v>
      </c>
      <c r="L936">
        <f t="shared" si="73"/>
        <v>480</v>
      </c>
      <c r="M936">
        <f t="shared" si="74"/>
        <v>230400</v>
      </c>
    </row>
    <row r="937" spans="1:13" ht="13.2" x14ac:dyDescent="0.25">
      <c r="A937" s="1" t="s">
        <v>8</v>
      </c>
      <c r="B937" s="1" t="s">
        <v>13</v>
      </c>
      <c r="C937" s="1" t="s">
        <v>24</v>
      </c>
      <c r="D937" s="1" t="s">
        <v>11</v>
      </c>
      <c r="E937" s="1" t="s">
        <v>12</v>
      </c>
      <c r="F937" s="1">
        <v>79</v>
      </c>
      <c r="G937" s="1">
        <v>74</v>
      </c>
      <c r="H937" s="1">
        <v>81</v>
      </c>
      <c r="I937">
        <f t="shared" si="70"/>
        <v>234</v>
      </c>
      <c r="J937">
        <f t="shared" si="71"/>
        <v>0</v>
      </c>
      <c r="K937">
        <f t="shared" si="72"/>
        <v>159</v>
      </c>
      <c r="L937">
        <f t="shared" si="73"/>
        <v>159</v>
      </c>
      <c r="M937">
        <f t="shared" si="74"/>
        <v>25281</v>
      </c>
    </row>
    <row r="938" spans="1:13" ht="13.2" x14ac:dyDescent="0.25">
      <c r="A938" s="1" t="s">
        <v>19</v>
      </c>
      <c r="B938" s="1" t="s">
        <v>18</v>
      </c>
      <c r="C938" s="1" t="s">
        <v>10</v>
      </c>
      <c r="D938" s="1" t="s">
        <v>11</v>
      </c>
      <c r="E938" s="1" t="s">
        <v>12</v>
      </c>
      <c r="F938" s="1">
        <v>54</v>
      </c>
      <c r="G938" s="1">
        <v>52</v>
      </c>
      <c r="H938" s="1">
        <v>41</v>
      </c>
      <c r="I938">
        <f t="shared" si="70"/>
        <v>147</v>
      </c>
      <c r="J938">
        <f t="shared" si="71"/>
        <v>0</v>
      </c>
      <c r="K938">
        <f t="shared" si="72"/>
        <v>530</v>
      </c>
      <c r="L938">
        <f t="shared" si="73"/>
        <v>530</v>
      </c>
      <c r="M938">
        <f t="shared" si="74"/>
        <v>280900</v>
      </c>
    </row>
    <row r="939" spans="1:13" ht="13.2" x14ac:dyDescent="0.25">
      <c r="A939" s="1" t="s">
        <v>19</v>
      </c>
      <c r="B939" s="1" t="s">
        <v>15</v>
      </c>
      <c r="C939" s="1" t="s">
        <v>22</v>
      </c>
      <c r="D939" s="1" t="s">
        <v>11</v>
      </c>
      <c r="E939" s="1" t="s">
        <v>12</v>
      </c>
      <c r="F939" s="1">
        <v>71</v>
      </c>
      <c r="G939" s="1">
        <v>61</v>
      </c>
      <c r="H939" s="1">
        <v>61</v>
      </c>
      <c r="I939">
        <f t="shared" si="70"/>
        <v>193</v>
      </c>
      <c r="J939">
        <f t="shared" si="71"/>
        <v>0</v>
      </c>
      <c r="K939">
        <f t="shared" si="72"/>
        <v>344</v>
      </c>
      <c r="L939">
        <f t="shared" si="73"/>
        <v>344</v>
      </c>
      <c r="M939">
        <f t="shared" si="74"/>
        <v>118336</v>
      </c>
    </row>
    <row r="940" spans="1:13" ht="13.2" x14ac:dyDescent="0.25">
      <c r="A940" s="1" t="s">
        <v>19</v>
      </c>
      <c r="B940" s="1" t="s">
        <v>18</v>
      </c>
      <c r="C940" s="1" t="s">
        <v>10</v>
      </c>
      <c r="D940" s="1" t="s">
        <v>23</v>
      </c>
      <c r="E940" s="1" t="s">
        <v>12</v>
      </c>
      <c r="F940" s="1">
        <v>33</v>
      </c>
      <c r="G940" s="1">
        <v>44</v>
      </c>
      <c r="H940" s="1">
        <v>28</v>
      </c>
      <c r="I940">
        <f t="shared" si="70"/>
        <v>105</v>
      </c>
      <c r="J940">
        <f t="shared" si="71"/>
        <v>0</v>
      </c>
      <c r="K940" t="e">
        <f t="shared" si="72"/>
        <v>#N/A</v>
      </c>
      <c r="L940" t="e">
        <f t="shared" si="73"/>
        <v>#N/A</v>
      </c>
      <c r="M940" t="e">
        <f t="shared" si="74"/>
        <v>#N/A</v>
      </c>
    </row>
    <row r="941" spans="1:13" ht="13.2" x14ac:dyDescent="0.25">
      <c r="A941" s="1" t="s">
        <v>8</v>
      </c>
      <c r="B941" s="1" t="s">
        <v>13</v>
      </c>
      <c r="C941" s="1" t="s">
        <v>14</v>
      </c>
      <c r="D941" s="1" t="s">
        <v>11</v>
      </c>
      <c r="E941" s="1" t="s">
        <v>17</v>
      </c>
      <c r="F941" s="1">
        <v>82</v>
      </c>
      <c r="G941" s="1">
        <v>83</v>
      </c>
      <c r="H941" s="1">
        <v>87</v>
      </c>
      <c r="I941">
        <f t="shared" si="70"/>
        <v>252</v>
      </c>
      <c r="J941">
        <f t="shared" si="71"/>
        <v>1</v>
      </c>
      <c r="K941">
        <f t="shared" si="72"/>
        <v>88.5</v>
      </c>
      <c r="L941">
        <f t="shared" si="73"/>
        <v>87.5</v>
      </c>
      <c r="M941">
        <f t="shared" si="74"/>
        <v>7656.25</v>
      </c>
    </row>
    <row r="942" spans="1:13" ht="13.2" x14ac:dyDescent="0.25">
      <c r="A942" s="1" t="s">
        <v>19</v>
      </c>
      <c r="B942" s="1" t="s">
        <v>13</v>
      </c>
      <c r="C942" s="1" t="s">
        <v>16</v>
      </c>
      <c r="D942" s="1" t="s">
        <v>11</v>
      </c>
      <c r="E942" s="1" t="s">
        <v>12</v>
      </c>
      <c r="F942" s="1">
        <v>84</v>
      </c>
      <c r="G942" s="1">
        <v>81</v>
      </c>
      <c r="H942" s="1">
        <v>82</v>
      </c>
      <c r="I942">
        <f t="shared" si="70"/>
        <v>247</v>
      </c>
      <c r="J942">
        <f t="shared" si="71"/>
        <v>0</v>
      </c>
      <c r="K942">
        <f t="shared" si="72"/>
        <v>107</v>
      </c>
      <c r="L942">
        <f t="shared" si="73"/>
        <v>107</v>
      </c>
      <c r="M942">
        <f t="shared" si="74"/>
        <v>11449</v>
      </c>
    </row>
    <row r="943" spans="1:13" ht="13.2" x14ac:dyDescent="0.25">
      <c r="A943" s="1" t="s">
        <v>19</v>
      </c>
      <c r="B943" s="1" t="s">
        <v>21</v>
      </c>
      <c r="C943" s="1" t="s">
        <v>16</v>
      </c>
      <c r="D943" s="1" t="s">
        <v>23</v>
      </c>
      <c r="E943" s="1" t="s">
        <v>17</v>
      </c>
      <c r="F943" s="1">
        <v>74</v>
      </c>
      <c r="G943" s="1">
        <v>81</v>
      </c>
      <c r="H943" s="1">
        <v>76</v>
      </c>
      <c r="I943">
        <f t="shared" si="70"/>
        <v>231</v>
      </c>
      <c r="J943">
        <f t="shared" si="71"/>
        <v>1</v>
      </c>
      <c r="K943">
        <f t="shared" si="72"/>
        <v>168</v>
      </c>
      <c r="L943">
        <f t="shared" si="73"/>
        <v>167</v>
      </c>
      <c r="M943">
        <f t="shared" si="74"/>
        <v>27889</v>
      </c>
    </row>
    <row r="944" spans="1:13" ht="13.2" x14ac:dyDescent="0.25">
      <c r="A944" s="1" t="s">
        <v>8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62</v>
      </c>
      <c r="G944" s="1">
        <v>70</v>
      </c>
      <c r="H944" s="1">
        <v>73</v>
      </c>
      <c r="I944">
        <f t="shared" si="70"/>
        <v>205</v>
      </c>
      <c r="J944">
        <f t="shared" si="71"/>
        <v>0</v>
      </c>
      <c r="K944">
        <f t="shared" si="72"/>
        <v>277</v>
      </c>
      <c r="L944">
        <f t="shared" si="73"/>
        <v>277</v>
      </c>
      <c r="M944">
        <f t="shared" si="74"/>
        <v>76729</v>
      </c>
    </row>
    <row r="945" spans="1:13" ht="13.2" x14ac:dyDescent="0.25">
      <c r="A945" s="1" t="s">
        <v>8</v>
      </c>
      <c r="B945" s="1" t="s">
        <v>21</v>
      </c>
      <c r="C945" s="1" t="s">
        <v>14</v>
      </c>
      <c r="D945" s="1" t="s">
        <v>11</v>
      </c>
      <c r="E945" s="1" t="s">
        <v>17</v>
      </c>
      <c r="F945" s="1">
        <v>72</v>
      </c>
      <c r="G945" s="1">
        <v>70</v>
      </c>
      <c r="H945" s="1">
        <v>71</v>
      </c>
      <c r="I945">
        <f t="shared" si="70"/>
        <v>213</v>
      </c>
      <c r="J945">
        <f t="shared" si="71"/>
        <v>1</v>
      </c>
      <c r="K945">
        <f t="shared" si="72"/>
        <v>241</v>
      </c>
      <c r="L945">
        <f t="shared" si="73"/>
        <v>240</v>
      </c>
      <c r="M945">
        <f t="shared" si="74"/>
        <v>57600</v>
      </c>
    </row>
    <row r="946" spans="1:13" ht="13.2" x14ac:dyDescent="0.25">
      <c r="A946" s="1" t="s">
        <v>19</v>
      </c>
      <c r="B946" s="1" t="s">
        <v>21</v>
      </c>
      <c r="C946" s="1" t="s">
        <v>10</v>
      </c>
      <c r="D946" s="1" t="s">
        <v>11</v>
      </c>
      <c r="E946" s="1" t="s">
        <v>12</v>
      </c>
      <c r="F946" s="1">
        <v>78</v>
      </c>
      <c r="G946" s="1">
        <v>70</v>
      </c>
      <c r="H946" s="1">
        <v>70</v>
      </c>
      <c r="I946">
        <f t="shared" si="70"/>
        <v>218</v>
      </c>
      <c r="J946">
        <f t="shared" si="71"/>
        <v>0</v>
      </c>
      <c r="K946">
        <f t="shared" si="72"/>
        <v>223</v>
      </c>
      <c r="L946">
        <f t="shared" si="73"/>
        <v>223</v>
      </c>
      <c r="M946">
        <f t="shared" si="74"/>
        <v>49729</v>
      </c>
    </row>
    <row r="947" spans="1:13" ht="13.2" x14ac:dyDescent="0.25">
      <c r="A947" s="1" t="s">
        <v>19</v>
      </c>
      <c r="B947" s="1" t="s">
        <v>18</v>
      </c>
      <c r="C947" s="1" t="s">
        <v>10</v>
      </c>
      <c r="D947" s="1" t="s">
        <v>11</v>
      </c>
      <c r="E947" s="1" t="s">
        <v>12</v>
      </c>
      <c r="F947" s="1">
        <v>85</v>
      </c>
      <c r="G947" s="1">
        <v>84</v>
      </c>
      <c r="H947" s="1">
        <v>77</v>
      </c>
      <c r="I947">
        <f t="shared" si="70"/>
        <v>246</v>
      </c>
      <c r="J947">
        <f t="shared" si="71"/>
        <v>0</v>
      </c>
      <c r="K947">
        <f t="shared" si="72"/>
        <v>109.5</v>
      </c>
      <c r="L947">
        <f t="shared" si="73"/>
        <v>109.5</v>
      </c>
      <c r="M947">
        <f t="shared" si="74"/>
        <v>11990.25</v>
      </c>
    </row>
    <row r="948" spans="1:13" ht="13.2" x14ac:dyDescent="0.25">
      <c r="A948" s="1" t="s">
        <v>19</v>
      </c>
      <c r="B948" s="1" t="s">
        <v>18</v>
      </c>
      <c r="C948" s="1" t="s">
        <v>16</v>
      </c>
      <c r="D948" s="1" t="s">
        <v>11</v>
      </c>
      <c r="E948" s="1" t="s">
        <v>12</v>
      </c>
      <c r="F948" s="1">
        <v>57</v>
      </c>
      <c r="G948" s="1">
        <v>54</v>
      </c>
      <c r="H948" s="1">
        <v>51</v>
      </c>
      <c r="I948">
        <f t="shared" si="70"/>
        <v>162</v>
      </c>
      <c r="J948">
        <f t="shared" si="71"/>
        <v>0</v>
      </c>
      <c r="K948">
        <f t="shared" si="72"/>
        <v>484.5</v>
      </c>
      <c r="L948">
        <f t="shared" si="73"/>
        <v>484.5</v>
      </c>
      <c r="M948">
        <f t="shared" si="74"/>
        <v>234740.25</v>
      </c>
    </row>
    <row r="949" spans="1:13" ht="13.2" x14ac:dyDescent="0.25">
      <c r="A949" s="1" t="s">
        <v>19</v>
      </c>
      <c r="B949" s="1" t="s">
        <v>13</v>
      </c>
      <c r="C949" s="1" t="s">
        <v>14</v>
      </c>
      <c r="D949" s="1" t="s">
        <v>11</v>
      </c>
      <c r="E949" s="1" t="s">
        <v>12</v>
      </c>
      <c r="F949" s="1">
        <v>69</v>
      </c>
      <c r="G949" s="1">
        <v>58</v>
      </c>
      <c r="H949" s="1">
        <v>62</v>
      </c>
      <c r="I949">
        <f t="shared" si="70"/>
        <v>189</v>
      </c>
      <c r="J949">
        <f t="shared" si="71"/>
        <v>0</v>
      </c>
      <c r="K949">
        <f t="shared" si="72"/>
        <v>367</v>
      </c>
      <c r="L949">
        <f t="shared" si="73"/>
        <v>367</v>
      </c>
      <c r="M949">
        <f t="shared" si="74"/>
        <v>134689</v>
      </c>
    </row>
    <row r="950" spans="1:13" ht="13.2" x14ac:dyDescent="0.25">
      <c r="A950" s="1" t="s">
        <v>8</v>
      </c>
      <c r="B950" s="1" t="s">
        <v>13</v>
      </c>
      <c r="C950" s="1" t="s">
        <v>22</v>
      </c>
      <c r="D950" s="1" t="s">
        <v>11</v>
      </c>
      <c r="E950" s="1" t="s">
        <v>17</v>
      </c>
      <c r="F950" s="1">
        <v>62</v>
      </c>
      <c r="G950" s="1">
        <v>79</v>
      </c>
      <c r="H950" s="1">
        <v>80</v>
      </c>
      <c r="I950">
        <f t="shared" si="70"/>
        <v>221</v>
      </c>
      <c r="J950">
        <f t="shared" si="71"/>
        <v>1</v>
      </c>
      <c r="K950">
        <f t="shared" si="72"/>
        <v>209.5</v>
      </c>
      <c r="L950">
        <f t="shared" si="73"/>
        <v>208.5</v>
      </c>
      <c r="M950">
        <f t="shared" si="74"/>
        <v>43472.25</v>
      </c>
    </row>
    <row r="951" spans="1:13" ht="13.2" x14ac:dyDescent="0.25">
      <c r="A951" s="1" t="s">
        <v>19</v>
      </c>
      <c r="B951" s="1" t="s">
        <v>9</v>
      </c>
      <c r="C951" s="1" t="s">
        <v>24</v>
      </c>
      <c r="D951" s="1" t="s">
        <v>23</v>
      </c>
      <c r="E951" s="1" t="s">
        <v>12</v>
      </c>
      <c r="F951" s="1">
        <v>67</v>
      </c>
      <c r="G951" s="1">
        <v>70</v>
      </c>
      <c r="H951" s="1">
        <v>64</v>
      </c>
      <c r="I951">
        <f t="shared" si="70"/>
        <v>201</v>
      </c>
      <c r="J951">
        <f t="shared" si="71"/>
        <v>0</v>
      </c>
      <c r="K951">
        <f t="shared" si="72"/>
        <v>295.5</v>
      </c>
      <c r="L951">
        <f t="shared" si="73"/>
        <v>295.5</v>
      </c>
      <c r="M951">
        <f t="shared" si="74"/>
        <v>87320.25</v>
      </c>
    </row>
    <row r="952" spans="1:13" ht="13.2" x14ac:dyDescent="0.25">
      <c r="A952" s="1" t="s">
        <v>19</v>
      </c>
      <c r="B952" s="1" t="s">
        <v>15</v>
      </c>
      <c r="C952" s="1" t="s">
        <v>20</v>
      </c>
      <c r="D952" s="1" t="s">
        <v>23</v>
      </c>
      <c r="E952" s="1" t="s">
        <v>12</v>
      </c>
      <c r="F952" s="1">
        <v>44</v>
      </c>
      <c r="G952" s="1">
        <v>25</v>
      </c>
      <c r="H952" s="1">
        <v>31</v>
      </c>
      <c r="I952">
        <f t="shared" si="70"/>
        <v>100</v>
      </c>
      <c r="J952">
        <f t="shared" si="71"/>
        <v>0</v>
      </c>
      <c r="K952" t="e">
        <f t="shared" si="72"/>
        <v>#N/A</v>
      </c>
      <c r="L952" t="e">
        <f t="shared" si="73"/>
        <v>#N/A</v>
      </c>
      <c r="M952" t="e">
        <f t="shared" si="74"/>
        <v>#N/A</v>
      </c>
    </row>
    <row r="953" spans="1:13" ht="13.2" x14ac:dyDescent="0.25">
      <c r="A953" s="1" t="s">
        <v>8</v>
      </c>
      <c r="B953" s="1" t="s">
        <v>13</v>
      </c>
      <c r="C953" s="1" t="s">
        <v>10</v>
      </c>
      <c r="D953" s="1" t="s">
        <v>11</v>
      </c>
      <c r="E953" s="1" t="s">
        <v>12</v>
      </c>
      <c r="F953" s="1">
        <v>52</v>
      </c>
      <c r="G953" s="1">
        <v>61</v>
      </c>
      <c r="H953" s="1">
        <v>60</v>
      </c>
      <c r="I953">
        <f t="shared" si="70"/>
        <v>173</v>
      </c>
      <c r="J953">
        <f t="shared" si="71"/>
        <v>0</v>
      </c>
      <c r="K953">
        <f t="shared" si="72"/>
        <v>440.5</v>
      </c>
      <c r="L953">
        <f t="shared" si="73"/>
        <v>440.5</v>
      </c>
      <c r="M953">
        <f t="shared" si="74"/>
        <v>194040.25</v>
      </c>
    </row>
    <row r="954" spans="1:13" ht="13.2" x14ac:dyDescent="0.25">
      <c r="A954" s="1" t="s">
        <v>19</v>
      </c>
      <c r="B954" s="1" t="s">
        <v>9</v>
      </c>
      <c r="C954" s="1" t="s">
        <v>14</v>
      </c>
      <c r="D954" s="1" t="s">
        <v>11</v>
      </c>
      <c r="E954" s="1" t="s">
        <v>17</v>
      </c>
      <c r="F954" s="1">
        <v>67</v>
      </c>
      <c r="G954" s="1">
        <v>68</v>
      </c>
      <c r="H954" s="1">
        <v>64</v>
      </c>
      <c r="I954">
        <f t="shared" si="70"/>
        <v>199</v>
      </c>
      <c r="J954">
        <f t="shared" si="71"/>
        <v>1</v>
      </c>
      <c r="K954">
        <f t="shared" si="72"/>
        <v>307.5</v>
      </c>
      <c r="L954">
        <f t="shared" si="73"/>
        <v>306.5</v>
      </c>
      <c r="M954">
        <f t="shared" si="74"/>
        <v>93942.25</v>
      </c>
    </row>
    <row r="955" spans="1:13" ht="13.2" x14ac:dyDescent="0.25">
      <c r="A955" s="1" t="s">
        <v>8</v>
      </c>
      <c r="B955" s="1" t="s">
        <v>18</v>
      </c>
      <c r="C955" s="1" t="s">
        <v>22</v>
      </c>
      <c r="D955" s="1" t="s">
        <v>23</v>
      </c>
      <c r="E955" s="1" t="s">
        <v>12</v>
      </c>
      <c r="F955" s="1">
        <v>56</v>
      </c>
      <c r="G955" s="1">
        <v>66</v>
      </c>
      <c r="H955" s="1">
        <v>69</v>
      </c>
      <c r="I955">
        <f t="shared" si="70"/>
        <v>191</v>
      </c>
      <c r="J955">
        <f t="shared" si="71"/>
        <v>0</v>
      </c>
      <c r="K955">
        <f t="shared" si="72"/>
        <v>353.5</v>
      </c>
      <c r="L955">
        <f t="shared" si="73"/>
        <v>353.5</v>
      </c>
      <c r="M955">
        <f t="shared" si="74"/>
        <v>124962.25</v>
      </c>
    </row>
    <row r="956" spans="1:13" ht="13.2" x14ac:dyDescent="0.25">
      <c r="A956" s="1" t="s">
        <v>19</v>
      </c>
      <c r="B956" s="1" t="s">
        <v>15</v>
      </c>
      <c r="C956" s="1" t="s">
        <v>20</v>
      </c>
      <c r="D956" s="1" t="s">
        <v>11</v>
      </c>
      <c r="E956" s="1" t="s">
        <v>12</v>
      </c>
      <c r="F956" s="1">
        <v>73</v>
      </c>
      <c r="G956" s="1">
        <v>66</v>
      </c>
      <c r="H956" s="1">
        <v>63</v>
      </c>
      <c r="I956">
        <f t="shared" si="70"/>
        <v>202</v>
      </c>
      <c r="J956">
        <f t="shared" si="71"/>
        <v>0</v>
      </c>
      <c r="K956">
        <f t="shared" si="72"/>
        <v>292</v>
      </c>
      <c r="L956">
        <f t="shared" si="73"/>
        <v>292</v>
      </c>
      <c r="M956">
        <f t="shared" si="74"/>
        <v>85264</v>
      </c>
    </row>
    <row r="957" spans="1:13" ht="13.2" x14ac:dyDescent="0.25">
      <c r="A957" s="1" t="s">
        <v>8</v>
      </c>
      <c r="B957" s="1" t="s">
        <v>21</v>
      </c>
      <c r="C957" s="1" t="s">
        <v>10</v>
      </c>
      <c r="D957" s="1" t="s">
        <v>11</v>
      </c>
      <c r="E957" s="1" t="s">
        <v>12</v>
      </c>
      <c r="F957" s="1">
        <v>85</v>
      </c>
      <c r="G957" s="1">
        <v>86</v>
      </c>
      <c r="H957" s="1">
        <v>80</v>
      </c>
      <c r="I957">
        <f t="shared" si="70"/>
        <v>251</v>
      </c>
      <c r="J957">
        <f t="shared" si="71"/>
        <v>0</v>
      </c>
      <c r="K957">
        <f t="shared" si="72"/>
        <v>92</v>
      </c>
      <c r="L957">
        <f t="shared" si="73"/>
        <v>92</v>
      </c>
      <c r="M957">
        <f t="shared" si="74"/>
        <v>8464</v>
      </c>
    </row>
    <row r="958" spans="1:13" ht="13.2" x14ac:dyDescent="0.25">
      <c r="A958" s="1" t="s">
        <v>19</v>
      </c>
      <c r="B958" s="1" t="s">
        <v>21</v>
      </c>
      <c r="C958" s="1" t="s">
        <v>10</v>
      </c>
      <c r="D958" s="1" t="s">
        <v>11</v>
      </c>
      <c r="E958" s="1" t="s">
        <v>17</v>
      </c>
      <c r="F958" s="1">
        <v>82</v>
      </c>
      <c r="G958" s="1">
        <v>72</v>
      </c>
      <c r="H958" s="1">
        <v>74</v>
      </c>
      <c r="I958">
        <f t="shared" si="70"/>
        <v>228</v>
      </c>
      <c r="J958">
        <f t="shared" si="71"/>
        <v>1</v>
      </c>
      <c r="K958">
        <f t="shared" si="72"/>
        <v>176.5</v>
      </c>
      <c r="L958">
        <f t="shared" si="73"/>
        <v>175.5</v>
      </c>
      <c r="M958">
        <f t="shared" si="74"/>
        <v>30800.25</v>
      </c>
    </row>
    <row r="959" spans="1:13" ht="13.2" x14ac:dyDescent="0.25">
      <c r="A959" s="1" t="s">
        <v>19</v>
      </c>
      <c r="B959" s="1" t="s">
        <v>15</v>
      </c>
      <c r="C959" s="1" t="s">
        <v>20</v>
      </c>
      <c r="D959" s="1" t="s">
        <v>11</v>
      </c>
      <c r="E959" s="1" t="s">
        <v>17</v>
      </c>
      <c r="F959" s="1">
        <v>98</v>
      </c>
      <c r="G959" s="1">
        <v>100</v>
      </c>
      <c r="H959" s="1">
        <v>97</v>
      </c>
      <c r="I959">
        <f t="shared" si="70"/>
        <v>295</v>
      </c>
      <c r="J959">
        <f t="shared" si="71"/>
        <v>1</v>
      </c>
      <c r="K959" t="e">
        <f t="shared" si="72"/>
        <v>#N/A</v>
      </c>
      <c r="L959" t="e">
        <f t="shared" si="73"/>
        <v>#N/A</v>
      </c>
      <c r="M959" t="e">
        <f t="shared" si="74"/>
        <v>#N/A</v>
      </c>
    </row>
    <row r="960" spans="1:13" ht="13.2" x14ac:dyDescent="0.25">
      <c r="A960" s="1" t="s">
        <v>19</v>
      </c>
      <c r="B960" s="1" t="s">
        <v>18</v>
      </c>
      <c r="C960" s="1" t="s">
        <v>16</v>
      </c>
      <c r="D960" s="1" t="s">
        <v>23</v>
      </c>
      <c r="E960" s="1" t="s">
        <v>17</v>
      </c>
      <c r="F960" s="1">
        <v>39</v>
      </c>
      <c r="G960" s="1">
        <v>38</v>
      </c>
      <c r="H960" s="1">
        <v>40</v>
      </c>
      <c r="I960">
        <f t="shared" si="70"/>
        <v>117</v>
      </c>
      <c r="J960">
        <f t="shared" si="71"/>
        <v>1</v>
      </c>
      <c r="K960" t="e">
        <f t="shared" si="72"/>
        <v>#N/A</v>
      </c>
      <c r="L960" t="e">
        <f t="shared" si="73"/>
        <v>#N/A</v>
      </c>
      <c r="M960" t="e">
        <f t="shared" si="74"/>
        <v>#N/A</v>
      </c>
    </row>
    <row r="961" spans="1:13" ht="13.2" x14ac:dyDescent="0.25">
      <c r="A961" s="1" t="s">
        <v>19</v>
      </c>
      <c r="B961" s="1" t="s">
        <v>13</v>
      </c>
      <c r="C961" s="1" t="s">
        <v>16</v>
      </c>
      <c r="D961" s="1" t="s">
        <v>11</v>
      </c>
      <c r="E961" s="1" t="s">
        <v>12</v>
      </c>
      <c r="F961" s="1">
        <v>49</v>
      </c>
      <c r="G961" s="1">
        <v>45</v>
      </c>
      <c r="H961" s="1">
        <v>52</v>
      </c>
      <c r="I961">
        <f t="shared" si="70"/>
        <v>146</v>
      </c>
      <c r="J961">
        <f t="shared" si="71"/>
        <v>0</v>
      </c>
      <c r="K961">
        <f t="shared" si="72"/>
        <v>532</v>
      </c>
      <c r="L961">
        <f t="shared" si="73"/>
        <v>532</v>
      </c>
      <c r="M961">
        <f t="shared" si="74"/>
        <v>283024</v>
      </c>
    </row>
    <row r="962" spans="1:13" ht="13.2" x14ac:dyDescent="0.25">
      <c r="A962" s="1" t="s">
        <v>8</v>
      </c>
      <c r="B962" s="1" t="s">
        <v>18</v>
      </c>
      <c r="C962" s="1" t="s">
        <v>10</v>
      </c>
      <c r="D962" s="1" t="s">
        <v>11</v>
      </c>
      <c r="E962" s="1" t="s">
        <v>17</v>
      </c>
      <c r="F962" s="1">
        <v>71</v>
      </c>
      <c r="G962" s="1">
        <v>83</v>
      </c>
      <c r="H962" s="1">
        <v>89</v>
      </c>
      <c r="I962">
        <f t="shared" si="70"/>
        <v>243</v>
      </c>
      <c r="J962">
        <f t="shared" si="71"/>
        <v>1</v>
      </c>
      <c r="K962">
        <f t="shared" si="72"/>
        <v>119.5</v>
      </c>
      <c r="L962">
        <f t="shared" si="73"/>
        <v>118.5</v>
      </c>
      <c r="M962">
        <f t="shared" si="74"/>
        <v>14042.25</v>
      </c>
    </row>
    <row r="963" spans="1:13" ht="13.2" x14ac:dyDescent="0.25">
      <c r="A963" s="1" t="s">
        <v>19</v>
      </c>
      <c r="B963" s="1" t="s">
        <v>21</v>
      </c>
      <c r="C963" s="1" t="s">
        <v>14</v>
      </c>
      <c r="D963" s="1" t="s">
        <v>23</v>
      </c>
      <c r="E963" s="1" t="s">
        <v>12</v>
      </c>
      <c r="F963" s="1">
        <v>86</v>
      </c>
      <c r="G963" s="1">
        <v>73</v>
      </c>
      <c r="H963" s="1">
        <v>73</v>
      </c>
      <c r="I963">
        <f t="shared" ref="I963:I1001" si="75">SUM(F963:H963)</f>
        <v>232</v>
      </c>
      <c r="J963">
        <f t="shared" ref="J963:J1001" si="76">IF(E963="completed", 1, IF(E963="none", 0, ""))</f>
        <v>0</v>
      </c>
      <c r="K963">
        <f t="shared" ref="K963:K997" si="77">_xlfn.RANK.AVG(I963, I$2:I$601, 0)</f>
        <v>165.5</v>
      </c>
      <c r="L963">
        <f t="shared" ref="L963:L1001" si="78">K963-J963</f>
        <v>165.5</v>
      </c>
      <c r="M963">
        <f t="shared" ref="M963:M1001" si="79">L963^2</f>
        <v>27390.25</v>
      </c>
    </row>
    <row r="964" spans="1:13" ht="13.2" x14ac:dyDescent="0.25">
      <c r="A964" s="1" t="s">
        <v>8</v>
      </c>
      <c r="B964" s="1" t="s">
        <v>9</v>
      </c>
      <c r="C964" s="1" t="s">
        <v>10</v>
      </c>
      <c r="D964" s="1" t="s">
        <v>11</v>
      </c>
      <c r="E964" s="1" t="s">
        <v>17</v>
      </c>
      <c r="F964" s="1">
        <v>59</v>
      </c>
      <c r="G964" s="1">
        <v>75</v>
      </c>
      <c r="H964" s="1">
        <v>77</v>
      </c>
      <c r="I964">
        <f t="shared" si="75"/>
        <v>211</v>
      </c>
      <c r="J964">
        <f t="shared" si="76"/>
        <v>1</v>
      </c>
      <c r="K964">
        <f t="shared" si="77"/>
        <v>248.5</v>
      </c>
      <c r="L964">
        <f t="shared" si="78"/>
        <v>247.5</v>
      </c>
      <c r="M964">
        <f t="shared" si="79"/>
        <v>61256.25</v>
      </c>
    </row>
    <row r="965" spans="1:13" ht="13.2" x14ac:dyDescent="0.25">
      <c r="A965" s="1" t="s">
        <v>19</v>
      </c>
      <c r="B965" s="1" t="s">
        <v>9</v>
      </c>
      <c r="C965" s="1" t="s">
        <v>16</v>
      </c>
      <c r="D965" s="1" t="s">
        <v>11</v>
      </c>
      <c r="E965" s="1" t="s">
        <v>12</v>
      </c>
      <c r="F965" s="1">
        <v>84</v>
      </c>
      <c r="G965" s="1">
        <v>79</v>
      </c>
      <c r="H965" s="1">
        <v>78</v>
      </c>
      <c r="I965">
        <f t="shared" si="75"/>
        <v>241</v>
      </c>
      <c r="J965">
        <f t="shared" si="76"/>
        <v>0</v>
      </c>
      <c r="K965">
        <f t="shared" si="77"/>
        <v>125</v>
      </c>
      <c r="L965">
        <f t="shared" si="78"/>
        <v>125</v>
      </c>
      <c r="M965">
        <f t="shared" si="79"/>
        <v>15625</v>
      </c>
    </row>
    <row r="966" spans="1:13" ht="13.2" x14ac:dyDescent="0.25">
      <c r="A966" s="1" t="s">
        <v>19</v>
      </c>
      <c r="B966" s="1" t="s">
        <v>21</v>
      </c>
      <c r="C966" s="1" t="s">
        <v>16</v>
      </c>
      <c r="D966" s="1" t="s">
        <v>11</v>
      </c>
      <c r="E966" s="1" t="s">
        <v>12</v>
      </c>
      <c r="F966" s="1">
        <v>84</v>
      </c>
      <c r="G966" s="1">
        <v>72</v>
      </c>
      <c r="H966" s="1">
        <v>68</v>
      </c>
      <c r="I966">
        <f t="shared" si="75"/>
        <v>224</v>
      </c>
      <c r="J966">
        <f t="shared" si="76"/>
        <v>0</v>
      </c>
      <c r="K966">
        <f t="shared" si="77"/>
        <v>194</v>
      </c>
      <c r="L966">
        <f t="shared" si="78"/>
        <v>194</v>
      </c>
      <c r="M966">
        <f t="shared" si="79"/>
        <v>37636</v>
      </c>
    </row>
    <row r="967" spans="1:13" ht="13.2" x14ac:dyDescent="0.25">
      <c r="A967" s="1" t="s">
        <v>8</v>
      </c>
      <c r="B967" s="1" t="s">
        <v>9</v>
      </c>
      <c r="C967" s="1" t="s">
        <v>20</v>
      </c>
      <c r="D967" s="1" t="s">
        <v>23</v>
      </c>
      <c r="E967" s="1" t="s">
        <v>17</v>
      </c>
      <c r="F967" s="1">
        <v>44</v>
      </c>
      <c r="G967" s="1">
        <v>54</v>
      </c>
      <c r="H967" s="1">
        <v>54</v>
      </c>
      <c r="I967">
        <f t="shared" si="75"/>
        <v>152</v>
      </c>
      <c r="J967">
        <f t="shared" si="76"/>
        <v>1</v>
      </c>
      <c r="K967">
        <f t="shared" si="77"/>
        <v>522.5</v>
      </c>
      <c r="L967">
        <f t="shared" si="78"/>
        <v>521.5</v>
      </c>
      <c r="M967">
        <f t="shared" si="79"/>
        <v>271962.25</v>
      </c>
    </row>
    <row r="968" spans="1:13" ht="13.2" x14ac:dyDescent="0.25">
      <c r="A968" s="1" t="s">
        <v>8</v>
      </c>
      <c r="B968" s="1" t="s">
        <v>18</v>
      </c>
      <c r="C968" s="1" t="s">
        <v>22</v>
      </c>
      <c r="D968" s="1" t="s">
        <v>11</v>
      </c>
      <c r="E968" s="1" t="s">
        <v>12</v>
      </c>
      <c r="F968" s="1">
        <v>60</v>
      </c>
      <c r="G968" s="1">
        <v>73</v>
      </c>
      <c r="H968" s="1">
        <v>70</v>
      </c>
      <c r="I968">
        <f t="shared" si="75"/>
        <v>203</v>
      </c>
      <c r="J968">
        <f t="shared" si="76"/>
        <v>0</v>
      </c>
      <c r="K968">
        <f t="shared" si="77"/>
        <v>286.5</v>
      </c>
      <c r="L968">
        <f t="shared" si="78"/>
        <v>286.5</v>
      </c>
      <c r="M968">
        <f t="shared" si="79"/>
        <v>82082.25</v>
      </c>
    </row>
    <row r="969" spans="1:13" ht="13.2" x14ac:dyDescent="0.25">
      <c r="A969" s="1" t="s">
        <v>8</v>
      </c>
      <c r="B969" s="1" t="s">
        <v>15</v>
      </c>
      <c r="C969" s="1" t="s">
        <v>14</v>
      </c>
      <c r="D969" s="1" t="s">
        <v>11</v>
      </c>
      <c r="E969" s="1" t="s">
        <v>12</v>
      </c>
      <c r="F969" s="1">
        <v>48</v>
      </c>
      <c r="G969" s="1">
        <v>50</v>
      </c>
      <c r="H969" s="1">
        <v>53</v>
      </c>
      <c r="I969">
        <f t="shared" si="75"/>
        <v>151</v>
      </c>
      <c r="J969">
        <f t="shared" si="76"/>
        <v>0</v>
      </c>
      <c r="K969">
        <f t="shared" si="77"/>
        <v>524.5</v>
      </c>
      <c r="L969">
        <f t="shared" si="78"/>
        <v>524.5</v>
      </c>
      <c r="M969">
        <f t="shared" si="79"/>
        <v>275100.25</v>
      </c>
    </row>
    <row r="970" spans="1:13" ht="13.2" x14ac:dyDescent="0.25">
      <c r="A970" s="1" t="s">
        <v>8</v>
      </c>
      <c r="B970" s="1" t="s">
        <v>18</v>
      </c>
      <c r="C970" s="1" t="s">
        <v>16</v>
      </c>
      <c r="D970" s="1" t="s">
        <v>11</v>
      </c>
      <c r="E970" s="1" t="s">
        <v>12</v>
      </c>
      <c r="F970" s="1">
        <v>56</v>
      </c>
      <c r="G970" s="1">
        <v>63</v>
      </c>
      <c r="H970" s="1">
        <v>58</v>
      </c>
      <c r="I970">
        <f t="shared" si="75"/>
        <v>177</v>
      </c>
      <c r="J970">
        <f t="shared" si="76"/>
        <v>0</v>
      </c>
      <c r="K970">
        <f t="shared" si="77"/>
        <v>419.5</v>
      </c>
      <c r="L970">
        <f t="shared" si="78"/>
        <v>419.5</v>
      </c>
      <c r="M970">
        <f t="shared" si="79"/>
        <v>175980.25</v>
      </c>
    </row>
    <row r="971" spans="1:13" ht="13.2" x14ac:dyDescent="0.25">
      <c r="A971" s="1" t="s">
        <v>19</v>
      </c>
      <c r="B971" s="1" t="s">
        <v>13</v>
      </c>
      <c r="C971" s="1" t="s">
        <v>10</v>
      </c>
      <c r="D971" s="1" t="s">
        <v>11</v>
      </c>
      <c r="E971" s="1" t="s">
        <v>17</v>
      </c>
      <c r="F971" s="1">
        <v>83</v>
      </c>
      <c r="G971" s="1">
        <v>73</v>
      </c>
      <c r="H971" s="1">
        <v>69</v>
      </c>
      <c r="I971">
        <f t="shared" si="75"/>
        <v>225</v>
      </c>
      <c r="J971">
        <f t="shared" si="76"/>
        <v>1</v>
      </c>
      <c r="K971">
        <f t="shared" si="77"/>
        <v>191</v>
      </c>
      <c r="L971">
        <f t="shared" si="78"/>
        <v>190</v>
      </c>
      <c r="M971">
        <f t="shared" si="79"/>
        <v>36100</v>
      </c>
    </row>
    <row r="972" spans="1:13" ht="13.2" x14ac:dyDescent="0.25">
      <c r="A972" s="1" t="s">
        <v>19</v>
      </c>
      <c r="B972" s="1" t="s">
        <v>18</v>
      </c>
      <c r="C972" s="1" t="s">
        <v>22</v>
      </c>
      <c r="D972" s="1" t="s">
        <v>11</v>
      </c>
      <c r="E972" s="1" t="s">
        <v>12</v>
      </c>
      <c r="F972" s="1">
        <v>47</v>
      </c>
      <c r="G972" s="1">
        <v>49</v>
      </c>
      <c r="H972" s="1">
        <v>47</v>
      </c>
      <c r="I972">
        <f t="shared" si="75"/>
        <v>143</v>
      </c>
      <c r="J972">
        <f t="shared" si="76"/>
        <v>0</v>
      </c>
      <c r="K972">
        <f t="shared" si="77"/>
        <v>544.5</v>
      </c>
      <c r="L972">
        <f t="shared" si="78"/>
        <v>544.5</v>
      </c>
      <c r="M972">
        <f t="shared" si="79"/>
        <v>296480.25</v>
      </c>
    </row>
    <row r="973" spans="1:13" ht="13.2" x14ac:dyDescent="0.25">
      <c r="A973" s="1" t="s">
        <v>19</v>
      </c>
      <c r="B973" s="1" t="s">
        <v>13</v>
      </c>
      <c r="C973" s="1" t="s">
        <v>22</v>
      </c>
      <c r="D973" s="1" t="s">
        <v>23</v>
      </c>
      <c r="E973" s="1" t="s">
        <v>12</v>
      </c>
      <c r="F973" s="1">
        <v>56</v>
      </c>
      <c r="G973" s="1">
        <v>45</v>
      </c>
      <c r="H973" s="1">
        <v>49</v>
      </c>
      <c r="I973">
        <f t="shared" si="75"/>
        <v>150</v>
      </c>
      <c r="J973">
        <f t="shared" si="76"/>
        <v>0</v>
      </c>
      <c r="K973">
        <f t="shared" si="77"/>
        <v>526</v>
      </c>
      <c r="L973">
        <f t="shared" si="78"/>
        <v>526</v>
      </c>
      <c r="M973">
        <f t="shared" si="79"/>
        <v>276676</v>
      </c>
    </row>
    <row r="974" spans="1:13" ht="13.2" x14ac:dyDescent="0.25">
      <c r="A974" s="1" t="s">
        <v>19</v>
      </c>
      <c r="B974" s="1" t="s">
        <v>13</v>
      </c>
      <c r="C974" s="1" t="s">
        <v>14</v>
      </c>
      <c r="D974" s="1" t="s">
        <v>23</v>
      </c>
      <c r="E974" s="1" t="s">
        <v>17</v>
      </c>
      <c r="F974" s="1">
        <v>65</v>
      </c>
      <c r="G974" s="1">
        <v>67</v>
      </c>
      <c r="H974" s="1">
        <v>69</v>
      </c>
      <c r="I974">
        <f t="shared" si="75"/>
        <v>201</v>
      </c>
      <c r="J974">
        <f t="shared" si="76"/>
        <v>1</v>
      </c>
      <c r="K974">
        <f t="shared" si="77"/>
        <v>295.5</v>
      </c>
      <c r="L974">
        <f t="shared" si="78"/>
        <v>294.5</v>
      </c>
      <c r="M974">
        <f t="shared" si="79"/>
        <v>86730.25</v>
      </c>
    </row>
    <row r="975" spans="1:13" ht="13.2" x14ac:dyDescent="0.25">
      <c r="A975" s="1" t="s">
        <v>8</v>
      </c>
      <c r="B975" s="1" t="s">
        <v>18</v>
      </c>
      <c r="C975" s="1" t="s">
        <v>24</v>
      </c>
      <c r="D975" s="1" t="s">
        <v>11</v>
      </c>
      <c r="E975" s="1" t="s">
        <v>17</v>
      </c>
      <c r="F975" s="1">
        <v>74</v>
      </c>
      <c r="G975" s="1">
        <v>91</v>
      </c>
      <c r="H975" s="1">
        <v>89</v>
      </c>
      <c r="I975">
        <f t="shared" si="75"/>
        <v>254</v>
      </c>
      <c r="J975">
        <f t="shared" si="76"/>
        <v>1</v>
      </c>
      <c r="K975" t="e">
        <f t="shared" si="77"/>
        <v>#N/A</v>
      </c>
      <c r="L975" t="e">
        <f t="shared" si="78"/>
        <v>#N/A</v>
      </c>
      <c r="M975" t="e">
        <f t="shared" si="79"/>
        <v>#N/A</v>
      </c>
    </row>
    <row r="976" spans="1:13" ht="13.2" x14ac:dyDescent="0.25">
      <c r="A976" s="1" t="s">
        <v>8</v>
      </c>
      <c r="B976" s="1" t="s">
        <v>9</v>
      </c>
      <c r="C976" s="1" t="s">
        <v>14</v>
      </c>
      <c r="D976" s="1" t="s">
        <v>23</v>
      </c>
      <c r="E976" s="1" t="s">
        <v>17</v>
      </c>
      <c r="F976" s="1">
        <v>53</v>
      </c>
      <c r="G976" s="1">
        <v>64</v>
      </c>
      <c r="H976" s="1">
        <v>62</v>
      </c>
      <c r="I976">
        <f t="shared" si="75"/>
        <v>179</v>
      </c>
      <c r="J976">
        <f t="shared" si="76"/>
        <v>1</v>
      </c>
      <c r="K976" t="e">
        <f t="shared" si="77"/>
        <v>#N/A</v>
      </c>
      <c r="L976" t="e">
        <f t="shared" si="78"/>
        <v>#N/A</v>
      </c>
      <c r="M976" t="e">
        <f t="shared" si="79"/>
        <v>#N/A</v>
      </c>
    </row>
    <row r="977" spans="1:13" ht="13.2" x14ac:dyDescent="0.25">
      <c r="A977" s="1" t="s">
        <v>8</v>
      </c>
      <c r="B977" s="1" t="s">
        <v>18</v>
      </c>
      <c r="C977" s="1" t="s">
        <v>16</v>
      </c>
      <c r="D977" s="1" t="s">
        <v>23</v>
      </c>
      <c r="E977" s="1" t="s">
        <v>12</v>
      </c>
      <c r="F977" s="1">
        <v>71</v>
      </c>
      <c r="G977" s="1">
        <v>83</v>
      </c>
      <c r="H977" s="1">
        <v>86</v>
      </c>
      <c r="I977">
        <f t="shared" si="75"/>
        <v>240</v>
      </c>
      <c r="J977">
        <f t="shared" si="76"/>
        <v>0</v>
      </c>
      <c r="K977">
        <f t="shared" si="77"/>
        <v>129.5</v>
      </c>
      <c r="L977">
        <f t="shared" si="78"/>
        <v>129.5</v>
      </c>
      <c r="M977">
        <f t="shared" si="79"/>
        <v>16770.25</v>
      </c>
    </row>
    <row r="978" spans="1:13" ht="13.2" x14ac:dyDescent="0.25">
      <c r="A978" s="1" t="s">
        <v>8</v>
      </c>
      <c r="B978" s="1" t="s">
        <v>13</v>
      </c>
      <c r="C978" s="1" t="s">
        <v>14</v>
      </c>
      <c r="D978" s="1" t="s">
        <v>11</v>
      </c>
      <c r="E978" s="1" t="s">
        <v>17</v>
      </c>
      <c r="F978" s="1">
        <v>71</v>
      </c>
      <c r="G978" s="1">
        <v>79</v>
      </c>
      <c r="H978" s="1">
        <v>77</v>
      </c>
      <c r="I978">
        <f t="shared" si="75"/>
        <v>227</v>
      </c>
      <c r="J978">
        <f t="shared" si="76"/>
        <v>1</v>
      </c>
      <c r="K978">
        <f t="shared" si="77"/>
        <v>180</v>
      </c>
      <c r="L978">
        <f t="shared" si="78"/>
        <v>179</v>
      </c>
      <c r="M978">
        <f t="shared" si="79"/>
        <v>32041</v>
      </c>
    </row>
    <row r="979" spans="1:13" ht="13.2" x14ac:dyDescent="0.25">
      <c r="A979" s="1" t="s">
        <v>19</v>
      </c>
      <c r="B979" s="1" t="s">
        <v>13</v>
      </c>
      <c r="C979" s="1" t="s">
        <v>22</v>
      </c>
      <c r="D979" s="1" t="s">
        <v>11</v>
      </c>
      <c r="E979" s="1" t="s">
        <v>12</v>
      </c>
      <c r="F979" s="1">
        <v>66</v>
      </c>
      <c r="G979" s="1">
        <v>63</v>
      </c>
      <c r="H979" s="1">
        <v>63</v>
      </c>
      <c r="I979">
        <f t="shared" si="75"/>
        <v>192</v>
      </c>
      <c r="J979">
        <f t="shared" si="76"/>
        <v>0</v>
      </c>
      <c r="K979">
        <f t="shared" si="77"/>
        <v>349</v>
      </c>
      <c r="L979">
        <f t="shared" si="78"/>
        <v>349</v>
      </c>
      <c r="M979">
        <f t="shared" si="79"/>
        <v>121801</v>
      </c>
    </row>
    <row r="980" spans="1:13" ht="13.2" x14ac:dyDescent="0.25">
      <c r="A980" s="1" t="s">
        <v>8</v>
      </c>
      <c r="B980" s="1" t="s">
        <v>13</v>
      </c>
      <c r="C980" s="1" t="s">
        <v>14</v>
      </c>
      <c r="D980" s="1" t="s">
        <v>23</v>
      </c>
      <c r="E980" s="1" t="s">
        <v>12</v>
      </c>
      <c r="F980" s="1">
        <v>46</v>
      </c>
      <c r="G980" s="1">
        <v>62</v>
      </c>
      <c r="H980" s="1">
        <v>58</v>
      </c>
      <c r="I980">
        <f t="shared" si="75"/>
        <v>166</v>
      </c>
      <c r="J980">
        <f t="shared" si="76"/>
        <v>0</v>
      </c>
      <c r="K980">
        <f t="shared" si="77"/>
        <v>471</v>
      </c>
      <c r="L980">
        <f t="shared" si="78"/>
        <v>471</v>
      </c>
      <c r="M980">
        <f t="shared" si="79"/>
        <v>221841</v>
      </c>
    </row>
    <row r="981" spans="1:13" ht="13.2" x14ac:dyDescent="0.25">
      <c r="A981" s="1" t="s">
        <v>19</v>
      </c>
      <c r="B981" s="1" t="s">
        <v>21</v>
      </c>
      <c r="C981" s="1" t="s">
        <v>10</v>
      </c>
      <c r="D981" s="1" t="s">
        <v>23</v>
      </c>
      <c r="E981" s="1" t="s">
        <v>17</v>
      </c>
      <c r="F981" s="1">
        <v>85</v>
      </c>
      <c r="G981" s="1">
        <v>74</v>
      </c>
      <c r="H981" s="1">
        <v>75</v>
      </c>
      <c r="I981">
        <f t="shared" si="75"/>
        <v>234</v>
      </c>
      <c r="J981">
        <f t="shared" si="76"/>
        <v>1</v>
      </c>
      <c r="K981">
        <f t="shared" si="77"/>
        <v>159</v>
      </c>
      <c r="L981">
        <f t="shared" si="78"/>
        <v>158</v>
      </c>
      <c r="M981">
        <f t="shared" si="79"/>
        <v>24964</v>
      </c>
    </row>
    <row r="982" spans="1:13" ht="13.2" x14ac:dyDescent="0.25">
      <c r="A982" s="1" t="s">
        <v>8</v>
      </c>
      <c r="B982" s="1" t="s">
        <v>9</v>
      </c>
      <c r="C982" s="1" t="s">
        <v>22</v>
      </c>
      <c r="D982" s="1" t="s">
        <v>11</v>
      </c>
      <c r="E982" s="1" t="s">
        <v>12</v>
      </c>
      <c r="F982" s="1">
        <v>53</v>
      </c>
      <c r="G982" s="1">
        <v>70</v>
      </c>
      <c r="H982" s="1">
        <v>72</v>
      </c>
      <c r="I982">
        <f t="shared" si="75"/>
        <v>195</v>
      </c>
      <c r="J982">
        <f t="shared" si="76"/>
        <v>0</v>
      </c>
      <c r="K982">
        <f t="shared" si="77"/>
        <v>331.5</v>
      </c>
      <c r="L982">
        <f t="shared" si="78"/>
        <v>331.5</v>
      </c>
      <c r="M982">
        <f t="shared" si="79"/>
        <v>109892.25</v>
      </c>
    </row>
    <row r="983" spans="1:13" ht="13.2" x14ac:dyDescent="0.25">
      <c r="A983" s="1" t="s">
        <v>19</v>
      </c>
      <c r="B983" s="1" t="s">
        <v>18</v>
      </c>
      <c r="C983" s="1" t="s">
        <v>22</v>
      </c>
      <c r="D983" s="1" t="s">
        <v>23</v>
      </c>
      <c r="E983" s="1" t="s">
        <v>12</v>
      </c>
      <c r="F983" s="1">
        <v>65</v>
      </c>
      <c r="G983" s="1">
        <v>61</v>
      </c>
      <c r="H983" s="1">
        <v>53</v>
      </c>
      <c r="I983">
        <f t="shared" si="75"/>
        <v>179</v>
      </c>
      <c r="J983">
        <f t="shared" si="76"/>
        <v>0</v>
      </c>
      <c r="K983" t="e">
        <f t="shared" si="77"/>
        <v>#N/A</v>
      </c>
      <c r="L983" t="e">
        <f t="shared" si="78"/>
        <v>#N/A</v>
      </c>
      <c r="M983" t="e">
        <f t="shared" si="79"/>
        <v>#N/A</v>
      </c>
    </row>
    <row r="984" spans="1:13" ht="13.2" x14ac:dyDescent="0.25">
      <c r="A984" s="1" t="s">
        <v>8</v>
      </c>
      <c r="B984" s="1" t="s">
        <v>18</v>
      </c>
      <c r="C984" s="1" t="s">
        <v>14</v>
      </c>
      <c r="D984" s="1" t="s">
        <v>11</v>
      </c>
      <c r="E984" s="1" t="s">
        <v>12</v>
      </c>
      <c r="F984" s="1">
        <v>59</v>
      </c>
      <c r="G984" s="1">
        <v>63</v>
      </c>
      <c r="H984" s="1">
        <v>61</v>
      </c>
      <c r="I984">
        <f t="shared" si="75"/>
        <v>183</v>
      </c>
      <c r="J984">
        <f t="shared" si="76"/>
        <v>0</v>
      </c>
      <c r="K984">
        <f t="shared" si="77"/>
        <v>395.5</v>
      </c>
      <c r="L984">
        <f t="shared" si="78"/>
        <v>395.5</v>
      </c>
      <c r="M984">
        <f t="shared" si="79"/>
        <v>156420.25</v>
      </c>
    </row>
    <row r="985" spans="1:13" ht="13.2" x14ac:dyDescent="0.25">
      <c r="A985" s="1" t="s">
        <v>19</v>
      </c>
      <c r="B985" s="1" t="s">
        <v>9</v>
      </c>
      <c r="C985" s="1" t="s">
        <v>22</v>
      </c>
      <c r="D985" s="1" t="s">
        <v>11</v>
      </c>
      <c r="E985" s="1" t="s">
        <v>12</v>
      </c>
      <c r="F985" s="1">
        <v>88</v>
      </c>
      <c r="G985" s="1">
        <v>79</v>
      </c>
      <c r="H985" s="1">
        <v>76</v>
      </c>
      <c r="I985">
        <f t="shared" si="75"/>
        <v>243</v>
      </c>
      <c r="J985">
        <f t="shared" si="76"/>
        <v>0</v>
      </c>
      <c r="K985">
        <f t="shared" si="77"/>
        <v>119.5</v>
      </c>
      <c r="L985">
        <f t="shared" si="78"/>
        <v>119.5</v>
      </c>
      <c r="M985">
        <f t="shared" si="79"/>
        <v>14280.25</v>
      </c>
    </row>
    <row r="986" spans="1:13" ht="13.2" x14ac:dyDescent="0.25">
      <c r="A986" s="1" t="s">
        <v>8</v>
      </c>
      <c r="B986" s="1" t="s">
        <v>13</v>
      </c>
      <c r="C986" s="1" t="s">
        <v>14</v>
      </c>
      <c r="D986" s="1" t="s">
        <v>11</v>
      </c>
      <c r="E986" s="1" t="s">
        <v>17</v>
      </c>
      <c r="F986" s="1">
        <v>55</v>
      </c>
      <c r="G986" s="1">
        <v>70</v>
      </c>
      <c r="H986" s="1">
        <v>72</v>
      </c>
      <c r="I986">
        <f t="shared" si="75"/>
        <v>197</v>
      </c>
      <c r="J986">
        <f t="shared" si="76"/>
        <v>1</v>
      </c>
      <c r="K986">
        <f t="shared" si="77"/>
        <v>317.5</v>
      </c>
      <c r="L986">
        <f t="shared" si="78"/>
        <v>316.5</v>
      </c>
      <c r="M986">
        <f t="shared" si="79"/>
        <v>100172.25</v>
      </c>
    </row>
    <row r="987" spans="1:13" ht="13.2" x14ac:dyDescent="0.25">
      <c r="A987" s="1" t="s">
        <v>19</v>
      </c>
      <c r="B987" s="1" t="s">
        <v>18</v>
      </c>
      <c r="C987" s="1" t="s">
        <v>10</v>
      </c>
      <c r="D987" s="1" t="s">
        <v>11</v>
      </c>
      <c r="E987" s="1" t="s">
        <v>12</v>
      </c>
      <c r="F987" s="1">
        <v>75</v>
      </c>
      <c r="G987" s="1">
        <v>59</v>
      </c>
      <c r="H987" s="1">
        <v>57</v>
      </c>
      <c r="I987">
        <f t="shared" si="75"/>
        <v>191</v>
      </c>
      <c r="J987">
        <f t="shared" si="76"/>
        <v>0</v>
      </c>
      <c r="K987">
        <f t="shared" si="77"/>
        <v>353.5</v>
      </c>
      <c r="L987">
        <f t="shared" si="78"/>
        <v>353.5</v>
      </c>
      <c r="M987">
        <f t="shared" si="79"/>
        <v>124962.25</v>
      </c>
    </row>
    <row r="988" spans="1:13" ht="13.2" x14ac:dyDescent="0.25">
      <c r="A988" s="1" t="s">
        <v>8</v>
      </c>
      <c r="B988" s="1" t="s">
        <v>18</v>
      </c>
      <c r="C988" s="1" t="s">
        <v>22</v>
      </c>
      <c r="D988" s="1" t="s">
        <v>11</v>
      </c>
      <c r="E988" s="1" t="s">
        <v>12</v>
      </c>
      <c r="F988" s="1">
        <v>64</v>
      </c>
      <c r="G988" s="1">
        <v>69</v>
      </c>
      <c r="H988" s="1">
        <v>69</v>
      </c>
      <c r="I988">
        <f t="shared" si="75"/>
        <v>202</v>
      </c>
      <c r="J988">
        <f t="shared" si="76"/>
        <v>0</v>
      </c>
      <c r="K988">
        <f t="shared" si="77"/>
        <v>292</v>
      </c>
      <c r="L988">
        <f t="shared" si="78"/>
        <v>292</v>
      </c>
      <c r="M988">
        <f t="shared" si="79"/>
        <v>85264</v>
      </c>
    </row>
    <row r="989" spans="1:13" ht="13.2" x14ac:dyDescent="0.25">
      <c r="A989" s="1" t="s">
        <v>19</v>
      </c>
      <c r="B989" s="1" t="s">
        <v>13</v>
      </c>
      <c r="C989" s="1" t="s">
        <v>22</v>
      </c>
      <c r="D989" s="1" t="s">
        <v>11</v>
      </c>
      <c r="E989" s="1" t="s">
        <v>12</v>
      </c>
      <c r="F989" s="1">
        <v>53</v>
      </c>
      <c r="G989" s="1">
        <v>51</v>
      </c>
      <c r="H989" s="1">
        <v>48</v>
      </c>
      <c r="I989">
        <f t="shared" si="75"/>
        <v>152</v>
      </c>
      <c r="J989">
        <f t="shared" si="76"/>
        <v>0</v>
      </c>
      <c r="K989">
        <f t="shared" si="77"/>
        <v>522.5</v>
      </c>
      <c r="L989">
        <f t="shared" si="78"/>
        <v>522.5</v>
      </c>
      <c r="M989">
        <f t="shared" si="79"/>
        <v>273006.25</v>
      </c>
    </row>
    <row r="990" spans="1:13" ht="13.2" x14ac:dyDescent="0.25">
      <c r="A990" s="1" t="s">
        <v>8</v>
      </c>
      <c r="B990" s="1" t="s">
        <v>13</v>
      </c>
      <c r="C990" s="1" t="s">
        <v>24</v>
      </c>
      <c r="D990" s="1" t="s">
        <v>11</v>
      </c>
      <c r="E990" s="1" t="s">
        <v>17</v>
      </c>
      <c r="F990" s="1">
        <v>85</v>
      </c>
      <c r="G990" s="1">
        <v>98</v>
      </c>
      <c r="H990" s="1">
        <v>100</v>
      </c>
      <c r="I990">
        <f t="shared" si="75"/>
        <v>283</v>
      </c>
      <c r="J990">
        <f t="shared" si="76"/>
        <v>1</v>
      </c>
      <c r="K990">
        <f t="shared" si="77"/>
        <v>23.5</v>
      </c>
      <c r="L990">
        <f t="shared" si="78"/>
        <v>22.5</v>
      </c>
      <c r="M990">
        <f t="shared" si="79"/>
        <v>506.25</v>
      </c>
    </row>
    <row r="991" spans="1:13" ht="13.2" x14ac:dyDescent="0.25">
      <c r="A991" s="1" t="s">
        <v>19</v>
      </c>
      <c r="B991" s="1" t="s">
        <v>21</v>
      </c>
      <c r="C991" s="1" t="s">
        <v>22</v>
      </c>
      <c r="D991" s="1" t="s">
        <v>11</v>
      </c>
      <c r="E991" s="1" t="s">
        <v>12</v>
      </c>
      <c r="F991" s="1">
        <v>90</v>
      </c>
      <c r="G991" s="1">
        <v>79</v>
      </c>
      <c r="H991" s="1">
        <v>71</v>
      </c>
      <c r="I991">
        <f t="shared" si="75"/>
        <v>240</v>
      </c>
      <c r="J991">
        <f t="shared" si="76"/>
        <v>0</v>
      </c>
      <c r="K991">
        <f t="shared" si="77"/>
        <v>129.5</v>
      </c>
      <c r="L991">
        <f t="shared" si="78"/>
        <v>129.5</v>
      </c>
      <c r="M991">
        <f t="shared" si="79"/>
        <v>16770.25</v>
      </c>
    </row>
    <row r="992" spans="1:13" ht="13.2" x14ac:dyDescent="0.25">
      <c r="A992" s="1" t="s">
        <v>8</v>
      </c>
      <c r="B992" s="1" t="s">
        <v>13</v>
      </c>
      <c r="C992" s="1" t="s">
        <v>20</v>
      </c>
      <c r="D992" s="1" t="s">
        <v>11</v>
      </c>
      <c r="E992" s="1" t="s">
        <v>12</v>
      </c>
      <c r="F992" s="1">
        <v>47</v>
      </c>
      <c r="G992" s="1">
        <v>65</v>
      </c>
      <c r="H992" s="1">
        <v>61</v>
      </c>
      <c r="I992">
        <f t="shared" si="75"/>
        <v>173</v>
      </c>
      <c r="J992">
        <f t="shared" si="76"/>
        <v>0</v>
      </c>
      <c r="K992">
        <f t="shared" si="77"/>
        <v>440.5</v>
      </c>
      <c r="L992">
        <f t="shared" si="78"/>
        <v>440.5</v>
      </c>
      <c r="M992">
        <f t="shared" si="79"/>
        <v>194040.25</v>
      </c>
    </row>
    <row r="993" spans="1:13" ht="13.2" x14ac:dyDescent="0.25">
      <c r="A993" s="1" t="s">
        <v>8</v>
      </c>
      <c r="B993" s="1" t="s">
        <v>9</v>
      </c>
      <c r="C993" s="1" t="s">
        <v>20</v>
      </c>
      <c r="D993" s="1" t="s">
        <v>11</v>
      </c>
      <c r="E993" s="1" t="s">
        <v>17</v>
      </c>
      <c r="F993" s="1">
        <v>56</v>
      </c>
      <c r="G993" s="1">
        <v>66</v>
      </c>
      <c r="H993" s="1">
        <v>71</v>
      </c>
      <c r="I993">
        <f t="shared" si="75"/>
        <v>193</v>
      </c>
      <c r="J993">
        <f t="shared" si="76"/>
        <v>1</v>
      </c>
      <c r="K993">
        <f t="shared" si="77"/>
        <v>344</v>
      </c>
      <c r="L993">
        <f t="shared" si="78"/>
        <v>343</v>
      </c>
      <c r="M993">
        <f t="shared" si="79"/>
        <v>117649</v>
      </c>
    </row>
    <row r="994" spans="1:13" ht="13.2" x14ac:dyDescent="0.25">
      <c r="A994" s="1" t="s">
        <v>19</v>
      </c>
      <c r="B994" s="1" t="s">
        <v>13</v>
      </c>
      <c r="C994" s="1" t="s">
        <v>20</v>
      </c>
      <c r="D994" s="1" t="s">
        <v>11</v>
      </c>
      <c r="E994" s="1" t="s">
        <v>17</v>
      </c>
      <c r="F994" s="1">
        <v>84</v>
      </c>
      <c r="G994" s="1">
        <v>77</v>
      </c>
      <c r="H994" s="1">
        <v>88</v>
      </c>
      <c r="I994">
        <f t="shared" si="75"/>
        <v>249</v>
      </c>
      <c r="J994">
        <f t="shared" si="76"/>
        <v>1</v>
      </c>
      <c r="K994">
        <f t="shared" si="77"/>
        <v>98</v>
      </c>
      <c r="L994">
        <f t="shared" si="78"/>
        <v>97</v>
      </c>
      <c r="M994">
        <f t="shared" si="79"/>
        <v>9409</v>
      </c>
    </row>
    <row r="995" spans="1:13" ht="13.2" x14ac:dyDescent="0.25">
      <c r="A995" s="1" t="s">
        <v>8</v>
      </c>
      <c r="B995" s="1" t="s">
        <v>9</v>
      </c>
      <c r="C995" s="1" t="s">
        <v>24</v>
      </c>
      <c r="D995" s="1" t="s">
        <v>23</v>
      </c>
      <c r="E995" s="1" t="s">
        <v>17</v>
      </c>
      <c r="F995" s="1">
        <v>47</v>
      </c>
      <c r="G995" s="1">
        <v>64</v>
      </c>
      <c r="H995" s="1">
        <v>61</v>
      </c>
      <c r="I995">
        <f t="shared" si="75"/>
        <v>172</v>
      </c>
      <c r="J995">
        <f t="shared" si="76"/>
        <v>1</v>
      </c>
      <c r="K995">
        <f t="shared" si="77"/>
        <v>445</v>
      </c>
      <c r="L995">
        <f t="shared" si="78"/>
        <v>444</v>
      </c>
      <c r="M995">
        <f t="shared" si="79"/>
        <v>197136</v>
      </c>
    </row>
    <row r="996" spans="1:13" ht="13.2" x14ac:dyDescent="0.25">
      <c r="A996" s="1" t="s">
        <v>8</v>
      </c>
      <c r="B996" s="1" t="s">
        <v>9</v>
      </c>
      <c r="C996" s="1" t="s">
        <v>22</v>
      </c>
      <c r="D996" s="1" t="s">
        <v>23</v>
      </c>
      <c r="E996" s="1" t="s">
        <v>12</v>
      </c>
      <c r="F996" s="1">
        <v>57</v>
      </c>
      <c r="G996" s="1">
        <v>75</v>
      </c>
      <c r="H996" s="1">
        <v>66</v>
      </c>
      <c r="I996">
        <f t="shared" si="75"/>
        <v>198</v>
      </c>
      <c r="J996">
        <f t="shared" si="76"/>
        <v>0</v>
      </c>
      <c r="K996">
        <f t="shared" si="77"/>
        <v>313</v>
      </c>
      <c r="L996">
        <f t="shared" si="78"/>
        <v>313</v>
      </c>
      <c r="M996">
        <f t="shared" si="79"/>
        <v>97969</v>
      </c>
    </row>
    <row r="997" spans="1:13" ht="13.2" x14ac:dyDescent="0.25">
      <c r="A997" s="1" t="s">
        <v>8</v>
      </c>
      <c r="B997" s="1" t="s">
        <v>13</v>
      </c>
      <c r="C997" s="1" t="s">
        <v>10</v>
      </c>
      <c r="D997" s="1" t="s">
        <v>23</v>
      </c>
      <c r="E997" s="1" t="s">
        <v>12</v>
      </c>
      <c r="F997" s="1">
        <v>29</v>
      </c>
      <c r="G997" s="1">
        <v>41</v>
      </c>
      <c r="H997" s="1">
        <v>35</v>
      </c>
      <c r="I997">
        <f t="shared" si="75"/>
        <v>105</v>
      </c>
      <c r="J997">
        <f t="shared" si="76"/>
        <v>0</v>
      </c>
      <c r="K997" t="e">
        <f t="shared" si="77"/>
        <v>#N/A</v>
      </c>
      <c r="L997" t="e">
        <f t="shared" si="78"/>
        <v>#N/A</v>
      </c>
      <c r="M997" t="e">
        <f t="shared" si="79"/>
        <v>#N/A</v>
      </c>
    </row>
    <row r="998" spans="1:13" ht="13.2" x14ac:dyDescent="0.25">
      <c r="A998" s="1" t="s">
        <v>8</v>
      </c>
      <c r="B998" s="1" t="s">
        <v>13</v>
      </c>
      <c r="C998" s="1" t="s">
        <v>22</v>
      </c>
      <c r="D998" s="1" t="s">
        <v>11</v>
      </c>
      <c r="E998" s="1" t="s">
        <v>17</v>
      </c>
      <c r="F998" s="1">
        <v>80</v>
      </c>
      <c r="G998" s="1">
        <v>86</v>
      </c>
      <c r="H998" s="1">
        <v>92</v>
      </c>
      <c r="I998">
        <f t="shared" si="75"/>
        <v>258</v>
      </c>
      <c r="J998">
        <f t="shared" si="76"/>
        <v>1</v>
      </c>
      <c r="K998">
        <f>_xlfn.RANK.AVG(I998, I$2:I$601, 0)</f>
        <v>70</v>
      </c>
      <c r="L998">
        <f t="shared" si="78"/>
        <v>69</v>
      </c>
      <c r="M998">
        <f t="shared" si="79"/>
        <v>4761</v>
      </c>
    </row>
    <row r="999" spans="1:13" ht="13.2" x14ac:dyDescent="0.25">
      <c r="A999" s="1" t="s">
        <v>8</v>
      </c>
      <c r="B999" s="1" t="s">
        <v>21</v>
      </c>
      <c r="C999" s="1" t="s">
        <v>14</v>
      </c>
      <c r="D999" s="1" t="s">
        <v>11</v>
      </c>
      <c r="E999" s="1" t="s">
        <v>12</v>
      </c>
      <c r="F999" s="1">
        <v>76</v>
      </c>
      <c r="G999" s="1">
        <v>80</v>
      </c>
      <c r="H999" s="1">
        <v>77</v>
      </c>
      <c r="I999">
        <f t="shared" si="75"/>
        <v>233</v>
      </c>
      <c r="J999">
        <f t="shared" si="76"/>
        <v>0</v>
      </c>
      <c r="K999">
        <f t="shared" ref="K999:K1001" si="80">_xlfn.RANK.AVG(I999, I$2:I$601, 0)</f>
        <v>163</v>
      </c>
      <c r="L999">
        <f t="shared" si="78"/>
        <v>163</v>
      </c>
      <c r="M999">
        <f t="shared" si="79"/>
        <v>26569</v>
      </c>
    </row>
    <row r="1000" spans="1:13" ht="13.2" x14ac:dyDescent="0.25">
      <c r="A1000" s="1" t="s">
        <v>19</v>
      </c>
      <c r="B1000" s="1" t="s">
        <v>13</v>
      </c>
      <c r="C1000" s="1" t="s">
        <v>14</v>
      </c>
      <c r="D1000" s="1" t="s">
        <v>11</v>
      </c>
      <c r="E1000" s="1" t="s">
        <v>12</v>
      </c>
      <c r="F1000" s="1">
        <v>59</v>
      </c>
      <c r="G1000" s="1">
        <v>68</v>
      </c>
      <c r="H1000" s="1">
        <v>64</v>
      </c>
      <c r="I1000">
        <f t="shared" si="75"/>
        <v>191</v>
      </c>
      <c r="J1000">
        <f t="shared" si="76"/>
        <v>0</v>
      </c>
      <c r="K1000">
        <f t="shared" si="80"/>
        <v>353.5</v>
      </c>
      <c r="L1000">
        <f t="shared" si="78"/>
        <v>353.5</v>
      </c>
      <c r="M1000">
        <f t="shared" si="79"/>
        <v>124962.25</v>
      </c>
    </row>
    <row r="1001" spans="1:13" ht="13.2" x14ac:dyDescent="0.25">
      <c r="A1001" s="1" t="s">
        <v>8</v>
      </c>
      <c r="B1001" s="1" t="s">
        <v>13</v>
      </c>
      <c r="C1001" s="1" t="s">
        <v>20</v>
      </c>
      <c r="D1001" s="1" t="s">
        <v>11</v>
      </c>
      <c r="E1001" s="1" t="s">
        <v>17</v>
      </c>
      <c r="F1001" s="1">
        <v>75</v>
      </c>
      <c r="G1001" s="1">
        <v>86</v>
      </c>
      <c r="H1001" s="1">
        <v>97</v>
      </c>
      <c r="I1001">
        <f t="shared" si="75"/>
        <v>258</v>
      </c>
      <c r="J1001">
        <f t="shared" si="76"/>
        <v>1</v>
      </c>
      <c r="K1001">
        <f t="shared" si="80"/>
        <v>70</v>
      </c>
      <c r="L1001">
        <f t="shared" si="78"/>
        <v>69</v>
      </c>
      <c r="M1001">
        <f t="shared" si="79"/>
        <v>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exams_dataset</vt:lpstr>
      <vt:lpstr>exams_dataset (2)</vt:lpstr>
      <vt:lpstr>exams_dataset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2025-05-24T14:32:13Z</dcterms:modified>
</cp:coreProperties>
</file>