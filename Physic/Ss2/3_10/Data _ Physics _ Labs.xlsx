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MPORTANT_STUDY\Физика\3_10\"/>
    </mc:Choice>
  </mc:AlternateContent>
  <bookViews>
    <workbookView xWindow="0" yWindow="0" windowWidth="23040" windowHeight="9072" activeTab="1"/>
  </bookViews>
  <sheets>
    <sheet name="3.10" sheetId="3" r:id="rId1"/>
    <sheet name="3.10-Edited" sheetId="4" r:id="rId2"/>
  </sheets>
  <calcPr calcId="162913"/>
</workbook>
</file>

<file path=xl/calcChain.xml><?xml version="1.0" encoding="utf-8"?>
<calcChain xmlns="http://schemas.openxmlformats.org/spreadsheetml/2006/main">
  <c r="H32" i="4" l="1"/>
  <c r="F32" i="4"/>
  <c r="G32" i="4" s="1"/>
  <c r="H31" i="4"/>
  <c r="F31" i="4"/>
  <c r="G31" i="4" s="1"/>
  <c r="H30" i="4"/>
  <c r="F30" i="4"/>
  <c r="G30" i="4" s="1"/>
  <c r="H29" i="4"/>
  <c r="F29" i="4"/>
  <c r="G29" i="4" s="1"/>
  <c r="H28" i="4"/>
  <c r="F28" i="4"/>
  <c r="G28" i="4" s="1"/>
  <c r="H27" i="4"/>
  <c r="F27" i="4"/>
  <c r="G27" i="4" s="1"/>
  <c r="H26" i="4"/>
  <c r="F26" i="4"/>
  <c r="G26" i="4" s="1"/>
  <c r="H25" i="4"/>
  <c r="F25" i="4"/>
  <c r="G25" i="4" s="1"/>
  <c r="H24" i="4"/>
  <c r="F24" i="4"/>
  <c r="G24" i="4" s="1"/>
  <c r="H23" i="4"/>
  <c r="F23" i="4"/>
  <c r="G23" i="4" s="1"/>
  <c r="H22" i="4"/>
  <c r="F22" i="4"/>
  <c r="G22" i="4" s="1"/>
  <c r="H21" i="4"/>
  <c r="F21" i="4"/>
  <c r="G21" i="4" s="1"/>
  <c r="H20" i="4"/>
  <c r="F20" i="4"/>
  <c r="G20" i="4" s="1"/>
  <c r="F19" i="4"/>
  <c r="G19" i="4" s="1"/>
  <c r="J2" i="4"/>
  <c r="I31" i="4" l="1"/>
  <c r="I20" i="4"/>
  <c r="I22" i="4"/>
  <c r="I24" i="4"/>
  <c r="I26" i="4"/>
  <c r="I28" i="4"/>
  <c r="I30" i="4"/>
  <c r="I32" i="4"/>
  <c r="I19" i="4"/>
  <c r="I21" i="4"/>
  <c r="I23" i="4"/>
  <c r="I25" i="4"/>
  <c r="I27" i="4"/>
  <c r="I29" i="4"/>
  <c r="I19" i="3"/>
  <c r="E36" i="3" s="1"/>
  <c r="I21" i="3"/>
  <c r="I22" i="3"/>
  <c r="I27" i="3"/>
  <c r="I28" i="3"/>
  <c r="I29" i="3"/>
  <c r="I30" i="3"/>
  <c r="J2" i="3"/>
  <c r="I23" i="3" s="1"/>
  <c r="H21" i="3"/>
  <c r="H22" i="3"/>
  <c r="H23" i="3"/>
  <c r="H24" i="3"/>
  <c r="H25" i="3"/>
  <c r="H26" i="3"/>
  <c r="H27" i="3"/>
  <c r="H28" i="3"/>
  <c r="H29" i="3"/>
  <c r="H30" i="3"/>
  <c r="H31" i="3"/>
  <c r="H32" i="3"/>
  <c r="H20" i="3"/>
  <c r="F19" i="3"/>
  <c r="G19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20" i="3"/>
  <c r="G20" i="3" s="1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B6" i="3"/>
  <c r="F5" i="3"/>
  <c r="D5" i="3"/>
  <c r="B5" i="3"/>
  <c r="F4" i="3"/>
  <c r="D4" i="3"/>
  <c r="B4" i="3"/>
  <c r="F3" i="3"/>
  <c r="D3" i="3"/>
  <c r="E36" i="4" l="1"/>
  <c r="E38" i="4"/>
  <c r="C36" i="4"/>
  <c r="D36" i="4" s="1"/>
  <c r="E35" i="4"/>
  <c r="C38" i="4"/>
  <c r="D38" i="4" s="1"/>
  <c r="E37" i="4"/>
  <c r="C35" i="4"/>
  <c r="D35" i="4" s="1"/>
  <c r="C37" i="4"/>
  <c r="D37" i="4" s="1"/>
  <c r="E35" i="3"/>
  <c r="I24" i="3"/>
  <c r="E37" i="3"/>
  <c r="I20" i="3"/>
  <c r="I26" i="3"/>
  <c r="C35" i="3"/>
  <c r="D35" i="3" s="1"/>
  <c r="I25" i="3"/>
  <c r="C38" i="3"/>
  <c r="D38" i="3" s="1"/>
  <c r="E38" i="3"/>
  <c r="I32" i="3"/>
  <c r="C37" i="3"/>
  <c r="D37" i="3" s="1"/>
  <c r="I31" i="3"/>
  <c r="C36" i="3"/>
  <c r="D36" i="3" s="1"/>
</calcChain>
</file>

<file path=xl/sharedStrings.xml><?xml version="1.0" encoding="utf-8"?>
<sst xmlns="http://schemas.openxmlformats.org/spreadsheetml/2006/main" count="48" uniqueCount="25">
  <si>
    <t>R</t>
  </si>
  <si>
    <t>T</t>
  </si>
  <si>
    <t>U_i</t>
  </si>
  <si>
    <t>2U_i ( vạch)</t>
  </si>
  <si>
    <t>U_i+n</t>
  </si>
  <si>
    <t>2U_i+n ( vạch)</t>
  </si>
  <si>
    <t>n</t>
  </si>
  <si>
    <t>Q</t>
  </si>
  <si>
    <t>C1</t>
  </si>
  <si>
    <t>Bảng dữ liệu gốc</t>
  </si>
  <si>
    <t>Bảng dữ liệu tính</t>
  </si>
  <si>
    <t>R, ôm</t>
  </si>
  <si>
    <t>T, ms</t>
  </si>
  <si>
    <t>λ</t>
  </si>
  <si>
    <t>R_M, ôm</t>
  </si>
  <si>
    <t>L, mHz</t>
  </si>
  <si>
    <t>C, мкФ</t>
  </si>
  <si>
    <r>
      <t>T</t>
    </r>
    <r>
      <rPr>
        <vertAlign val="subscript"/>
        <sz val="11"/>
        <color rgb="FF000000"/>
        <rFont val="Calibri"/>
        <family val="2"/>
      </rPr>
      <t>эксп</t>
    </r>
    <r>
      <rPr>
        <sz val="11"/>
        <color rgb="FF000000"/>
        <rFont val="Calibri"/>
        <family val="2"/>
      </rPr>
      <t>, мс</t>
    </r>
  </si>
  <si>
    <r>
      <t>Т</t>
    </r>
    <r>
      <rPr>
        <vertAlign val="subscript"/>
        <sz val="11"/>
        <color rgb="FF000000"/>
        <rFont val="Calibri"/>
        <family val="2"/>
      </rPr>
      <t>теор</t>
    </r>
    <r>
      <rPr>
        <sz val="11"/>
        <color rgb="FF000000"/>
        <rFont val="Calibri"/>
        <family val="2"/>
      </rPr>
      <t>, мс</t>
    </r>
  </si>
  <si>
    <r>
      <t>T</t>
    </r>
    <r>
      <rPr>
        <vertAlign val="subscript"/>
        <sz val="11"/>
        <color rgb="FF000000"/>
        <rFont val="Calibri"/>
        <family val="2"/>
      </rPr>
      <t>томс</t>
    </r>
    <r>
      <rPr>
        <sz val="11"/>
        <color rgb="FF000000"/>
        <rFont val="Calibri"/>
        <family val="2"/>
      </rPr>
      <t>, мс</t>
    </r>
  </si>
  <si>
    <r>
      <t>R</t>
    </r>
    <r>
      <rPr>
        <vertAlign val="subscript"/>
        <sz val="11"/>
        <color rgb="FF000000"/>
        <rFont val="Calibri"/>
        <family val="2"/>
      </rPr>
      <t>0</t>
    </r>
  </si>
  <si>
    <r>
      <t>R</t>
    </r>
    <r>
      <rPr>
        <vertAlign val="subscript"/>
        <sz val="11"/>
        <color rgb="FF000000"/>
        <rFont val="Calibri"/>
        <family val="2"/>
      </rPr>
      <t>м</t>
    </r>
  </si>
  <si>
    <r>
      <t>R</t>
    </r>
    <r>
      <rPr>
        <vertAlign val="subscript"/>
        <sz val="11"/>
        <color rgb="FF000000"/>
        <rFont val="Calibri"/>
        <family val="2"/>
      </rPr>
      <t>кр эксп</t>
    </r>
  </si>
  <si>
    <r>
      <t>R</t>
    </r>
    <r>
      <rPr>
        <vertAlign val="subscript"/>
        <sz val="11"/>
        <color rgb="FF000000"/>
        <rFont val="Calibri"/>
        <family val="2"/>
      </rPr>
      <t>кр теор</t>
    </r>
  </si>
  <si>
    <t>δT,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</si>
</sst>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vertAlign val="subscript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0" fontId="4" fillId="0" borderId="0" xfId="0" applyFont="1" applyAlignment="1"/>
    <xf numFmtId="164" fontId="1" fillId="0" borderId="0" xfId="0" applyNumberFormat="1" applyFont="1" applyAlignment="1"/>
    <xf numFmtId="0" fontId="3" fillId="0" borderId="0" xfId="0" applyFont="1" applyAlignment="1"/>
    <xf numFmtId="3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Alignme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1"/>
  <sheetViews>
    <sheetView topLeftCell="A15" workbookViewId="0">
      <selection activeCell="N25" sqref="A1:XFD1048576"/>
    </sheetView>
  </sheetViews>
  <sheetFormatPr defaultColWidth="12.6640625" defaultRowHeight="15.75" customHeight="1" x14ac:dyDescent="0.25"/>
  <sheetData>
    <row r="1" spans="1:19" ht="15.75" customHeight="1" x14ac:dyDescent="0.25">
      <c r="B1" t="s">
        <v>9</v>
      </c>
    </row>
    <row r="2" spans="1:19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6" t="s">
        <v>8</v>
      </c>
      <c r="J2" s="1">
        <f>0.022*10^(-6)</f>
        <v>2.1999999999999998E-8</v>
      </c>
      <c r="K2" s="1"/>
      <c r="N2" s="1"/>
      <c r="O2" s="1"/>
      <c r="P2" s="1"/>
      <c r="Q2" s="1"/>
      <c r="S2" s="1"/>
    </row>
    <row r="3" spans="1:19" ht="13.2" x14ac:dyDescent="0.25">
      <c r="A3" s="1">
        <v>10</v>
      </c>
      <c r="B3" s="1">
        <v>92</v>
      </c>
      <c r="C3" s="1">
        <v>26.4</v>
      </c>
      <c r="D3" s="1">
        <f t="shared" ref="D3:D15" si="0">C3/20*2</f>
        <v>2.6399999999999997</v>
      </c>
      <c r="E3" s="1">
        <v>15</v>
      </c>
      <c r="F3" s="1">
        <f t="shared" ref="F3:F15" si="1">E3/10</f>
        <v>1.5</v>
      </c>
      <c r="G3" s="1">
        <v>3</v>
      </c>
      <c r="N3" s="1"/>
      <c r="O3" s="1"/>
      <c r="S3" s="1"/>
    </row>
    <row r="4" spans="1:19" ht="13.2" x14ac:dyDescent="0.25">
      <c r="A4" s="1">
        <v>20</v>
      </c>
      <c r="B4" s="2">
        <f t="shared" ref="B4:B6" si="2">ROUND(277/3,2)</f>
        <v>92.33</v>
      </c>
      <c r="C4" s="1">
        <v>26</v>
      </c>
      <c r="D4" s="1">
        <f t="shared" si="0"/>
        <v>2.6</v>
      </c>
      <c r="E4" s="1">
        <v>14.4</v>
      </c>
      <c r="F4" s="1">
        <f t="shared" si="1"/>
        <v>1.44</v>
      </c>
      <c r="G4" s="1">
        <v>3</v>
      </c>
      <c r="N4" s="1"/>
      <c r="O4" s="1"/>
      <c r="S4" s="1"/>
    </row>
    <row r="5" spans="1:19" ht="13.2" x14ac:dyDescent="0.25">
      <c r="A5" s="1">
        <v>30</v>
      </c>
      <c r="B5" s="2">
        <f t="shared" si="2"/>
        <v>92.33</v>
      </c>
      <c r="C5" s="1">
        <v>25.6</v>
      </c>
      <c r="D5" s="1">
        <f t="shared" si="0"/>
        <v>2.56</v>
      </c>
      <c r="E5" s="1">
        <v>13.6</v>
      </c>
      <c r="F5" s="1">
        <f t="shared" si="1"/>
        <v>1.3599999999999999</v>
      </c>
      <c r="G5" s="1">
        <v>3</v>
      </c>
      <c r="N5" s="1"/>
      <c r="O5" s="1"/>
      <c r="S5" s="1"/>
    </row>
    <row r="6" spans="1:19" ht="13.2" x14ac:dyDescent="0.25">
      <c r="A6" s="1">
        <v>40</v>
      </c>
      <c r="B6" s="2">
        <f t="shared" si="2"/>
        <v>92.33</v>
      </c>
      <c r="C6" s="1">
        <v>25</v>
      </c>
      <c r="D6" s="1">
        <f t="shared" si="0"/>
        <v>2.5</v>
      </c>
      <c r="E6" s="1">
        <v>13</v>
      </c>
      <c r="F6" s="1">
        <f t="shared" si="1"/>
        <v>1.3</v>
      </c>
      <c r="G6" s="1">
        <v>3</v>
      </c>
      <c r="N6" s="1"/>
      <c r="O6" s="1"/>
      <c r="S6" s="1"/>
    </row>
    <row r="7" spans="1:19" ht="13.2" x14ac:dyDescent="0.25">
      <c r="A7" s="1">
        <v>50</v>
      </c>
      <c r="B7" s="1">
        <v>92.33</v>
      </c>
      <c r="C7" s="1">
        <v>24.8</v>
      </c>
      <c r="D7" s="1">
        <f t="shared" si="0"/>
        <v>2.48</v>
      </c>
      <c r="E7" s="1">
        <v>12.8</v>
      </c>
      <c r="F7" s="1">
        <f t="shared" si="1"/>
        <v>1.28</v>
      </c>
      <c r="G7" s="1">
        <v>3</v>
      </c>
    </row>
    <row r="8" spans="1:19" ht="13.2" x14ac:dyDescent="0.25">
      <c r="A8" s="1">
        <v>60</v>
      </c>
      <c r="B8" s="1">
        <v>92.33</v>
      </c>
      <c r="C8" s="1">
        <v>24.4</v>
      </c>
      <c r="D8" s="1">
        <f t="shared" si="0"/>
        <v>2.44</v>
      </c>
      <c r="E8" s="1">
        <v>12</v>
      </c>
      <c r="F8" s="1">
        <f t="shared" si="1"/>
        <v>1.2</v>
      </c>
      <c r="G8" s="1">
        <v>3</v>
      </c>
    </row>
    <row r="9" spans="1:19" ht="13.2" x14ac:dyDescent="0.25">
      <c r="A9" s="1">
        <v>70</v>
      </c>
      <c r="B9" s="1">
        <v>92.33</v>
      </c>
      <c r="C9" s="1">
        <v>24.2</v>
      </c>
      <c r="D9" s="1">
        <f t="shared" si="0"/>
        <v>2.42</v>
      </c>
      <c r="E9" s="1">
        <v>11.8</v>
      </c>
      <c r="F9" s="1">
        <f t="shared" si="1"/>
        <v>1.1800000000000002</v>
      </c>
      <c r="G9" s="1">
        <v>3</v>
      </c>
    </row>
    <row r="10" spans="1:19" ht="13.2" x14ac:dyDescent="0.25">
      <c r="A10" s="1">
        <v>80</v>
      </c>
      <c r="B10" s="1">
        <v>92.33</v>
      </c>
      <c r="C10" s="1">
        <v>23.8</v>
      </c>
      <c r="D10" s="1">
        <f t="shared" si="0"/>
        <v>2.38</v>
      </c>
      <c r="E10" s="1">
        <v>11.4</v>
      </c>
      <c r="F10" s="1">
        <f t="shared" si="1"/>
        <v>1.1400000000000001</v>
      </c>
      <c r="G10" s="1">
        <v>3</v>
      </c>
    </row>
    <row r="11" spans="1:19" ht="13.2" x14ac:dyDescent="0.25">
      <c r="A11" s="1">
        <v>90</v>
      </c>
      <c r="B11" s="1">
        <v>92.33</v>
      </c>
      <c r="C11" s="1">
        <v>23.4</v>
      </c>
      <c r="D11" s="1">
        <f t="shared" si="0"/>
        <v>2.34</v>
      </c>
      <c r="E11" s="1">
        <v>11.2</v>
      </c>
      <c r="F11" s="1">
        <f t="shared" si="1"/>
        <v>1.1199999999999999</v>
      </c>
      <c r="G11" s="1">
        <v>3</v>
      </c>
    </row>
    <row r="12" spans="1:19" ht="13.2" x14ac:dyDescent="0.25">
      <c r="A12" s="1">
        <v>100</v>
      </c>
      <c r="B12" s="1">
        <v>92.33</v>
      </c>
      <c r="C12" s="1">
        <v>23.2</v>
      </c>
      <c r="D12" s="1">
        <f t="shared" si="0"/>
        <v>2.3199999999999998</v>
      </c>
      <c r="E12" s="1">
        <v>11.2</v>
      </c>
      <c r="F12" s="1">
        <f t="shared" si="1"/>
        <v>1.1199999999999999</v>
      </c>
      <c r="G12" s="1">
        <v>3</v>
      </c>
    </row>
    <row r="13" spans="1:19" ht="13.2" x14ac:dyDescent="0.25">
      <c r="A13" s="1">
        <v>200</v>
      </c>
      <c r="B13" s="1">
        <v>92</v>
      </c>
      <c r="C13" s="1">
        <v>20.399999999999999</v>
      </c>
      <c r="D13" s="1">
        <f t="shared" si="0"/>
        <v>2.04</v>
      </c>
      <c r="E13" s="1">
        <v>12.8</v>
      </c>
      <c r="F13" s="1">
        <f t="shared" si="1"/>
        <v>1.28</v>
      </c>
      <c r="G13" s="1">
        <v>1</v>
      </c>
    </row>
    <row r="14" spans="1:19" ht="13.2" x14ac:dyDescent="0.25">
      <c r="A14" s="1">
        <v>300</v>
      </c>
      <c r="B14" s="1">
        <v>92</v>
      </c>
      <c r="C14" s="1">
        <v>18.2</v>
      </c>
      <c r="D14" s="1">
        <f t="shared" si="0"/>
        <v>1.8199999999999998</v>
      </c>
      <c r="E14" s="1">
        <v>11.2</v>
      </c>
      <c r="F14" s="1">
        <f t="shared" si="1"/>
        <v>1.1199999999999999</v>
      </c>
      <c r="G14" s="1">
        <v>1</v>
      </c>
    </row>
    <row r="15" spans="1:19" ht="13.2" x14ac:dyDescent="0.25">
      <c r="A15" s="1">
        <v>400</v>
      </c>
      <c r="B15" s="1">
        <v>92</v>
      </c>
      <c r="C15" s="1">
        <v>16.2</v>
      </c>
      <c r="D15" s="1">
        <f t="shared" si="0"/>
        <v>1.6199999999999999</v>
      </c>
      <c r="E15" s="1">
        <v>10.6</v>
      </c>
      <c r="F15" s="1">
        <f t="shared" si="1"/>
        <v>1.06</v>
      </c>
      <c r="G15" s="1">
        <v>1</v>
      </c>
    </row>
    <row r="16" spans="1:19" ht="13.2" x14ac:dyDescent="0.25">
      <c r="A16" s="1"/>
      <c r="B16" s="1"/>
      <c r="C16" s="1"/>
      <c r="D16" s="1"/>
      <c r="E16" s="1"/>
      <c r="F16" s="1"/>
      <c r="G16" s="1"/>
    </row>
    <row r="17" spans="1:9" ht="15.75" customHeight="1" x14ac:dyDescent="0.25">
      <c r="B17" t="s">
        <v>10</v>
      </c>
      <c r="H17" s="8"/>
    </row>
    <row r="18" spans="1:9" ht="15.75" customHeight="1" x14ac:dyDescent="0.3">
      <c r="A18" s="6" t="s">
        <v>14</v>
      </c>
      <c r="B18" s="1" t="s">
        <v>12</v>
      </c>
      <c r="C18" s="1" t="s">
        <v>3</v>
      </c>
      <c r="D18" t="s">
        <v>5</v>
      </c>
      <c r="E18" s="1" t="s">
        <v>6</v>
      </c>
      <c r="F18" s="3" t="s">
        <v>13</v>
      </c>
      <c r="G18" s="6" t="s">
        <v>7</v>
      </c>
      <c r="H18" s="6" t="s">
        <v>11</v>
      </c>
      <c r="I18" s="6" t="s">
        <v>15</v>
      </c>
    </row>
    <row r="19" spans="1:9" ht="15.75" customHeight="1" x14ac:dyDescent="0.25">
      <c r="A19" s="6">
        <v>0</v>
      </c>
      <c r="B19" s="4">
        <v>0.09</v>
      </c>
      <c r="C19" s="1">
        <v>2.7</v>
      </c>
      <c r="D19">
        <v>1.6</v>
      </c>
      <c r="E19" s="1">
        <v>3</v>
      </c>
      <c r="F19" s="7">
        <f>LN(C19/D19)/E19</f>
        <v>0.17441604792151597</v>
      </c>
      <c r="G19" s="7">
        <f>2*PI() / (1 - EXP(-2*F19))</f>
        <v>21.335933271773886</v>
      </c>
      <c r="H19" s="10">
        <v>68.814999999999998</v>
      </c>
      <c r="I19" s="11">
        <f t="shared" ref="I19:I31" si="3" xml:space="preserve"> $J$2 / ((F19 / (PI() * H19)) ^ 2)*10^3</f>
        <v>33.799927706979375</v>
      </c>
    </row>
    <row r="20" spans="1:9" ht="15.75" customHeight="1" x14ac:dyDescent="0.25">
      <c r="A20" s="1">
        <v>10</v>
      </c>
      <c r="B20" s="4">
        <v>0.09</v>
      </c>
      <c r="C20" s="4">
        <v>2.6399999999999997</v>
      </c>
      <c r="D20" s="5">
        <v>1.5</v>
      </c>
      <c r="E20" s="1">
        <v>3</v>
      </c>
      <c r="F20" s="7">
        <f>LN(C20/D20)/E20</f>
        <v>0.18843793635002012</v>
      </c>
      <c r="G20" s="7">
        <f>2*PI() / (1 - EXP(-2*F20))</f>
        <v>20.010222042880024</v>
      </c>
      <c r="H20" s="10">
        <f>$H$19+A20</f>
        <v>78.814999999999998</v>
      </c>
      <c r="I20" s="11">
        <f t="shared" si="3"/>
        <v>37.984245746078336</v>
      </c>
    </row>
    <row r="21" spans="1:9" ht="15.75" customHeight="1" x14ac:dyDescent="0.25">
      <c r="A21" s="1">
        <v>20</v>
      </c>
      <c r="B21" s="1">
        <v>0.09</v>
      </c>
      <c r="C21" s="1">
        <v>2.6</v>
      </c>
      <c r="D21">
        <v>1.44</v>
      </c>
      <c r="E21" s="1">
        <v>3</v>
      </c>
      <c r="F21" s="7">
        <f t="shared" ref="F21:F32" si="4">LN(C21/D21)/E21</f>
        <v>0.19695611047984238</v>
      </c>
      <c r="G21" s="7">
        <f t="shared" ref="G21:G32" si="5">2*PI() / (1 - EXP(-2*F21))</f>
        <v>19.298037665502918</v>
      </c>
      <c r="H21" s="10">
        <f t="shared" ref="H21:H32" si="6">$H$19+A21</f>
        <v>88.814999999999998</v>
      </c>
      <c r="I21" s="11">
        <f t="shared" si="3"/>
        <v>44.152586310442473</v>
      </c>
    </row>
    <row r="22" spans="1:9" ht="15.75" customHeight="1" x14ac:dyDescent="0.25">
      <c r="A22" s="1">
        <v>30</v>
      </c>
      <c r="B22" s="1">
        <v>0.09</v>
      </c>
      <c r="C22" s="1">
        <v>2.56</v>
      </c>
      <c r="D22">
        <v>1.3599999999999999</v>
      </c>
      <c r="E22" s="1">
        <v>3</v>
      </c>
      <c r="F22" s="7">
        <f t="shared" si="4"/>
        <v>0.21084085291450352</v>
      </c>
      <c r="G22" s="7">
        <f t="shared" si="5"/>
        <v>18.262036385603331</v>
      </c>
      <c r="H22" s="10">
        <f t="shared" si="6"/>
        <v>98.814999999999998</v>
      </c>
      <c r="I22" s="11">
        <f t="shared" si="3"/>
        <v>47.693439924657433</v>
      </c>
    </row>
    <row r="23" spans="1:9" ht="15.75" customHeight="1" x14ac:dyDescent="0.25">
      <c r="A23" s="1">
        <v>40</v>
      </c>
      <c r="B23" s="1">
        <v>0.09</v>
      </c>
      <c r="C23" s="1">
        <v>2.5</v>
      </c>
      <c r="D23">
        <v>1.3</v>
      </c>
      <c r="E23" s="1">
        <v>3</v>
      </c>
      <c r="F23" s="7">
        <f t="shared" si="4"/>
        <v>0.21797548913555465</v>
      </c>
      <c r="G23" s="7">
        <f t="shared" si="5"/>
        <v>17.781732229346119</v>
      </c>
      <c r="H23" s="10">
        <f t="shared" si="6"/>
        <v>108.815</v>
      </c>
      <c r="I23" s="11">
        <f t="shared" si="3"/>
        <v>54.110885025797252</v>
      </c>
    </row>
    <row r="24" spans="1:9" ht="15.75" customHeight="1" x14ac:dyDescent="0.25">
      <c r="A24" s="1">
        <v>50</v>
      </c>
      <c r="B24" s="1">
        <v>0.09</v>
      </c>
      <c r="C24" s="1">
        <v>2.48</v>
      </c>
      <c r="D24">
        <v>1.28</v>
      </c>
      <c r="E24" s="1">
        <v>3</v>
      </c>
      <c r="F24" s="7">
        <f t="shared" si="4"/>
        <v>0.22046616074845501</v>
      </c>
      <c r="G24" s="7">
        <f t="shared" si="5"/>
        <v>17.621492203544104</v>
      </c>
      <c r="H24" s="10">
        <f t="shared" si="6"/>
        <v>118.815</v>
      </c>
      <c r="I24" s="11">
        <f t="shared" si="3"/>
        <v>63.063938842797221</v>
      </c>
    </row>
    <row r="25" spans="1:9" ht="15.75" customHeight="1" x14ac:dyDescent="0.25">
      <c r="A25" s="1">
        <v>60</v>
      </c>
      <c r="B25" s="1">
        <v>0.09</v>
      </c>
      <c r="C25" s="1">
        <v>2.44</v>
      </c>
      <c r="D25">
        <v>1.2</v>
      </c>
      <c r="E25" s="1">
        <v>3</v>
      </c>
      <c r="F25" s="7">
        <f t="shared" si="4"/>
        <v>0.23655882750371859</v>
      </c>
      <c r="G25" s="7">
        <f t="shared" si="5"/>
        <v>16.668783676296933</v>
      </c>
      <c r="H25" s="10">
        <f t="shared" si="6"/>
        <v>128.815</v>
      </c>
      <c r="I25" s="11">
        <f t="shared" si="3"/>
        <v>64.383856093966315</v>
      </c>
    </row>
    <row r="26" spans="1:9" ht="15.75" customHeight="1" x14ac:dyDescent="0.25">
      <c r="A26" s="1">
        <v>70</v>
      </c>
      <c r="B26" s="1">
        <v>0.09</v>
      </c>
      <c r="C26" s="1">
        <v>2.42</v>
      </c>
      <c r="D26">
        <v>1.1800000000000002</v>
      </c>
      <c r="E26" s="1">
        <v>3</v>
      </c>
      <c r="F26" s="7">
        <f t="shared" si="4"/>
        <v>0.23941770056367384</v>
      </c>
      <c r="G26" s="7">
        <f t="shared" si="5"/>
        <v>16.513163535549253</v>
      </c>
      <c r="H26" s="10">
        <f t="shared" si="6"/>
        <v>138.815</v>
      </c>
      <c r="I26" s="11">
        <f t="shared" si="3"/>
        <v>72.993251574366568</v>
      </c>
    </row>
    <row r="27" spans="1:9" ht="15.75" customHeight="1" x14ac:dyDescent="0.25">
      <c r="A27" s="1">
        <v>80</v>
      </c>
      <c r="B27" s="1">
        <v>0.09</v>
      </c>
      <c r="C27" s="1">
        <v>2.38</v>
      </c>
      <c r="D27">
        <v>1.1400000000000001</v>
      </c>
      <c r="E27" s="1">
        <v>3</v>
      </c>
      <c r="F27" s="7">
        <f t="shared" si="4"/>
        <v>0.2453574084256597</v>
      </c>
      <c r="G27" s="7">
        <f t="shared" si="5"/>
        <v>16.201653365795465</v>
      </c>
      <c r="H27" s="10">
        <f t="shared" si="6"/>
        <v>148.815</v>
      </c>
      <c r="I27" s="11">
        <f t="shared" si="3"/>
        <v>79.876217709049399</v>
      </c>
    </row>
    <row r="28" spans="1:9" ht="15.75" customHeight="1" x14ac:dyDescent="0.25">
      <c r="A28" s="1">
        <v>90</v>
      </c>
      <c r="B28" s="1">
        <v>0.09</v>
      </c>
      <c r="C28" s="1">
        <v>2.34</v>
      </c>
      <c r="D28">
        <v>1.1199999999999999</v>
      </c>
      <c r="E28" s="1">
        <v>3</v>
      </c>
      <c r="F28" s="7">
        <f t="shared" si="4"/>
        <v>0.24560741468753566</v>
      </c>
      <c r="G28" s="7">
        <f t="shared" si="5"/>
        <v>16.188878574705473</v>
      </c>
      <c r="H28" s="10">
        <f t="shared" si="6"/>
        <v>158.815</v>
      </c>
      <c r="I28" s="11">
        <f t="shared" si="3"/>
        <v>90.786759892370483</v>
      </c>
    </row>
    <row r="29" spans="1:9" ht="15.75" customHeight="1" x14ac:dyDescent="0.25">
      <c r="A29" s="1">
        <v>100</v>
      </c>
      <c r="B29" s="1">
        <v>0.09</v>
      </c>
      <c r="C29" s="1">
        <v>2.3199999999999998</v>
      </c>
      <c r="D29">
        <v>1.1199999999999999</v>
      </c>
      <c r="E29" s="1">
        <v>3</v>
      </c>
      <c r="F29" s="7">
        <f t="shared" si="4"/>
        <v>0.24274616679040517</v>
      </c>
      <c r="G29" s="7">
        <f t="shared" si="5"/>
        <v>16.336686486378952</v>
      </c>
      <c r="H29" s="10">
        <f t="shared" si="6"/>
        <v>168.815</v>
      </c>
      <c r="I29" s="11">
        <f t="shared" si="3"/>
        <v>105.01219371681007</v>
      </c>
    </row>
    <row r="30" spans="1:9" ht="15.75" customHeight="1" x14ac:dyDescent="0.25">
      <c r="A30" s="1">
        <v>200</v>
      </c>
      <c r="B30" s="1">
        <v>0.09</v>
      </c>
      <c r="C30" s="1">
        <v>2.04</v>
      </c>
      <c r="D30">
        <v>1.28</v>
      </c>
      <c r="E30" s="1">
        <v>1</v>
      </c>
      <c r="F30" s="7">
        <f t="shared" si="4"/>
        <v>0.46608972992459924</v>
      </c>
      <c r="G30" s="7">
        <f t="shared" si="5"/>
        <v>10.363072278994359</v>
      </c>
      <c r="H30" s="10">
        <f t="shared" si="6"/>
        <v>268.815</v>
      </c>
      <c r="I30" s="11">
        <f t="shared" si="3"/>
        <v>72.225466710791338</v>
      </c>
    </row>
    <row r="31" spans="1:9" ht="15.75" customHeight="1" x14ac:dyDescent="0.25">
      <c r="A31" s="1">
        <v>300</v>
      </c>
      <c r="B31" s="1">
        <v>0.09</v>
      </c>
      <c r="C31" s="1">
        <v>1.8199999999999998</v>
      </c>
      <c r="D31">
        <v>1.1199999999999999</v>
      </c>
      <c r="E31" s="1">
        <v>1</v>
      </c>
      <c r="F31" s="7">
        <f t="shared" si="4"/>
        <v>0.48550781578170082</v>
      </c>
      <c r="G31" s="7">
        <f t="shared" si="5"/>
        <v>10.112936351555714</v>
      </c>
      <c r="H31" s="10">
        <f t="shared" si="6"/>
        <v>368.815</v>
      </c>
      <c r="I31" s="11">
        <f t="shared" si="3"/>
        <v>125.2988619966782</v>
      </c>
    </row>
    <row r="32" spans="1:9" ht="15.75" customHeight="1" x14ac:dyDescent="0.25">
      <c r="A32" s="1">
        <v>400</v>
      </c>
      <c r="B32" s="1">
        <v>0.09</v>
      </c>
      <c r="C32" s="1">
        <v>1.6199999999999999</v>
      </c>
      <c r="D32">
        <v>1.06</v>
      </c>
      <c r="E32" s="1">
        <v>1</v>
      </c>
      <c r="F32" s="7">
        <f t="shared" si="4"/>
        <v>0.42415724112031683</v>
      </c>
      <c r="G32" s="7">
        <f t="shared" si="5"/>
        <v>10.987201172815904</v>
      </c>
      <c r="H32" s="10">
        <f t="shared" si="6"/>
        <v>468.815</v>
      </c>
      <c r="I32" s="11">
        <f xml:space="preserve"> $J$2 / ((F32 / (PI() * H32)) ^ 2)*10^3</f>
        <v>265.25993111256253</v>
      </c>
    </row>
    <row r="33" spans="1:7" ht="15.75" customHeight="1" x14ac:dyDescent="0.25">
      <c r="A33" s="8"/>
    </row>
    <row r="34" spans="1:7" ht="15.75" customHeight="1" thickBot="1" x14ac:dyDescent="0.3">
      <c r="A34" s="12" t="s">
        <v>16</v>
      </c>
      <c r="B34" s="13" t="s">
        <v>17</v>
      </c>
      <c r="C34" s="13" t="s">
        <v>18</v>
      </c>
      <c r="D34" s="13" t="s">
        <v>24</v>
      </c>
      <c r="E34" s="13" t="s">
        <v>19</v>
      </c>
      <c r="G34" s="18"/>
    </row>
    <row r="35" spans="1:7" ht="15.75" customHeight="1" x14ac:dyDescent="0.25">
      <c r="A35" s="17">
        <v>2.1999999999999999E-2</v>
      </c>
      <c r="B35" s="17">
        <v>0.09</v>
      </c>
      <c r="C35" s="19">
        <f>2*PI() / SQRT(1/($I$19*10^(-9)*A35) - ($H$19^2)/(4*$I$19^2*10^(-6)))*10^3</f>
        <v>0.17140223733264806</v>
      </c>
      <c r="D35" s="19">
        <f>(C35-B35)/C35*100</f>
        <v>47.491933944051773</v>
      </c>
      <c r="E35" s="19">
        <f>2*PI()*SQRT($I$19*A35*10^(-9))*10^3</f>
        <v>0.1713361857352115</v>
      </c>
    </row>
    <row r="36" spans="1:7" ht="15.75" customHeight="1" x14ac:dyDescent="0.25">
      <c r="A36" s="17">
        <v>3.3000000000000002E-2</v>
      </c>
      <c r="B36" s="17">
        <v>0.11</v>
      </c>
      <c r="C36" s="19">
        <f t="shared" ref="C36:C38" si="7">2*PI() / SQRT(1/($I$19*10^(-9)*A36) - ($H$19^2)/(4*$I$19^2*10^(-6)))*10^3</f>
        <v>0.20996449439612877</v>
      </c>
      <c r="D36" s="19">
        <f t="shared" ref="D36:D38" si="8">(C36-B36)/C36*100</f>
        <v>47.610189848351745</v>
      </c>
      <c r="E36" s="19">
        <f t="shared" ref="E36:E38" si="9">2*PI()*SQRT($I$19*A36*10^(-9))*10^3</f>
        <v>0.20984311476299708</v>
      </c>
    </row>
    <row r="37" spans="1:7" ht="15.75" customHeight="1" x14ac:dyDescent="0.25">
      <c r="A37" s="17">
        <v>4.7E-2</v>
      </c>
      <c r="B37" s="17">
        <v>0.13</v>
      </c>
      <c r="C37" s="19">
        <f t="shared" si="7"/>
        <v>0.25063657666927575</v>
      </c>
      <c r="D37" s="19">
        <f t="shared" si="8"/>
        <v>48.132071652279301</v>
      </c>
      <c r="E37" s="19">
        <f t="shared" si="9"/>
        <v>0.25043019000835642</v>
      </c>
    </row>
    <row r="38" spans="1:7" ht="15.75" customHeight="1" x14ac:dyDescent="0.25">
      <c r="A38" s="17">
        <v>0.47</v>
      </c>
      <c r="B38" s="17">
        <v>0.4</v>
      </c>
      <c r="C38" s="19">
        <f t="shared" si="7"/>
        <v>0.7985298568418463</v>
      </c>
      <c r="D38" s="19">
        <f t="shared" si="8"/>
        <v>49.907946888550406</v>
      </c>
      <c r="E38" s="19">
        <f t="shared" si="9"/>
        <v>0.79192979529514795</v>
      </c>
    </row>
    <row r="39" spans="1:7" ht="15.75" customHeight="1" thickBot="1" x14ac:dyDescent="0.3"/>
    <row r="40" spans="1:7" ht="15.75" customHeight="1" thickBot="1" x14ac:dyDescent="0.3">
      <c r="A40" s="14" t="s">
        <v>20</v>
      </c>
      <c r="B40" s="15" t="s">
        <v>21</v>
      </c>
      <c r="C40" s="15" t="s">
        <v>22</v>
      </c>
      <c r="D40" s="15" t="s">
        <v>23</v>
      </c>
    </row>
    <row r="41" spans="1:7" ht="15.75" customHeight="1" thickBot="1" x14ac:dyDescent="0.3">
      <c r="A41" s="16">
        <v>68815</v>
      </c>
      <c r="B41" s="9">
        <v>1300000</v>
      </c>
      <c r="C41" s="9">
        <v>1368815</v>
      </c>
      <c r="D41" s="9">
        <v>1319196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19" workbookViewId="0">
      <selection activeCell="C34" sqref="C34"/>
    </sheetView>
  </sheetViews>
  <sheetFormatPr defaultColWidth="12.6640625" defaultRowHeight="13.2" x14ac:dyDescent="0.25"/>
  <sheetData>
    <row r="1" spans="1:19" ht="15.75" customHeight="1" x14ac:dyDescent="0.25"/>
    <row r="2" spans="1:19" x14ac:dyDescent="0.25">
      <c r="A2" s="1"/>
      <c r="B2" s="1"/>
      <c r="C2" s="1"/>
      <c r="D2" s="1"/>
      <c r="E2" s="1"/>
      <c r="F2" s="1"/>
      <c r="G2" s="1"/>
      <c r="H2" s="1"/>
      <c r="I2" s="6" t="s">
        <v>8</v>
      </c>
      <c r="J2" s="1">
        <f>0.022*10^(-6)</f>
        <v>2.1999999999999998E-8</v>
      </c>
      <c r="K2" s="1"/>
      <c r="N2" s="1"/>
      <c r="O2" s="1"/>
      <c r="P2" s="1"/>
      <c r="Q2" s="1"/>
      <c r="S2" s="1"/>
    </row>
    <row r="3" spans="1:19" x14ac:dyDescent="0.25">
      <c r="A3" s="1"/>
      <c r="B3" s="1"/>
      <c r="C3" s="1"/>
      <c r="D3" s="1"/>
      <c r="E3" s="1"/>
      <c r="F3" s="1"/>
      <c r="G3" s="1"/>
      <c r="N3" s="1"/>
      <c r="O3" s="1"/>
      <c r="S3" s="1"/>
    </row>
    <row r="4" spans="1:19" x14ac:dyDescent="0.25">
      <c r="A4" s="1"/>
      <c r="B4" s="2"/>
      <c r="C4" s="1"/>
      <c r="D4" s="1"/>
      <c r="E4" s="1"/>
      <c r="F4" s="1"/>
      <c r="G4" s="1"/>
      <c r="N4" s="1"/>
      <c r="O4" s="1"/>
      <c r="S4" s="1"/>
    </row>
    <row r="5" spans="1:19" x14ac:dyDescent="0.25">
      <c r="A5" s="1"/>
      <c r="B5" s="2"/>
      <c r="C5" s="1"/>
      <c r="D5" s="1"/>
      <c r="E5" s="1"/>
      <c r="F5" s="1"/>
      <c r="G5" s="1"/>
      <c r="N5" s="1"/>
      <c r="O5" s="1"/>
      <c r="S5" s="1"/>
    </row>
    <row r="6" spans="1:19" x14ac:dyDescent="0.25">
      <c r="A6" s="1"/>
      <c r="B6" s="2"/>
      <c r="C6" s="1"/>
      <c r="D6" s="1"/>
      <c r="E6" s="1"/>
      <c r="F6" s="1"/>
      <c r="G6" s="1"/>
      <c r="N6" s="1"/>
      <c r="O6" s="1"/>
      <c r="S6" s="1"/>
    </row>
    <row r="7" spans="1:19" x14ac:dyDescent="0.25">
      <c r="A7" s="1"/>
      <c r="B7" s="1"/>
      <c r="C7" s="1"/>
      <c r="D7" s="1"/>
      <c r="E7" s="1"/>
      <c r="F7" s="1"/>
      <c r="G7" s="1"/>
    </row>
    <row r="8" spans="1:19" x14ac:dyDescent="0.25">
      <c r="A8" s="1"/>
      <c r="B8" s="1"/>
      <c r="C8" s="1"/>
      <c r="D8" s="1"/>
      <c r="E8" s="1"/>
      <c r="F8" s="1"/>
      <c r="G8" s="1"/>
    </row>
    <row r="9" spans="1:19" x14ac:dyDescent="0.25">
      <c r="A9" s="1"/>
      <c r="B9" s="1"/>
      <c r="C9" s="1"/>
      <c r="D9" s="1"/>
      <c r="E9" s="1"/>
      <c r="F9" s="1"/>
      <c r="G9" s="1"/>
    </row>
    <row r="10" spans="1:19" x14ac:dyDescent="0.25">
      <c r="A10" s="1"/>
      <c r="B10" s="1"/>
      <c r="C10" s="1"/>
      <c r="D10" s="1"/>
      <c r="E10" s="1"/>
      <c r="F10" s="1"/>
      <c r="G10" s="1"/>
    </row>
    <row r="11" spans="1:19" x14ac:dyDescent="0.25">
      <c r="A11" s="1"/>
      <c r="B11" s="1"/>
      <c r="C11" s="1"/>
      <c r="D11" s="1"/>
      <c r="E11" s="1"/>
      <c r="F11" s="1"/>
      <c r="G11" s="1"/>
    </row>
    <row r="12" spans="1:19" x14ac:dyDescent="0.25">
      <c r="A12" s="1"/>
      <c r="B12" s="1"/>
      <c r="C12" s="1"/>
      <c r="D12" s="1"/>
      <c r="E12" s="1"/>
      <c r="F12" s="1"/>
      <c r="G12" s="1"/>
    </row>
    <row r="13" spans="1:19" x14ac:dyDescent="0.25">
      <c r="A13" s="1"/>
      <c r="B13" s="1"/>
      <c r="C13" s="1"/>
      <c r="D13" s="1"/>
      <c r="E13" s="1"/>
      <c r="F13" s="1"/>
      <c r="G13" s="1"/>
    </row>
    <row r="14" spans="1:19" x14ac:dyDescent="0.25">
      <c r="A14" s="1"/>
      <c r="B14" s="1"/>
      <c r="C14" s="1"/>
      <c r="D14" s="1"/>
      <c r="E14" s="1"/>
      <c r="F14" s="1"/>
      <c r="G14" s="1"/>
    </row>
    <row r="15" spans="1:19" x14ac:dyDescent="0.25">
      <c r="A15" s="1"/>
      <c r="B15" s="1"/>
      <c r="C15" s="1"/>
      <c r="D15" s="1"/>
      <c r="E15" s="1"/>
      <c r="F15" s="1"/>
      <c r="G15" s="1"/>
    </row>
    <row r="16" spans="1:19" x14ac:dyDescent="0.25">
      <c r="A16" s="1"/>
      <c r="B16" s="1"/>
      <c r="C16" s="1"/>
      <c r="D16" s="1"/>
      <c r="E16" s="1"/>
      <c r="F16" s="1"/>
      <c r="G16" s="1"/>
    </row>
    <row r="17" spans="1:9" ht="15.75" customHeight="1" x14ac:dyDescent="0.25">
      <c r="B17" t="s">
        <v>10</v>
      </c>
      <c r="H17" s="8"/>
    </row>
    <row r="18" spans="1:9" ht="15.75" customHeight="1" x14ac:dyDescent="0.3">
      <c r="A18" s="6" t="s">
        <v>14</v>
      </c>
      <c r="B18" s="1" t="s">
        <v>12</v>
      </c>
      <c r="C18" s="1" t="s">
        <v>3</v>
      </c>
      <c r="D18" t="s">
        <v>5</v>
      </c>
      <c r="E18" s="1" t="s">
        <v>6</v>
      </c>
      <c r="F18" s="3" t="s">
        <v>13</v>
      </c>
      <c r="G18" s="6" t="s">
        <v>7</v>
      </c>
      <c r="H18" s="6" t="s">
        <v>11</v>
      </c>
      <c r="I18" s="6" t="s">
        <v>15</v>
      </c>
    </row>
    <row r="19" spans="1:9" ht="15.75" customHeight="1" x14ac:dyDescent="0.25">
      <c r="A19" s="6">
        <v>0</v>
      </c>
      <c r="B19" s="4">
        <v>0.09</v>
      </c>
      <c r="C19" s="1">
        <v>5.5</v>
      </c>
      <c r="D19">
        <v>2.9</v>
      </c>
      <c r="E19" s="1">
        <v>2</v>
      </c>
      <c r="F19" s="7">
        <f>LN(C19/D19)/E19</f>
        <v>0.32001867762299846</v>
      </c>
      <c r="G19" s="7">
        <f>2*PI() / (1 - EXP(-2*F19))</f>
        <v>13.291353534418354</v>
      </c>
      <c r="H19" s="10">
        <v>68.814999999999998</v>
      </c>
      <c r="I19" s="11">
        <f t="shared" ref="I19:I31" si="0" xml:space="preserve"> $J$2 / ((F19 / (PI() * H19)) ^ 2)*10^3</f>
        <v>10.040099158861743</v>
      </c>
    </row>
    <row r="20" spans="1:9" ht="15.75" customHeight="1" x14ac:dyDescent="0.25">
      <c r="A20" s="1">
        <v>10</v>
      </c>
      <c r="B20" s="4">
        <v>0.09</v>
      </c>
      <c r="C20" s="4">
        <v>5.3</v>
      </c>
      <c r="D20" s="5">
        <v>2.65</v>
      </c>
      <c r="E20" s="1">
        <v>2</v>
      </c>
      <c r="F20" s="7">
        <f>LN(C20/D20)/E20</f>
        <v>0.34657359027997264</v>
      </c>
      <c r="G20" s="7">
        <f>2*PI() / (1 - EXP(-2*F20))</f>
        <v>12.566370614359172</v>
      </c>
      <c r="H20" s="10">
        <f>$H$19+A20</f>
        <v>78.814999999999998</v>
      </c>
      <c r="I20" s="11">
        <f t="shared" si="0"/>
        <v>11.229211331124866</v>
      </c>
    </row>
    <row r="21" spans="1:9" ht="15.75" customHeight="1" x14ac:dyDescent="0.25">
      <c r="A21" s="1">
        <v>20</v>
      </c>
      <c r="B21" s="1">
        <v>0.09</v>
      </c>
      <c r="C21" s="1">
        <v>5</v>
      </c>
      <c r="D21">
        <v>2.3199999999999998</v>
      </c>
      <c r="E21" s="1">
        <v>2</v>
      </c>
      <c r="F21" s="7">
        <f>LN(C21/D21)/E21</f>
        <v>0.38393536337794093</v>
      </c>
      <c r="G21" s="7">
        <f t="shared" ref="G21:G32" si="1">2*PI() / (1 - EXP(-2*F21))</f>
        <v>11.722360647723107</v>
      </c>
      <c r="H21" s="10">
        <f t="shared" ref="H21:H32" si="2">$H$19+A21</f>
        <v>88.814999999999998</v>
      </c>
      <c r="I21" s="11">
        <f t="shared" si="0"/>
        <v>11.619269766034707</v>
      </c>
    </row>
    <row r="22" spans="1:9" ht="15.75" customHeight="1" x14ac:dyDescent="0.25">
      <c r="A22" s="1">
        <v>30</v>
      </c>
      <c r="B22" s="1">
        <v>0.09</v>
      </c>
      <c r="C22" s="1">
        <v>4.5999999999999996</v>
      </c>
      <c r="D22">
        <v>1.9</v>
      </c>
      <c r="E22" s="1">
        <v>2</v>
      </c>
      <c r="F22" s="7">
        <f>LN(C22/D22)/E22</f>
        <v>0.44210120866132724</v>
      </c>
      <c r="G22" s="7">
        <f t="shared" si="1"/>
        <v>10.704686078898556</v>
      </c>
      <c r="H22" s="10">
        <f t="shared" si="2"/>
        <v>98.814999999999998</v>
      </c>
      <c r="I22" s="11">
        <f t="shared" si="0"/>
        <v>10.847377934592684</v>
      </c>
    </row>
    <row r="23" spans="1:9" ht="15.75" customHeight="1" x14ac:dyDescent="0.25">
      <c r="A23" s="1">
        <v>40</v>
      </c>
      <c r="B23" s="1">
        <v>0.09</v>
      </c>
      <c r="C23" s="1">
        <v>4.4000000000000004</v>
      </c>
      <c r="D23" s="1">
        <v>1.6</v>
      </c>
      <c r="E23" s="1">
        <v>2</v>
      </c>
      <c r="F23" s="7">
        <f>LN(C23/D23)/E23</f>
        <v>0.50580045583923994</v>
      </c>
      <c r="G23" s="7">
        <f t="shared" si="1"/>
        <v>9.8735769112822069</v>
      </c>
      <c r="H23" s="10">
        <f t="shared" si="2"/>
        <v>108.815</v>
      </c>
      <c r="I23" s="11">
        <f t="shared" si="0"/>
        <v>10.049432238922465</v>
      </c>
    </row>
    <row r="24" spans="1:9" ht="15.75" customHeight="1" x14ac:dyDescent="0.25">
      <c r="A24" s="1">
        <v>50</v>
      </c>
      <c r="B24" s="1">
        <v>0.09</v>
      </c>
      <c r="C24" s="1">
        <v>4.2</v>
      </c>
      <c r="D24">
        <v>1.3</v>
      </c>
      <c r="E24" s="1">
        <v>2</v>
      </c>
      <c r="F24" s="7">
        <f>LN(C24/D24)/E24</f>
        <v>0.58636013041091584</v>
      </c>
      <c r="G24" s="7">
        <f t="shared" si="1"/>
        <v>9.0997856172945735</v>
      </c>
      <c r="H24" s="10">
        <f t="shared" si="2"/>
        <v>118.815</v>
      </c>
      <c r="I24" s="11">
        <f t="shared" si="0"/>
        <v>8.9153029480081294</v>
      </c>
    </row>
    <row r="25" spans="1:9" ht="15.75" customHeight="1" x14ac:dyDescent="0.25">
      <c r="A25" s="1">
        <v>60</v>
      </c>
      <c r="B25" s="1">
        <v>0.09</v>
      </c>
      <c r="C25" s="1">
        <v>4</v>
      </c>
      <c r="D25">
        <v>1.2</v>
      </c>
      <c r="E25" s="1">
        <v>2</v>
      </c>
      <c r="F25" s="7">
        <f>LN(C25/D25)/E25</f>
        <v>0.60198640216296806</v>
      </c>
      <c r="G25" s="7">
        <f t="shared" si="1"/>
        <v>8.9759790102565518</v>
      </c>
      <c r="H25" s="10">
        <f t="shared" si="2"/>
        <v>128.815</v>
      </c>
      <c r="I25" s="11">
        <f t="shared" si="0"/>
        <v>9.9421872677733631</v>
      </c>
    </row>
    <row r="26" spans="1:9" ht="15.75" customHeight="1" x14ac:dyDescent="0.25">
      <c r="A26" s="1">
        <v>70</v>
      </c>
      <c r="B26" s="1">
        <v>0.09</v>
      </c>
      <c r="C26" s="1">
        <v>3.8</v>
      </c>
      <c r="D26">
        <v>1</v>
      </c>
      <c r="E26" s="1">
        <v>2</v>
      </c>
      <c r="F26" s="7">
        <f>LN(C26/D26)/E26</f>
        <v>0.66750053336616999</v>
      </c>
      <c r="G26" s="7">
        <f t="shared" si="1"/>
        <v>8.5271800597437242</v>
      </c>
      <c r="H26" s="10">
        <f t="shared" si="2"/>
        <v>138.815</v>
      </c>
      <c r="I26" s="11">
        <f t="shared" si="0"/>
        <v>9.3905707038295514</v>
      </c>
    </row>
    <row r="27" spans="1:9" ht="15.75" customHeight="1" x14ac:dyDescent="0.25">
      <c r="A27" s="1">
        <v>80</v>
      </c>
      <c r="B27" s="1">
        <v>0.09</v>
      </c>
      <c r="C27" s="1">
        <v>3.6</v>
      </c>
      <c r="D27">
        <v>0.85</v>
      </c>
      <c r="E27" s="1">
        <v>2</v>
      </c>
      <c r="F27" s="7">
        <f>LN(C27/D27)/E27</f>
        <v>0.72172638747991957</v>
      </c>
      <c r="G27" s="7">
        <f t="shared" si="1"/>
        <v>8.2252607657623678</v>
      </c>
      <c r="H27" s="10">
        <f t="shared" si="2"/>
        <v>148.815</v>
      </c>
      <c r="I27" s="11">
        <f t="shared" si="0"/>
        <v>9.2314660191584768</v>
      </c>
    </row>
    <row r="28" spans="1:9" ht="15.75" customHeight="1" x14ac:dyDescent="0.25">
      <c r="A28" s="1">
        <v>90</v>
      </c>
      <c r="B28" s="1">
        <v>0.09</v>
      </c>
      <c r="C28" s="1">
        <v>3.4</v>
      </c>
      <c r="D28">
        <v>0.73</v>
      </c>
      <c r="E28" s="1">
        <v>2</v>
      </c>
      <c r="F28" s="7">
        <f>LN(C28/D28)/E28</f>
        <v>0.76924308823090792</v>
      </c>
      <c r="G28" s="7">
        <f t="shared" si="1"/>
        <v>8.0010599417268136</v>
      </c>
      <c r="H28" s="10">
        <f t="shared" si="2"/>
        <v>158.815</v>
      </c>
      <c r="I28" s="11">
        <f t="shared" si="0"/>
        <v>9.255039115778203</v>
      </c>
    </row>
    <row r="29" spans="1:9" ht="15.75" customHeight="1" x14ac:dyDescent="0.25">
      <c r="A29" s="1">
        <v>100</v>
      </c>
      <c r="B29" s="1">
        <v>0.09</v>
      </c>
      <c r="C29" s="1">
        <v>3.2</v>
      </c>
      <c r="D29">
        <v>0.68</v>
      </c>
      <c r="E29" s="1">
        <v>2</v>
      </c>
      <c r="F29" s="7">
        <f>LN(C29/D29)/E29</f>
        <v>0.77440664530883274</v>
      </c>
      <c r="G29" s="7">
        <f t="shared" si="1"/>
        <v>7.9786480091169354</v>
      </c>
      <c r="H29" s="10">
        <f t="shared" si="2"/>
        <v>168.815</v>
      </c>
      <c r="I29" s="11">
        <f t="shared" si="0"/>
        <v>10.318257225359156</v>
      </c>
    </row>
    <row r="30" spans="1:9" ht="15.75" customHeight="1" x14ac:dyDescent="0.25">
      <c r="A30" s="1">
        <v>200</v>
      </c>
      <c r="B30" s="1">
        <v>0.09</v>
      </c>
      <c r="C30" s="1">
        <v>3.1</v>
      </c>
      <c r="D30">
        <v>0.66</v>
      </c>
      <c r="E30" s="1">
        <v>1</v>
      </c>
      <c r="F30" s="7">
        <f>LN(C30/D30)/E30</f>
        <v>1.5469175554527665</v>
      </c>
      <c r="G30" s="7">
        <f t="shared" si="1"/>
        <v>6.5815105949158328</v>
      </c>
      <c r="H30" s="10">
        <f t="shared" si="2"/>
        <v>268.815</v>
      </c>
      <c r="I30" s="11">
        <f t="shared" si="0"/>
        <v>6.5568475722012725</v>
      </c>
    </row>
    <row r="31" spans="1:9" ht="15.75" customHeight="1" x14ac:dyDescent="0.25">
      <c r="A31" s="1">
        <v>300</v>
      </c>
      <c r="B31" s="1">
        <v>0.09</v>
      </c>
      <c r="C31" s="1">
        <v>2.6</v>
      </c>
      <c r="D31">
        <v>0.5</v>
      </c>
      <c r="E31" s="1">
        <v>1</v>
      </c>
      <c r="F31" s="7">
        <f>LN(C31/D31)/E31</f>
        <v>1.6486586255873816</v>
      </c>
      <c r="G31" s="7">
        <f t="shared" si="1"/>
        <v>6.524475065519816</v>
      </c>
      <c r="H31" s="10">
        <f t="shared" si="2"/>
        <v>368.815</v>
      </c>
      <c r="I31" s="11">
        <f t="shared" si="0"/>
        <v>10.866210143772488</v>
      </c>
    </row>
    <row r="32" spans="1:9" ht="15.75" customHeight="1" x14ac:dyDescent="0.25">
      <c r="A32" s="1">
        <v>400</v>
      </c>
      <c r="B32" s="1">
        <v>0.09</v>
      </c>
      <c r="C32" s="1">
        <v>2.5</v>
      </c>
      <c r="D32">
        <v>0.3</v>
      </c>
      <c r="E32" s="1">
        <v>1</v>
      </c>
      <c r="F32" s="7">
        <f>LN(C32/D32)/E32</f>
        <v>2.120263536200091</v>
      </c>
      <c r="G32" s="7">
        <f t="shared" si="1"/>
        <v>6.3749850925117553</v>
      </c>
      <c r="H32" s="10">
        <f t="shared" si="2"/>
        <v>468.815</v>
      </c>
      <c r="I32" s="11">
        <f xml:space="preserve"> $J$2 / ((F32 / (PI() * H32)) ^ 2)*10^3</f>
        <v>10.61562905972346</v>
      </c>
    </row>
    <row r="33" spans="1:7" ht="15.75" customHeight="1" x14ac:dyDescent="0.25">
      <c r="A33" s="8"/>
    </row>
    <row r="34" spans="1:7" ht="15.75" customHeight="1" thickBot="1" x14ac:dyDescent="0.3">
      <c r="A34" s="12" t="s">
        <v>16</v>
      </c>
      <c r="B34" s="13" t="s">
        <v>17</v>
      </c>
      <c r="C34" s="13" t="s">
        <v>18</v>
      </c>
      <c r="D34" s="13" t="s">
        <v>24</v>
      </c>
      <c r="E34" s="13" t="s">
        <v>19</v>
      </c>
      <c r="G34" s="18"/>
    </row>
    <row r="35" spans="1:7" ht="15.75" customHeight="1" x14ac:dyDescent="0.25">
      <c r="A35" s="17">
        <v>2.1999999999999999E-2</v>
      </c>
      <c r="B35" s="17">
        <v>0.09</v>
      </c>
      <c r="C35" s="19">
        <f>2*PI() / SQRT(1/($I$19*10^(-9)*A35) - ($H$19^2)/(4*$I$19^2*10^(-6)))*10^3</f>
        <v>9.3502720882874896E-2</v>
      </c>
      <c r="D35" s="19">
        <f>(C35-B35)/C35*100</f>
        <v>3.7461165298735444</v>
      </c>
      <c r="E35" s="19">
        <f>2*PI()*SQRT($I$19*A35*10^(-9))*10^3</f>
        <v>9.3381363249951735E-2</v>
      </c>
    </row>
    <row r="36" spans="1:7" ht="15.75" customHeight="1" x14ac:dyDescent="0.25">
      <c r="A36" s="17">
        <v>3.3000000000000002E-2</v>
      </c>
      <c r="B36" s="17">
        <v>0.11</v>
      </c>
      <c r="C36" s="19">
        <f t="shared" ref="C36:C38" si="3">2*PI() / SQRT(1/($I$19*10^(-9)*A36) - ($H$19^2)/(4*$I$19^2*10^(-6)))*10^3</f>
        <v>0.11459151156790838</v>
      </c>
      <c r="D36" s="19">
        <f t="shared" ref="D36:D38" si="4">(C36-B36)/C36*100</f>
        <v>4.00685138461359</v>
      </c>
      <c r="E36" s="19">
        <f t="shared" ref="E36:E38" si="5">2*PI()*SQRT($I$19*A36*10^(-9))*10^3</f>
        <v>0.1143683457239334</v>
      </c>
    </row>
    <row r="37" spans="1:7" ht="15.75" customHeight="1" x14ac:dyDescent="0.25">
      <c r="A37" s="17">
        <v>4.7E-2</v>
      </c>
      <c r="B37" s="17">
        <v>0.13</v>
      </c>
      <c r="C37" s="19">
        <f t="shared" si="3"/>
        <v>0.1368688361334558</v>
      </c>
      <c r="D37" s="19">
        <f t="shared" si="4"/>
        <v>5.0185537683379149</v>
      </c>
      <c r="E37" s="19">
        <f t="shared" si="5"/>
        <v>0.13648904603295817</v>
      </c>
    </row>
    <row r="38" spans="1:7" ht="15.75" customHeight="1" x14ac:dyDescent="0.25">
      <c r="A38" s="17">
        <v>0.47</v>
      </c>
      <c r="B38" s="17">
        <v>0.4</v>
      </c>
      <c r="C38" s="19">
        <f t="shared" si="3"/>
        <v>0.4440975864044136</v>
      </c>
      <c r="D38" s="19">
        <f t="shared" si="4"/>
        <v>9.9297063876083538</v>
      </c>
      <c r="E38" s="19">
        <f t="shared" si="5"/>
        <v>0.43161626112771723</v>
      </c>
    </row>
    <row r="39" spans="1:7" ht="15.75" customHeight="1" thickBot="1" x14ac:dyDescent="0.3"/>
    <row r="40" spans="1:7" ht="15.75" customHeight="1" thickBot="1" x14ac:dyDescent="0.3">
      <c r="A40" s="14" t="s">
        <v>20</v>
      </c>
      <c r="B40" s="15" t="s">
        <v>21</v>
      </c>
      <c r="C40" s="15" t="s">
        <v>22</v>
      </c>
      <c r="D40" s="15" t="s">
        <v>23</v>
      </c>
    </row>
    <row r="41" spans="1:7" ht="15.75" customHeight="1" thickBot="1" x14ac:dyDescent="0.3">
      <c r="A41" s="16">
        <v>68815</v>
      </c>
      <c r="B41" s="9">
        <v>1300000</v>
      </c>
      <c r="C41" s="9">
        <v>1368815</v>
      </c>
      <c r="D41" s="9">
        <v>1319196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3.10</vt:lpstr>
      <vt:lpstr>3.10-Edited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2025-04-18T22:25:53Z</dcterms:modified>
</cp:coreProperties>
</file>